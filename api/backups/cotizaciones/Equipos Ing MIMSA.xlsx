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e 3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<sst xmlns="http://schemas.openxmlformats.org/spreadsheetml/2006/main" count="39" uniqueCount="39">
  <si>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>ITEM</t>
  </si>
  <si>
    <t xml:space="preserve">DESCRIPCIÓN SOLICITADA</t>
  </si>
  <si>
    <t xml:space="preserve">COD. SAP</t>
  </si>
  <si>
    <t xml:space="preserve">DESCRIPCIÓN OFERTADA</t>
  </si>
  <si>
    <t>U.M</t>
  </si>
  <si>
    <t>CANTIDAD</t>
  </si>
  <si>
    <t xml:space="preserve">PRECIO UNITRIO</t>
  </si>
  <si>
    <t>TOTAL</t>
  </si>
  <si>
    <t xml:space="preserve">LINEAS PRIMARIAS</t>
  </si>
  <si>
    <t>DOLARES</t>
  </si>
  <si>
    <t>SOLES</t>
  </si>
  <si>
    <t>AISLADORES Y ACCESORIOS</t>
  </si>
  <si>
    <t xml:space="preserve">Aislador de Porcelana Tipo Pin, Clase ANSI 56-3</t>
  </si>
  <si>
    <t xml:space="preserve">AISLADOR DE PORCELANA TIPO PIN CLASE ANSI 56-3, 533MM LF (MARCA HPK INSULATORS)</t>
  </si>
  <si>
    <t>u</t>
  </si>
  <si>
    <t xml:space="preserve">Conjunto Aislador Line Post Polimérico en Mesula y Cruceta:</t>
  </si>
  <si>
    <t xml:space="preserve">- Aislador Polimérico de 36 kV, Tipo Line Post con Espárrago de 19 mm Ø, 200 mm longitud (Alternativa a Conjunto Aislador-Espiga en Cruceta)</t>
  </si>
  <si>
    <t xml:space="preserve">AISLADOR POLIM.TIPO PIN(FPQ- 46kV/ 12.5KN) 46/12.5/12/PC/M20,050MM LF(12 ALET) C/ESPIGA - HAIVOL</t>
  </si>
  <si>
    <t>AISLADORES DE SUSPENSION Y ACCESORIOS</t>
  </si>
  <si>
    <t xml:space="preserve">Aislador Polimerico con Conexión Horquilla (Estructura) y Lengüeta (Linea) de 36 kV, según Especificacion Técnica.</t>
  </si>
  <si>
    <t xml:space="preserve">AISLADOR POLIMERICO SUSP. FXB- 36KV/70KN (9 ALETAS),LF 950mm, MARCA HAIVOL</t>
  </si>
  <si>
    <t>RETENIDAS Y ANCLAJES</t>
  </si>
  <si>
    <t xml:space="preserve">Aislador Polimerico con Conexión Horquilla (Estructura) y Lengüeta (Linea) de 36 kV, según Especificacion Técnica, para Retenida Aislada.</t>
  </si>
  <si>
    <t>EQUIPO DE PROTECCION Y MANIOBRA</t>
  </si>
  <si>
    <t xml:space="preserve">Seccionador Fusible Unipolar Tipo Expulsion (Cut-Out) de 27/38 kV, 100A, 150 kV-BIL.</t>
  </si>
  <si>
    <t xml:space="preserve">SECCIONADOR CUT OUT HV1-38/100, 38KV 100A 170 BIL 690mm LF (MARCA HAIVOL)</t>
  </si>
  <si>
    <t xml:space="preserve">Fusible Tipo Expulsion de 3 A, Tipo K</t>
  </si>
  <si>
    <t xml:space="preserve">FUSIBLE TIPO CHICOTE 3 AMP CABEZA REMOVIBLE- LONG.660MM (FUSE LINK)</t>
  </si>
  <si>
    <t xml:space="preserve">Fusible Tipo Expulsion de 6 A, Tipo K</t>
  </si>
  <si>
    <t xml:space="preserve">FUSIBLE TIPO CHICOTE 6 AMP CABEZA REMOVIBLE- LONG.660MM (FUSE LINK)</t>
  </si>
  <si>
    <t xml:space="preserve">Pararrayos de Oxido Metalico, 21 kV, 10 KA Clase 1</t>
  </si>
  <si>
    <t xml:space="preserve">PARARRAYO POLIMERICO YH10W-21-1 de 21 KV,10 KA,170KV BIL 800MM LF(14ALETAS) INC.HERRAJE - HAIVOL</t>
  </si>
  <si>
    <t xml:space="preserve">REDES PRIMARIAS</t>
  </si>
  <si>
    <t xml:space="preserve">Conjunto Aislador Line Post Polimérico en Cruceta:</t>
  </si>
  <si>
    <t>AISLADORES DE SUSPENSIÓN Y ACCESORIOS</t>
  </si>
  <si>
    <t xml:space="preserve">Fusible Tipo Expulsion de 2 A, Tipo K</t>
  </si>
  <si>
    <t xml:space="preserve">FUSIBLE TIPO CHICOTE 2 AMP CABEZA REMOVIBLE- LONG.660MM (FUSE LINK)</t>
  </si>
  <si>
    <t xml:space="preserve">SUB TOTAL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</si>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</sst>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0000000"/>
  </numFmts>
  <fonts count="4">
    <font>
      <sz val="10.000000"/>
      <color theme="1"/>
      <name val="Times New Roman"/>
    </font>
    <font>
      <sz val="5.000000"/>
      <name val="Times New Roman"/>
    </font>
    <font>
      <b/>
      <sz val="5.000000"/>
      <name val="Calibri"/>
    </font>
    <font>
      <sz val="5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 applyAlignment="1">
      <alignment horizontal="left" vertical="top"/>
    </xf>
    <xf fontId="1" fillId="0" borderId="0" numFmtId="0" xfId="0" applyFont="1" applyAlignment="1">
      <alignment horizontal="center" vertical="top"/>
    </xf>
    <xf fontId="2" fillId="2" borderId="1" numFmtId="0" xfId="0" applyFont="1" applyFill="1" applyBorder="1" applyAlignment="1">
      <alignment horizontal="center" vertical="center" wrapText="1"/>
    </xf>
    <xf fontId="2" fillId="2" borderId="1" numFmtId="0" xfId="0" applyFont="1" applyFill="1" applyBorder="1" applyAlignment="1">
      <alignment horizontal="center" indent="4" vertical="center" wrapText="1"/>
    </xf>
    <xf fontId="2" fillId="2" borderId="1" numFmtId="0" xfId="0" applyFont="1" applyFill="1" applyBorder="1" applyAlignment="1">
      <alignment horizontal="center" indent="1" vertical="center" wrapText="1"/>
    </xf>
    <xf fontId="1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wrapText="1"/>
    </xf>
    <xf fontId="2" fillId="0" borderId="1" numFmtId="0" xfId="0" applyFont="1" applyBorder="1" applyAlignment="1">
      <alignment horizontal="center" vertical="top" wrapText="1"/>
    </xf>
    <xf fontId="1" fillId="0" borderId="1" numFmtId="0" xfId="0" applyFont="1" applyBorder="1" applyAlignment="1">
      <alignment horizontal="center" vertical="top"/>
    </xf>
    <xf fontId="2" fillId="0" borderId="1" numFmtId="2" xfId="0" applyNumberFormat="1" applyFont="1" applyBorder="1" applyAlignment="1">
      <alignment horizontal="center" shrinkToFit="1" vertical="center"/>
    </xf>
    <xf fontId="2" fillId="0" borderId="1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1" fillId="0" borderId="0" numFmtId="0" xfId="0" applyFont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</xf>
    <xf fontId="2" fillId="0" borderId="1" numFmtId="164" xfId="0" applyNumberFormat="1" applyFont="1" applyBorder="1" applyAlignment="1">
      <alignment horizontal="center" shrinkToFit="1" vertical="center"/>
    </xf>
    <xf fontId="2" fillId="0" borderId="1" numFmtId="1" xfId="0" applyNumberFormat="1" applyFont="1" applyBorder="1" applyAlignment="1">
      <alignment horizontal="center" shrinkToFit="1" vertical="center"/>
    </xf>
    <xf fontId="3" fillId="0" borderId="1" numFmtId="0" xfId="0" applyFont="1" applyBorder="1" applyAlignment="1">
      <alignment horizontal="center" vertical="top" wrapText="1"/>
    </xf>
    <xf fontId="1" fillId="0" borderId="1" numFmtId="0" xfId="0" applyFont="1" applyBorder="1" applyAlignment="1">
      <alignment horizontal="center" vertical="top" wrapText="1"/>
    </xf>
    <xf fontId="2" fillId="0" borderId="1" numFmtId="2" xfId="0" applyNumberFormat="1" applyFont="1" applyBorder="1" applyAlignment="1">
      <alignment horizontal="center" shrinkToFit="1" vertical="top"/>
    </xf>
    <xf fontId="2" fillId="0" borderId="1" numFmtId="164" xfId="0" applyNumberFormat="1" applyFont="1" applyBorder="1" applyAlignment="1">
      <alignment horizontal="center" shrinkToFit="1" vertical="top"/>
    </xf>
    <xf fontId="2" fillId="0" borderId="1" numFmtId="1" xfId="0" applyNumberFormat="1" applyFont="1" applyBorder="1" applyAlignment="1">
      <alignment horizontal="center" shrinkToFit="1" vertical="top"/>
    </xf>
    <xf fontId="2" fillId="2" borderId="1" numFmt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"/>
  <cols>
    <col customWidth="1" min="1" max="1" style="1" width="3.7777780000000001"/>
    <col customWidth="1" min="2" max="2" style="1" width="25.333333"/>
    <col customWidth="1" min="3" max="3" style="1" width="8.4444440000000007"/>
    <col customWidth="1" min="4" max="4" style="1" width="21.333333"/>
    <col customWidth="1" min="5" max="5" style="1" width="6.7109375"/>
    <col customWidth="1" min="6" max="6" style="1" width="6.4444439999999998"/>
    <col customWidth="1" min="7" max="7" style="1" width="6.8888889999999998"/>
    <col customWidth="1" min="8" max="8" style="1" width="5.7109375"/>
    <col min="9" max="16384" style="1" width="9.140625"/>
  </cols>
  <sheetData>
    <row r="1" ht="19.75" customHeight="1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 t="s">
        <v>6</v>
      </c>
      <c r="I1" s="5" t="s">
        <v>7</v>
      </c>
      <c r="J1" s="1">
        <v>3.3700000000000001</v>
      </c>
    </row>
    <row r="2" ht="8.25" customHeight="1">
      <c r="A2" s="6"/>
      <c r="B2" s="7" t="s">
        <v>8</v>
      </c>
      <c r="C2" s="6"/>
      <c r="D2" s="6"/>
      <c r="E2" s="6"/>
      <c r="F2" s="6"/>
      <c r="G2" s="6" t="s">
        <v>9</v>
      </c>
      <c r="H2" s="6" t="s">
        <v>10</v>
      </c>
      <c r="I2" s="8"/>
    </row>
    <row r="3" ht="13.5" customHeight="1">
      <c r="A3" s="9">
        <v>5</v>
      </c>
      <c r="B3" s="10" t="s">
        <v>11</v>
      </c>
      <c r="C3" s="11"/>
      <c r="D3" s="11"/>
      <c r="E3" s="11"/>
      <c r="F3" s="11"/>
      <c r="G3" s="11"/>
      <c r="H3" s="11">
        <f t="shared" ref="H3:H9" si="0">G3*$J$1</f>
        <v>0</v>
      </c>
      <c r="I3" s="8">
        <f t="shared" ref="I3:I9" si="1">H3*F3</f>
        <v>0</v>
      </c>
    </row>
    <row r="4" s="12" customFormat="1" ht="14.75" customHeight="1">
      <c r="A4" s="9">
        <v>5.0099999999999998</v>
      </c>
      <c r="B4" s="13" t="s">
        <v>12</v>
      </c>
      <c r="C4" s="14">
        <v>30104032</v>
      </c>
      <c r="D4" s="13" t="s">
        <v>13</v>
      </c>
      <c r="E4" s="10" t="s">
        <v>14</v>
      </c>
      <c r="F4" s="15">
        <v>29</v>
      </c>
      <c r="G4" s="11">
        <v>7.9889999999999999</v>
      </c>
      <c r="H4" s="11">
        <f t="shared" si="0"/>
        <v>26.922930000000001</v>
      </c>
      <c r="I4" s="8">
        <f t="shared" si="1"/>
        <v>780.76497000000006</v>
      </c>
    </row>
    <row r="5" ht="16.75" customHeight="1">
      <c r="A5" s="9">
        <v>5.0300000000000002</v>
      </c>
      <c r="B5" s="13" t="s">
        <v>15</v>
      </c>
      <c r="C5" s="11"/>
      <c r="D5" s="11"/>
      <c r="E5" s="11"/>
      <c r="F5" s="11"/>
      <c r="G5" s="11"/>
      <c r="H5" s="11">
        <f t="shared" si="0"/>
        <v>0</v>
      </c>
      <c r="I5" s="8">
        <f t="shared" si="1"/>
        <v>0</v>
      </c>
    </row>
    <row r="6" ht="13.5" customHeight="1">
      <c r="A6" s="11"/>
      <c r="B6" s="16" t="s">
        <v>16</v>
      </c>
      <c r="C6" s="14">
        <v>30202056</v>
      </c>
      <c r="D6" s="16" t="s">
        <v>17</v>
      </c>
      <c r="E6" s="10" t="s">
        <v>14</v>
      </c>
      <c r="F6" s="15">
        <v>369</v>
      </c>
      <c r="G6" s="17">
        <v>23.181000000000001</v>
      </c>
      <c r="H6" s="11">
        <f t="shared" si="0"/>
        <v>78.119970000000009</v>
      </c>
      <c r="I6" s="8">
        <f t="shared" si="1"/>
        <v>28826.268930000002</v>
      </c>
    </row>
    <row r="7" ht="10.25" customHeight="1">
      <c r="A7" s="18">
        <v>6</v>
      </c>
      <c r="B7" s="7" t="s">
        <v>18</v>
      </c>
      <c r="C7" s="11"/>
      <c r="D7" s="11"/>
      <c r="E7" s="11"/>
      <c r="F7" s="11"/>
      <c r="G7" s="11"/>
      <c r="H7" s="11">
        <f t="shared" si="0"/>
        <v>0</v>
      </c>
      <c r="I7" s="8">
        <f t="shared" si="1"/>
        <v>0</v>
      </c>
    </row>
    <row r="8" ht="17.550000000000001" customHeight="1">
      <c r="A8" s="18">
        <v>6.0199999999999996</v>
      </c>
      <c r="B8" s="16" t="s">
        <v>19</v>
      </c>
      <c r="C8" s="19">
        <v>30202055</v>
      </c>
      <c r="D8" s="16" t="s">
        <v>20</v>
      </c>
      <c r="E8" s="7" t="s">
        <v>14</v>
      </c>
      <c r="F8" s="20">
        <v>155</v>
      </c>
      <c r="G8" s="17">
        <v>9.4160000000000004</v>
      </c>
      <c r="H8" s="11">
        <f t="shared" si="0"/>
        <v>31.731920000000002</v>
      </c>
      <c r="I8" s="8">
        <f t="shared" si="1"/>
        <v>4918.4476000000004</v>
      </c>
    </row>
    <row r="9" ht="10.25" customHeight="1">
      <c r="A9" s="18">
        <v>11</v>
      </c>
      <c r="B9" s="7" t="s">
        <v>21</v>
      </c>
      <c r="C9" s="11"/>
      <c r="D9" s="11"/>
      <c r="E9" s="11"/>
      <c r="F9" s="11"/>
      <c r="G9" s="11"/>
      <c r="H9" s="11">
        <f t="shared" si="0"/>
        <v>0</v>
      </c>
      <c r="I9" s="8">
        <f t="shared" si="1"/>
        <v>0</v>
      </c>
    </row>
    <row r="10" ht="16.25" customHeight="1">
      <c r="A10" s="9">
        <v>11.09</v>
      </c>
      <c r="B10" s="16" t="s">
        <v>22</v>
      </c>
      <c r="C10" s="14">
        <v>30202055</v>
      </c>
      <c r="D10" s="16" t="s">
        <v>20</v>
      </c>
      <c r="E10" s="10" t="s">
        <v>14</v>
      </c>
      <c r="F10" s="15">
        <v>66</v>
      </c>
      <c r="G10" s="17">
        <v>9.4160000000000004</v>
      </c>
      <c r="H10" s="11">
        <f t="shared" ref="H10:H28" si="2">G10*$J$1</f>
        <v>31.731920000000002</v>
      </c>
      <c r="I10" s="8">
        <f t="shared" ref="I10:I28" si="3">H10*F10</f>
        <v>2094.30672</v>
      </c>
    </row>
    <row r="11" ht="10.25" customHeight="1">
      <c r="A11" s="18">
        <v>13</v>
      </c>
      <c r="B11" s="7" t="s">
        <v>23</v>
      </c>
      <c r="C11" s="11"/>
      <c r="D11" s="11"/>
      <c r="E11" s="11"/>
      <c r="F11" s="11"/>
      <c r="G11" s="11"/>
      <c r="H11" s="11">
        <f t="shared" si="2"/>
        <v>0</v>
      </c>
      <c r="I11" s="8">
        <f t="shared" si="3"/>
        <v>0</v>
      </c>
    </row>
    <row r="12" ht="16.25" customHeight="1">
      <c r="A12" s="18">
        <v>13.01</v>
      </c>
      <c r="B12" s="16" t="s">
        <v>24</v>
      </c>
      <c r="C12" s="19">
        <v>90301064</v>
      </c>
      <c r="D12" s="16" t="s">
        <v>25</v>
      </c>
      <c r="E12" s="7" t="s">
        <v>14</v>
      </c>
      <c r="F12" s="20">
        <v>15</v>
      </c>
      <c r="G12" s="17">
        <v>57.293999999999997</v>
      </c>
      <c r="H12" s="11">
        <f t="shared" si="2"/>
        <v>193.08078</v>
      </c>
      <c r="I12" s="8">
        <f t="shared" si="3"/>
        <v>2896.2116999999998</v>
      </c>
    </row>
    <row r="13" ht="15.4" customHeight="1">
      <c r="A13" s="18">
        <v>13.02</v>
      </c>
      <c r="B13" s="16" t="s">
        <v>26</v>
      </c>
      <c r="C13" s="19">
        <v>90102035</v>
      </c>
      <c r="D13" s="16" t="s">
        <v>27</v>
      </c>
      <c r="E13" s="7" t="s">
        <v>14</v>
      </c>
      <c r="F13" s="20">
        <v>12</v>
      </c>
      <c r="G13" s="17">
        <v>1.8740000000000001</v>
      </c>
      <c r="H13" s="11">
        <f t="shared" si="2"/>
        <v>6.3153800000000002</v>
      </c>
      <c r="I13" s="8">
        <f t="shared" si="3"/>
        <v>75.784559999999999</v>
      </c>
    </row>
    <row r="14" ht="23.550000000000001" customHeight="1">
      <c r="A14" s="18">
        <v>13.029999999999999</v>
      </c>
      <c r="B14" s="16" t="s">
        <v>28</v>
      </c>
      <c r="C14" s="19">
        <v>90102037</v>
      </c>
      <c r="D14" s="16" t="s">
        <v>29</v>
      </c>
      <c r="E14" s="7" t="s">
        <v>14</v>
      </c>
      <c r="F14" s="20">
        <v>3</v>
      </c>
      <c r="G14" s="17">
        <v>1.8859999999999999</v>
      </c>
      <c r="H14" s="11">
        <f t="shared" si="2"/>
        <v>6.3558199999999996</v>
      </c>
      <c r="I14" s="8">
        <f t="shared" si="3"/>
        <v>19.067459999999997</v>
      </c>
    </row>
    <row r="15" ht="13.5" customHeight="1">
      <c r="A15" s="9">
        <v>13.039999999999999</v>
      </c>
      <c r="B15" s="13" t="s">
        <v>30</v>
      </c>
      <c r="C15" s="14">
        <v>90201127</v>
      </c>
      <c r="D15" s="16" t="s">
        <v>31</v>
      </c>
      <c r="E15" s="10" t="s">
        <v>14</v>
      </c>
      <c r="F15" s="15">
        <v>15</v>
      </c>
      <c r="G15" s="17">
        <v>30.219999999999999</v>
      </c>
      <c r="H15" s="11">
        <f t="shared" si="2"/>
        <v>101.84139999999999</v>
      </c>
      <c r="I15" s="8">
        <f t="shared" si="3"/>
        <v>1527.6209999999999</v>
      </c>
    </row>
    <row r="16" ht="10.25" customHeight="1">
      <c r="A16" s="11"/>
      <c r="B16" s="7" t="s">
        <v>32</v>
      </c>
      <c r="C16" s="11"/>
      <c r="D16" s="11"/>
      <c r="E16" s="11"/>
      <c r="F16" s="11"/>
      <c r="G16" s="11"/>
      <c r="H16" s="11">
        <f t="shared" si="2"/>
        <v>0</v>
      </c>
      <c r="I16" s="8">
        <f t="shared" si="3"/>
        <v>0</v>
      </c>
    </row>
    <row r="17" ht="10.25" customHeight="1">
      <c r="A17" s="18">
        <v>5</v>
      </c>
      <c r="B17" s="7" t="s">
        <v>11</v>
      </c>
      <c r="C17" s="11"/>
      <c r="D17" s="11"/>
      <c r="E17" s="11"/>
      <c r="F17" s="11"/>
      <c r="G17" s="11"/>
      <c r="H17" s="11">
        <f t="shared" si="2"/>
        <v>0</v>
      </c>
      <c r="I17" s="8">
        <f t="shared" si="3"/>
        <v>0</v>
      </c>
    </row>
    <row r="18" ht="14.5" customHeight="1">
      <c r="A18" s="9">
        <v>5.0099999999999998</v>
      </c>
      <c r="B18" s="13" t="s">
        <v>12</v>
      </c>
      <c r="C18" s="14">
        <v>30104032</v>
      </c>
      <c r="D18" s="16" t="s">
        <v>13</v>
      </c>
      <c r="E18" s="10" t="s">
        <v>14</v>
      </c>
      <c r="F18" s="15">
        <v>16</v>
      </c>
      <c r="G18" s="17">
        <v>7.9889999999999999</v>
      </c>
      <c r="H18" s="11">
        <f t="shared" si="2"/>
        <v>26.922930000000001</v>
      </c>
      <c r="I18" s="8">
        <f t="shared" si="3"/>
        <v>430.76688000000001</v>
      </c>
    </row>
    <row r="19" ht="10.25" customHeight="1">
      <c r="A19" s="18">
        <v>5.0300000000000002</v>
      </c>
      <c r="B19" s="16" t="s">
        <v>33</v>
      </c>
      <c r="C19" s="11"/>
      <c r="D19" s="11"/>
      <c r="E19" s="11"/>
      <c r="F19" s="11"/>
      <c r="G19" s="11"/>
      <c r="H19" s="11">
        <f t="shared" si="2"/>
        <v>0</v>
      </c>
      <c r="I19" s="8">
        <f t="shared" si="3"/>
        <v>0</v>
      </c>
    </row>
    <row r="20" ht="14" customHeight="1">
      <c r="A20" s="11"/>
      <c r="B20" s="16" t="s">
        <v>16</v>
      </c>
      <c r="C20" s="14">
        <v>30202056</v>
      </c>
      <c r="D20" s="16" t="s">
        <v>17</v>
      </c>
      <c r="E20" s="10" t="s">
        <v>14</v>
      </c>
      <c r="F20" s="15">
        <v>40</v>
      </c>
      <c r="G20" s="17">
        <v>24.629999999999999</v>
      </c>
      <c r="H20" s="11">
        <f t="shared" si="2"/>
        <v>83.003100000000003</v>
      </c>
      <c r="I20" s="8">
        <f t="shared" si="3"/>
        <v>3320.1240000000003</v>
      </c>
    </row>
    <row r="21" ht="10.25" customHeight="1">
      <c r="A21" s="18">
        <v>6</v>
      </c>
      <c r="B21" s="7" t="s">
        <v>34</v>
      </c>
      <c r="C21" s="11"/>
      <c r="D21" s="11"/>
      <c r="E21" s="11"/>
      <c r="F21" s="11"/>
      <c r="G21" s="11"/>
      <c r="H21" s="11">
        <f t="shared" si="2"/>
        <v>0</v>
      </c>
      <c r="I21" s="8">
        <f t="shared" si="3"/>
        <v>0</v>
      </c>
    </row>
    <row r="22" ht="15.4" customHeight="1">
      <c r="A22" s="18">
        <v>6.0199999999999996</v>
      </c>
      <c r="B22" s="16" t="s">
        <v>19</v>
      </c>
      <c r="C22" s="19">
        <v>30202055</v>
      </c>
      <c r="D22" s="16" t="s">
        <v>20</v>
      </c>
      <c r="E22" s="7" t="s">
        <v>14</v>
      </c>
      <c r="F22" s="20">
        <v>16</v>
      </c>
      <c r="G22" s="17">
        <v>10.829000000000001</v>
      </c>
      <c r="H22" s="11">
        <f t="shared" si="2"/>
        <v>36.493730000000006</v>
      </c>
      <c r="I22" s="8">
        <f t="shared" si="3"/>
        <v>583.8996800000001</v>
      </c>
    </row>
    <row r="23" ht="10.25" customHeight="1">
      <c r="A23" s="18">
        <v>11</v>
      </c>
      <c r="B23" s="7" t="s">
        <v>21</v>
      </c>
      <c r="C23" s="11"/>
      <c r="D23" s="11"/>
      <c r="E23" s="11"/>
      <c r="F23" s="11"/>
      <c r="G23" s="11"/>
      <c r="H23" s="11">
        <f t="shared" si="2"/>
        <v>0</v>
      </c>
      <c r="I23" s="8">
        <f t="shared" si="3"/>
        <v>0</v>
      </c>
    </row>
    <row r="24" ht="16.75" customHeight="1">
      <c r="A24" s="9">
        <v>11.08</v>
      </c>
      <c r="B24" s="13" t="s">
        <v>22</v>
      </c>
      <c r="C24" s="14">
        <v>30202055</v>
      </c>
      <c r="D24" s="13" t="s">
        <v>20</v>
      </c>
      <c r="E24" s="10" t="s">
        <v>14</v>
      </c>
      <c r="F24" s="15">
        <v>9</v>
      </c>
      <c r="G24" s="17">
        <v>10.829000000000001</v>
      </c>
      <c r="H24" s="11">
        <f t="shared" si="2"/>
        <v>36.493730000000006</v>
      </c>
      <c r="I24" s="8">
        <f t="shared" si="3"/>
        <v>328.44357000000008</v>
      </c>
    </row>
    <row r="25" ht="10.25" customHeight="1">
      <c r="A25" s="18">
        <v>13</v>
      </c>
      <c r="B25" s="7" t="s">
        <v>23</v>
      </c>
      <c r="C25" s="11"/>
      <c r="D25" s="11"/>
      <c r="E25" s="11"/>
      <c r="F25" s="11"/>
      <c r="G25" s="11"/>
      <c r="H25" s="11">
        <f t="shared" si="2"/>
        <v>0</v>
      </c>
      <c r="I25" s="8">
        <f t="shared" si="3"/>
        <v>0</v>
      </c>
    </row>
    <row r="26" ht="15" customHeight="1">
      <c r="A26" s="18">
        <v>13.01</v>
      </c>
      <c r="B26" s="16" t="s">
        <v>24</v>
      </c>
      <c r="C26" s="19">
        <v>90301064</v>
      </c>
      <c r="D26" s="16" t="s">
        <v>25</v>
      </c>
      <c r="E26" s="7" t="s">
        <v>14</v>
      </c>
      <c r="F26" s="20">
        <v>23</v>
      </c>
      <c r="G26" s="17">
        <v>64.456000000000003</v>
      </c>
      <c r="H26" s="11">
        <f t="shared" si="2"/>
        <v>217.21672000000001</v>
      </c>
      <c r="I26" s="8">
        <f t="shared" si="3"/>
        <v>4995.9845599999999</v>
      </c>
    </row>
    <row r="27" ht="15" customHeight="1">
      <c r="A27" s="18">
        <v>13.02</v>
      </c>
      <c r="B27" s="16" t="s">
        <v>35</v>
      </c>
      <c r="C27" s="19">
        <v>90102034</v>
      </c>
      <c r="D27" s="16" t="s">
        <v>36</v>
      </c>
      <c r="E27" s="7" t="s">
        <v>14</v>
      </c>
      <c r="F27" s="20">
        <v>23</v>
      </c>
      <c r="G27" s="17">
        <v>1.823</v>
      </c>
      <c r="H27" s="11">
        <f t="shared" si="2"/>
        <v>6.14351</v>
      </c>
      <c r="I27" s="8">
        <f t="shared" si="3"/>
        <v>141.30072999999999</v>
      </c>
    </row>
    <row r="28" ht="14.5" customHeight="1">
      <c r="A28" s="9">
        <v>13.029999999999999</v>
      </c>
      <c r="B28" s="13" t="s">
        <v>30</v>
      </c>
      <c r="C28" s="14">
        <v>90201127</v>
      </c>
      <c r="D28" s="16" t="s">
        <v>31</v>
      </c>
      <c r="E28" s="10" t="s">
        <v>14</v>
      </c>
      <c r="F28" s="15">
        <v>23</v>
      </c>
      <c r="G28" s="17">
        <v>30.219999999999999</v>
      </c>
      <c r="H28" s="11">
        <f t="shared" si="2"/>
        <v>101.84139999999999</v>
      </c>
      <c r="I28" s="8">
        <f t="shared" si="3"/>
        <v>2342.3521999999998</v>
      </c>
    </row>
    <row r="29" ht="8.75" customHeight="1">
      <c r="A29" s="17"/>
      <c r="B29" s="17"/>
      <c r="C29" s="17"/>
      <c r="D29" s="17"/>
      <c r="E29" s="17"/>
      <c r="F29" s="17"/>
      <c r="G29" s="21" t="s">
        <v>37</v>
      </c>
      <c r="H29" s="21"/>
      <c r="I29" s="8">
        <f>SUM(I3:I28)</f>
        <v>53281.344560000012</v>
      </c>
    </row>
    <row r="30" ht="8.75" customHeight="1">
      <c r="A30" s="17"/>
      <c r="B30" s="17"/>
      <c r="C30" s="17"/>
      <c r="D30" s="17"/>
      <c r="E30" s="17"/>
      <c r="F30" s="17"/>
      <c r="G30" s="21" t="s">
        <v>38</v>
      </c>
      <c r="H30" s="21"/>
      <c r="I30" s="8">
        <f>I29*18%</f>
        <v>9590.6420208000018</v>
      </c>
    </row>
    <row r="31" ht="8.75" customHeight="1">
      <c r="A31" s="17"/>
      <c r="B31" s="17"/>
      <c r="C31" s="17"/>
      <c r="D31" s="17"/>
      <c r="E31" s="17"/>
      <c r="F31" s="17"/>
      <c r="G31" s="21" t="s">
        <v>7</v>
      </c>
      <c r="H31" s="21"/>
      <c r="I31" s="8">
        <f>+I30+I29</f>
        <v>62871.986580800018</v>
      </c>
    </row>
  </sheetData>
  <mergeCells count="4">
    <mergeCell ref="A29:F31"/>
    <mergeCell ref="G29:H29"/>
    <mergeCell ref="G30:H30"/>
    <mergeCell ref="G31:H3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MIMSA-444-NOV-LG-25 - CONSORCIO PACIFICO - OFERTA EQUIPOS - (E).xlsx</dc:title>
  <dc:creator>JUAN ROJAS</dc:creator>
  <cp:revision>3</cp:revision>
  <dcterms:created xsi:type="dcterms:W3CDTF">2025-11-12T16:41:38Z</dcterms:created>
  <dcterms:modified xsi:type="dcterms:W3CDTF">2025-11-13T02:15:27Z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2025-11-12T00:00:00Z</vt:filetime>
  </property>
  <property fmtid="{D5CDD505-2E9C-101B-9397-08002B2CF9AE}" pid="3" name="LastSaved">
    <vt:filetime>2025-11-12T00:00:00Z</vt:filetime>
  </property>
  <property fmtid="{D5CDD505-2E9C-101B-9397-08002B2CF9AE}" pid="4" name="Producer">
    <vt:lpwstr>Microsoft: Print To PDF</vt:lpwstr>
  </property>
</Properties>
</file>