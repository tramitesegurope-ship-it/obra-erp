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I:\INFORME 4\Parte I_LP, RP, RS y SFV\Volumen V_Valor Referencial\NUEVO\Mtdo y Ppto\"/>
    </mc:Choice>
  </mc:AlternateContent>
  <xr:revisionPtr revIDLastSave="0" documentId="13_ncr:1_{6A66727F-A137-4E22-BDC7-063BC8BEA370}" xr6:coauthVersionLast="47" xr6:coauthVersionMax="47" xr10:uidLastSave="{00000000-0000-0000-0000-000000000000}"/>
  <bookViews>
    <workbookView xWindow="-120" yWindow="-120" windowWidth="29040" windowHeight="15840" tabRatio="825" firstSheet="23" activeTab="24" xr2:uid="{00000000-000D-0000-FFFF-FFFF00000000}"/>
  </bookViews>
  <sheets>
    <sheet name="Resumen Total" sheetId="1" state="hidden" r:id="rId1"/>
    <sheet name="G. GENERALES" sheetId="30" state="hidden" r:id="rId2"/>
    <sheet name="CRONOG_VALORIZ" sheetId="5" state="hidden" r:id="rId3"/>
    <sheet name="EXPED-TECNICO" sheetId="3" state="hidden" r:id="rId4"/>
    <sheet name="RESUMEN LP" sheetId="8" state="hidden" r:id="rId5"/>
    <sheet name="Alternativa-LP" sheetId="31" state="hidden" r:id="rId6"/>
    <sheet name="SUMINISTRO LP" sheetId="9" state="hidden" r:id="rId7"/>
    <sheet name="MONTAJE LP" sheetId="11" state="hidden" r:id="rId8"/>
    <sheet name="TRANS_LP" sheetId="12" state="hidden" r:id="rId9"/>
    <sheet name="POLINOMICA LP" sheetId="13" state="hidden" r:id="rId10"/>
    <sheet name="RESUMEN RP" sheetId="14" state="hidden" r:id="rId11"/>
    <sheet name="Alternativa-RP" sheetId="32" state="hidden" r:id="rId12"/>
    <sheet name="SUMINISTRO RP" sheetId="16" state="hidden" r:id="rId13"/>
    <sheet name="MONTAJE RP" sheetId="17" state="hidden" r:id="rId14"/>
    <sheet name="TRANS._RP" sheetId="18" state="hidden" r:id="rId15"/>
    <sheet name="POLINOMICA RP" sheetId="19" state="hidden" r:id="rId16"/>
    <sheet name="RESUMEN RS" sheetId="38" state="hidden" r:id="rId17"/>
    <sheet name="Alternativa-RS" sheetId="33" state="hidden" r:id="rId18"/>
    <sheet name="SUMINISTRO RS" sheetId="22" state="hidden" r:id="rId19"/>
    <sheet name="MONTAJE RS" sheetId="23" state="hidden" r:id="rId20"/>
    <sheet name="TRANS.RS" sheetId="24" state="hidden" r:id="rId21"/>
    <sheet name="POLINOMICA RS" sheetId="25" state="hidden" r:id="rId22"/>
    <sheet name="Alternativa-SFV)" sheetId="40" state="hidden" r:id="rId23"/>
    <sheet name="SFVS" sheetId="34" r:id="rId24"/>
    <sheet name="MetradoSFV" sheetId="42" r:id="rId25"/>
    <sheet name="POLINOMICA  SFVS" sheetId="37" state="hidden" r:id="rId26"/>
    <sheet name="EQUIPO" sheetId="26" state="hidden" r:id="rId27"/>
    <sheet name="MO" sheetId="27" state="hidden" r:id="rId28"/>
    <sheet name="MATERIALES" sheetId="28" state="hidden" r:id="rId29"/>
    <sheet name="MAQUINARIA" sheetId="29" state="hidden" r:id="rId30"/>
  </sheets>
  <definedNames>
    <definedName name="_xlnm._FilterDatabase" localSheetId="24" hidden="1">#N/A</definedName>
    <definedName name="_xlnm._FilterDatabase" localSheetId="23" hidden="1">SFVS!$A$8:$AI$110</definedName>
    <definedName name="_xlnm.Print_Area" localSheetId="3">'EXPED-TECNICO'!$D$4:$K$200</definedName>
    <definedName name="_xlnm.Print_Area" localSheetId="24">MetradoSFV!$A$1:$P$24</definedName>
    <definedName name="_xlnm.Print_Area" localSheetId="7">'MONTAJE LP'!$B$1:$J$130</definedName>
    <definedName name="_xlnm.Print_Area" localSheetId="13">'MONTAJE RP'!$B$1:$J$90</definedName>
    <definedName name="_xlnm.Print_Area" localSheetId="19">'MONTAJE RS'!$B$1:$J$96</definedName>
    <definedName name="_xlnm.Print_Area" localSheetId="4">'RESUMEN LP'!$B$2:$F$21</definedName>
    <definedName name="_xlnm.Print_Area" localSheetId="10">'RESUMEN RP'!$B$1:$F$22</definedName>
    <definedName name="_xlnm.Print_Area" localSheetId="16">'RESUMEN RS'!$B$1:$F$22</definedName>
    <definedName name="_xlnm.Print_Area" localSheetId="0">'Resumen Total'!$B$2:$I$8</definedName>
    <definedName name="_xlnm.Print_Area" localSheetId="23">SFVS!$B$1:$U$156</definedName>
    <definedName name="_xlnm.Print_Area" localSheetId="6">'SUMINISTRO LP'!$B$1:$J$129</definedName>
    <definedName name="_xlnm.Print_Area" localSheetId="12">'SUMINISTRO RP'!$B$1:$J$108</definedName>
    <definedName name="_xlnm.Print_Area" localSheetId="18">'SUMINISTRO RS'!$B$1:$J$103</definedName>
    <definedName name="_xlnm.Print_Area" localSheetId="14">TRANS._RP!$B$1:$J$109</definedName>
    <definedName name="_xlnm.Print_Area" localSheetId="20">TRANS.RS!$B$1:$J$103</definedName>
    <definedName name="_xlnm.Print_Area" localSheetId="8">TRANS_LP!$B$1:$J$130</definedName>
    <definedName name="_xlnm.Print_Titles" localSheetId="7">'MONTAJE LP'!$1:$7</definedName>
    <definedName name="_xlnm.Print_Titles" localSheetId="13">'MONTAJE RP'!$1:$7</definedName>
    <definedName name="_xlnm.Print_Titles" localSheetId="19">'MONTAJE RS'!$1:$7</definedName>
    <definedName name="_xlnm.Print_Titles" localSheetId="23">SFVS!$1:$7</definedName>
    <definedName name="_xlnm.Print_Titles" localSheetId="6">'SUMINISTRO LP'!$1:$7</definedName>
    <definedName name="_xlnm.Print_Titles" localSheetId="12">'SUMINISTRO RP'!$1:$7</definedName>
    <definedName name="_xlnm.Print_Titles" localSheetId="18">'SUMINISTRO RS'!$1:$7</definedName>
    <definedName name="_xlnm.Print_Titles" localSheetId="14">TRANS._RP!$1:$7</definedName>
    <definedName name="_xlnm.Print_Titles" localSheetId="20">TRANS.RS!$1:$7</definedName>
    <definedName name="_xlnm.Print_Titles" localSheetId="8">TRANS_LP!$1:$7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42" l="1"/>
  <c r="P20" i="42"/>
  <c r="O20" i="42"/>
  <c r="L20" i="42"/>
  <c r="D20" i="42"/>
  <c r="M20" i="42" s="1"/>
  <c r="P19" i="42"/>
  <c r="O19" i="42"/>
  <c r="M19" i="42"/>
  <c r="L19" i="42"/>
  <c r="E19" i="42"/>
  <c r="N19" i="42" s="1"/>
  <c r="D19" i="42"/>
  <c r="P18" i="42"/>
  <c r="O18" i="42"/>
  <c r="M18" i="42"/>
  <c r="L18" i="42"/>
  <c r="E18" i="42"/>
  <c r="N18" i="42" s="1"/>
  <c r="D18" i="42"/>
  <c r="P17" i="42"/>
  <c r="O17" i="42"/>
  <c r="L17" i="42"/>
  <c r="D17" i="42"/>
  <c r="M17" i="42" s="1"/>
  <c r="P16" i="42"/>
  <c r="O16" i="42"/>
  <c r="L16" i="42"/>
  <c r="D16" i="42"/>
  <c r="M16" i="42" s="1"/>
  <c r="P15" i="42"/>
  <c r="O15" i="42"/>
  <c r="L15" i="42"/>
  <c r="D15" i="42"/>
  <c r="M15" i="42" s="1"/>
  <c r="P14" i="42"/>
  <c r="O14" i="42"/>
  <c r="M14" i="42"/>
  <c r="L14" i="42"/>
  <c r="E14" i="42"/>
  <c r="N14" i="42" s="1"/>
  <c r="D14" i="42"/>
  <c r="P13" i="42"/>
  <c r="O13" i="42"/>
  <c r="L13" i="42"/>
  <c r="D13" i="42"/>
  <c r="M13" i="42" s="1"/>
  <c r="P12" i="42"/>
  <c r="O12" i="42"/>
  <c r="L12" i="42"/>
  <c r="D12" i="42"/>
  <c r="M12" i="42" s="1"/>
  <c r="P11" i="42"/>
  <c r="O11" i="42"/>
  <c r="L11" i="42"/>
  <c r="D11" i="42"/>
  <c r="M11" i="42" s="1"/>
  <c r="P10" i="42"/>
  <c r="O10" i="42"/>
  <c r="M10" i="42"/>
  <c r="L10" i="42"/>
  <c r="E10" i="42"/>
  <c r="F10" i="42" s="1"/>
  <c r="G10" i="42" s="1"/>
  <c r="H10" i="42" s="1"/>
  <c r="I10" i="42" s="1"/>
  <c r="J10" i="42" s="1"/>
  <c r="K10" i="42" s="1"/>
  <c r="D10" i="42"/>
  <c r="A10" i="42"/>
  <c r="A11" i="42" s="1"/>
  <c r="A12" i="42" s="1"/>
  <c r="A13" i="42" s="1"/>
  <c r="A14" i="42" s="1"/>
  <c r="A15" i="42" s="1"/>
  <c r="A16" i="42" s="1"/>
  <c r="A17" i="42" s="1"/>
  <c r="A18" i="42" s="1"/>
  <c r="A19" i="42" s="1"/>
  <c r="A20" i="42" s="1"/>
  <c r="P9" i="42"/>
  <c r="O9" i="42"/>
  <c r="L9" i="42"/>
  <c r="L22" i="42" s="1"/>
  <c r="D9" i="42"/>
  <c r="N10" i="42" l="1"/>
  <c r="F14" i="42"/>
  <c r="G14" i="42" s="1"/>
  <c r="H14" i="42" s="1"/>
  <c r="I14" i="42" s="1"/>
  <c r="J14" i="42" s="1"/>
  <c r="K14" i="42" s="1"/>
  <c r="F18" i="42"/>
  <c r="G18" i="42" s="1"/>
  <c r="H18" i="42" s="1"/>
  <c r="I18" i="42" s="1"/>
  <c r="J18" i="42" s="1"/>
  <c r="K18" i="42" s="1"/>
  <c r="E9" i="42"/>
  <c r="M9" i="42"/>
  <c r="M22" i="42" s="1"/>
  <c r="E13" i="42"/>
  <c r="E17" i="42"/>
  <c r="D22" i="42"/>
  <c r="D103" i="42" s="1"/>
  <c r="E12" i="42"/>
  <c r="E16" i="42"/>
  <c r="E20" i="42"/>
  <c r="O22" i="42"/>
  <c r="O103" i="42" s="1"/>
  <c r="L103" i="42"/>
  <c r="P22" i="42"/>
  <c r="P103" i="42" s="1"/>
  <c r="E11" i="42"/>
  <c r="E15" i="42"/>
  <c r="F19" i="42"/>
  <c r="G19" i="42" s="1"/>
  <c r="H19" i="42" s="1"/>
  <c r="I19" i="42" s="1"/>
  <c r="J19" i="42" s="1"/>
  <c r="K19" i="42" s="1"/>
  <c r="K100" i="34"/>
  <c r="L100" i="34"/>
  <c r="M100" i="34"/>
  <c r="N100" i="34"/>
  <c r="O100" i="34"/>
  <c r="P100" i="34"/>
  <c r="Q100" i="34"/>
  <c r="R100" i="34"/>
  <c r="S100" i="34"/>
  <c r="T100" i="34"/>
  <c r="U100" i="34"/>
  <c r="J100" i="34"/>
  <c r="U102" i="34"/>
  <c r="T102" i="34"/>
  <c r="S102" i="34"/>
  <c r="R102" i="34"/>
  <c r="Q102" i="34"/>
  <c r="P102" i="34"/>
  <c r="O102" i="34"/>
  <c r="N102" i="34"/>
  <c r="M102" i="34"/>
  <c r="L102" i="34"/>
  <c r="K102" i="34"/>
  <c r="J102" i="34"/>
  <c r="U101" i="34"/>
  <c r="T101" i="34"/>
  <c r="S101" i="34"/>
  <c r="R101" i="34"/>
  <c r="Q101" i="34"/>
  <c r="P101" i="34"/>
  <c r="O101" i="34"/>
  <c r="N101" i="34"/>
  <c r="M101" i="34"/>
  <c r="L101" i="34"/>
  <c r="K101" i="34"/>
  <c r="J101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U41" i="34"/>
  <c r="T41" i="34"/>
  <c r="S41" i="34"/>
  <c r="R41" i="34"/>
  <c r="Q41" i="34"/>
  <c r="P41" i="34"/>
  <c r="O41" i="34"/>
  <c r="N41" i="34"/>
  <c r="M41" i="34"/>
  <c r="L41" i="34"/>
  <c r="K41" i="34"/>
  <c r="J41" i="34"/>
  <c r="U40" i="34"/>
  <c r="T40" i="34"/>
  <c r="S40" i="34"/>
  <c r="R40" i="34"/>
  <c r="Q40" i="34"/>
  <c r="P40" i="34"/>
  <c r="O40" i="34"/>
  <c r="N40" i="34"/>
  <c r="M40" i="34"/>
  <c r="L40" i="34"/>
  <c r="K40" i="34"/>
  <c r="J40" i="34"/>
  <c r="H40" i="34" s="1"/>
  <c r="K25" i="34"/>
  <c r="L25" i="34"/>
  <c r="M25" i="34"/>
  <c r="N25" i="34"/>
  <c r="O25" i="34"/>
  <c r="P25" i="34"/>
  <c r="Q25" i="34"/>
  <c r="R25" i="34"/>
  <c r="S25" i="34"/>
  <c r="T25" i="34"/>
  <c r="U25" i="34"/>
  <c r="J25" i="34"/>
  <c r="E103" i="42" l="1"/>
  <c r="N9" i="42"/>
  <c r="F9" i="42"/>
  <c r="E22" i="42"/>
  <c r="N20" i="42"/>
  <c r="F20" i="42"/>
  <c r="G20" i="42" s="1"/>
  <c r="H20" i="42" s="1"/>
  <c r="I20" i="42" s="1"/>
  <c r="J20" i="42" s="1"/>
  <c r="K20" i="42" s="1"/>
  <c r="N16" i="42"/>
  <c r="F16" i="42"/>
  <c r="G16" i="42" s="1"/>
  <c r="H16" i="42" s="1"/>
  <c r="I16" i="42" s="1"/>
  <c r="J16" i="42" s="1"/>
  <c r="K16" i="42" s="1"/>
  <c r="N12" i="42"/>
  <c r="F12" i="42"/>
  <c r="G12" i="42" s="1"/>
  <c r="H12" i="42" s="1"/>
  <c r="I12" i="42" s="1"/>
  <c r="J12" i="42" s="1"/>
  <c r="K12" i="42" s="1"/>
  <c r="N15" i="42"/>
  <c r="F15" i="42"/>
  <c r="G15" i="42" s="1"/>
  <c r="H15" i="42" s="1"/>
  <c r="I15" i="42" s="1"/>
  <c r="J15" i="42" s="1"/>
  <c r="K15" i="42" s="1"/>
  <c r="N11" i="42"/>
  <c r="F11" i="42"/>
  <c r="G11" i="42" s="1"/>
  <c r="H11" i="42" s="1"/>
  <c r="I11" i="42" s="1"/>
  <c r="J11" i="42" s="1"/>
  <c r="K11" i="42" s="1"/>
  <c r="N17" i="42"/>
  <c r="F17" i="42"/>
  <c r="G17" i="42" s="1"/>
  <c r="H17" i="42" s="1"/>
  <c r="I17" i="42" s="1"/>
  <c r="J17" i="42" s="1"/>
  <c r="K17" i="42" s="1"/>
  <c r="N13" i="42"/>
  <c r="F13" i="42"/>
  <c r="G13" i="42" s="1"/>
  <c r="H13" i="42" s="1"/>
  <c r="I13" i="42" s="1"/>
  <c r="J13" i="42" s="1"/>
  <c r="K13" i="42" s="1"/>
  <c r="H101" i="34"/>
  <c r="H102" i="34"/>
  <c r="H53" i="34"/>
  <c r="H41" i="34"/>
  <c r="H25" i="34"/>
  <c r="H100" i="34"/>
  <c r="K154" i="34"/>
  <c r="L154" i="34"/>
  <c r="M154" i="34"/>
  <c r="N154" i="34"/>
  <c r="O154" i="34"/>
  <c r="P154" i="34"/>
  <c r="Q154" i="34"/>
  <c r="R154" i="34"/>
  <c r="S154" i="34"/>
  <c r="T154" i="34"/>
  <c r="U154" i="34"/>
  <c r="J154" i="34"/>
  <c r="K150" i="34"/>
  <c r="L150" i="34"/>
  <c r="M150" i="34"/>
  <c r="N150" i="34"/>
  <c r="O150" i="34"/>
  <c r="P150" i="34"/>
  <c r="Q150" i="34"/>
  <c r="R150" i="34"/>
  <c r="S150" i="34"/>
  <c r="T150" i="34"/>
  <c r="U150" i="34"/>
  <c r="J150" i="34"/>
  <c r="M149" i="34"/>
  <c r="M151" i="34" s="1"/>
  <c r="K148" i="34"/>
  <c r="K151" i="34" s="1"/>
  <c r="L148" i="34"/>
  <c r="L151" i="34" s="1"/>
  <c r="N148" i="34"/>
  <c r="N151" i="34" s="1"/>
  <c r="O148" i="34"/>
  <c r="O151" i="34" s="1"/>
  <c r="P148" i="34"/>
  <c r="P151" i="34" s="1"/>
  <c r="Q148" i="34"/>
  <c r="Q151" i="34" s="1"/>
  <c r="R148" i="34"/>
  <c r="R151" i="34" s="1"/>
  <c r="S148" i="34"/>
  <c r="S151" i="34" s="1"/>
  <c r="T148" i="34"/>
  <c r="T151" i="34" s="1"/>
  <c r="U148" i="34"/>
  <c r="U151" i="34" s="1"/>
  <c r="J148" i="34"/>
  <c r="J151" i="34" s="1"/>
  <c r="K147" i="34"/>
  <c r="L147" i="34"/>
  <c r="M147" i="34"/>
  <c r="N147" i="34"/>
  <c r="O147" i="34"/>
  <c r="P147" i="34"/>
  <c r="Q147" i="34"/>
  <c r="R147" i="34"/>
  <c r="S147" i="34"/>
  <c r="T147" i="34"/>
  <c r="U147" i="34"/>
  <c r="J147" i="34"/>
  <c r="K142" i="34"/>
  <c r="L142" i="34"/>
  <c r="M142" i="34"/>
  <c r="N142" i="34"/>
  <c r="O142" i="34"/>
  <c r="P142" i="34"/>
  <c r="Q142" i="34"/>
  <c r="R142" i="34"/>
  <c r="S142" i="34"/>
  <c r="T142" i="34"/>
  <c r="U142" i="34"/>
  <c r="K143" i="34"/>
  <c r="L143" i="34"/>
  <c r="M143" i="34"/>
  <c r="N143" i="34"/>
  <c r="O143" i="34"/>
  <c r="P143" i="34"/>
  <c r="Q143" i="34"/>
  <c r="R143" i="34"/>
  <c r="S143" i="34"/>
  <c r="T143" i="34"/>
  <c r="U143" i="34"/>
  <c r="K144" i="34"/>
  <c r="L144" i="34"/>
  <c r="M144" i="34"/>
  <c r="N144" i="34"/>
  <c r="O144" i="34"/>
  <c r="P144" i="34"/>
  <c r="Q144" i="34"/>
  <c r="R144" i="34"/>
  <c r="S144" i="34"/>
  <c r="T144" i="34"/>
  <c r="U144" i="34"/>
  <c r="J144" i="34"/>
  <c r="J143" i="34"/>
  <c r="J142" i="34"/>
  <c r="K138" i="34"/>
  <c r="L138" i="34"/>
  <c r="M138" i="34"/>
  <c r="N138" i="34"/>
  <c r="O138" i="34"/>
  <c r="P138" i="34"/>
  <c r="Q138" i="34"/>
  <c r="R138" i="34"/>
  <c r="S138" i="34"/>
  <c r="T138" i="34"/>
  <c r="U138" i="34"/>
  <c r="K139" i="34"/>
  <c r="L139" i="34"/>
  <c r="M139" i="34"/>
  <c r="N139" i="34"/>
  <c r="O139" i="34"/>
  <c r="P139" i="34"/>
  <c r="Q139" i="34"/>
  <c r="R139" i="34"/>
  <c r="S139" i="34"/>
  <c r="T139" i="34"/>
  <c r="U139" i="34"/>
  <c r="J139" i="34"/>
  <c r="J138" i="34"/>
  <c r="K134" i="34"/>
  <c r="L134" i="34"/>
  <c r="M134" i="34"/>
  <c r="N134" i="34"/>
  <c r="O134" i="34"/>
  <c r="P134" i="34"/>
  <c r="Q134" i="34"/>
  <c r="R134" i="34"/>
  <c r="S134" i="34"/>
  <c r="T134" i="34"/>
  <c r="U134" i="34"/>
  <c r="K135" i="34"/>
  <c r="L135" i="34"/>
  <c r="M135" i="34"/>
  <c r="N135" i="34"/>
  <c r="O135" i="34"/>
  <c r="P135" i="34"/>
  <c r="Q135" i="34"/>
  <c r="R135" i="34"/>
  <c r="S135" i="34"/>
  <c r="T135" i="34"/>
  <c r="U135" i="34"/>
  <c r="K131" i="34"/>
  <c r="L131" i="34"/>
  <c r="M131" i="34"/>
  <c r="N131" i="34"/>
  <c r="O131" i="34"/>
  <c r="P131" i="34"/>
  <c r="Q131" i="34"/>
  <c r="R131" i="34"/>
  <c r="S131" i="34"/>
  <c r="T131" i="34"/>
  <c r="U131" i="34"/>
  <c r="J135" i="34"/>
  <c r="J134" i="34"/>
  <c r="K133" i="34"/>
  <c r="V133" i="34" s="1"/>
  <c r="L132" i="34"/>
  <c r="M132" i="34"/>
  <c r="N132" i="34"/>
  <c r="O132" i="34"/>
  <c r="P132" i="34"/>
  <c r="Q132" i="34"/>
  <c r="R132" i="34"/>
  <c r="S132" i="34"/>
  <c r="T132" i="34"/>
  <c r="U132" i="34"/>
  <c r="J132" i="34"/>
  <c r="J131" i="34"/>
  <c r="L129" i="34"/>
  <c r="M129" i="34"/>
  <c r="N129" i="34"/>
  <c r="O129" i="34"/>
  <c r="P129" i="34"/>
  <c r="Q129" i="34"/>
  <c r="R129" i="34"/>
  <c r="S129" i="34"/>
  <c r="T129" i="34"/>
  <c r="U129" i="34"/>
  <c r="K130" i="34"/>
  <c r="V130" i="34" s="1"/>
  <c r="J129" i="34"/>
  <c r="K116" i="34"/>
  <c r="K118" i="34" s="1"/>
  <c r="K120" i="34" s="1"/>
  <c r="K122" i="34" s="1"/>
  <c r="K124" i="34" s="1"/>
  <c r="K126" i="34" s="1"/>
  <c r="L116" i="34"/>
  <c r="L118" i="34" s="1"/>
  <c r="L120" i="34" s="1"/>
  <c r="L122" i="34" s="1"/>
  <c r="L124" i="34" s="1"/>
  <c r="L126" i="34" s="1"/>
  <c r="M116" i="34"/>
  <c r="M118" i="34" s="1"/>
  <c r="M120" i="34" s="1"/>
  <c r="M122" i="34" s="1"/>
  <c r="M124" i="34" s="1"/>
  <c r="M126" i="34" s="1"/>
  <c r="N116" i="34"/>
  <c r="N118" i="34" s="1"/>
  <c r="N120" i="34" s="1"/>
  <c r="N122" i="34" s="1"/>
  <c r="N124" i="34" s="1"/>
  <c r="N126" i="34" s="1"/>
  <c r="O116" i="34"/>
  <c r="O118" i="34" s="1"/>
  <c r="O120" i="34" s="1"/>
  <c r="O122" i="34" s="1"/>
  <c r="O124" i="34" s="1"/>
  <c r="O126" i="34" s="1"/>
  <c r="P116" i="34"/>
  <c r="P118" i="34" s="1"/>
  <c r="P120" i="34" s="1"/>
  <c r="P122" i="34" s="1"/>
  <c r="P124" i="34" s="1"/>
  <c r="P126" i="34" s="1"/>
  <c r="Q116" i="34"/>
  <c r="Q118" i="34" s="1"/>
  <c r="Q120" i="34" s="1"/>
  <c r="Q122" i="34" s="1"/>
  <c r="Q124" i="34" s="1"/>
  <c r="Q126" i="34" s="1"/>
  <c r="R116" i="34"/>
  <c r="R118" i="34" s="1"/>
  <c r="R120" i="34" s="1"/>
  <c r="R122" i="34" s="1"/>
  <c r="R124" i="34" s="1"/>
  <c r="R126" i="34" s="1"/>
  <c r="S116" i="34"/>
  <c r="S118" i="34" s="1"/>
  <c r="S120" i="34" s="1"/>
  <c r="S122" i="34" s="1"/>
  <c r="S124" i="34" s="1"/>
  <c r="S126" i="34" s="1"/>
  <c r="T116" i="34"/>
  <c r="T118" i="34" s="1"/>
  <c r="T120" i="34" s="1"/>
  <c r="T122" i="34" s="1"/>
  <c r="T124" i="34" s="1"/>
  <c r="T126" i="34" s="1"/>
  <c r="U116" i="34"/>
  <c r="U118" i="34" s="1"/>
  <c r="U120" i="34" s="1"/>
  <c r="U122" i="34" s="1"/>
  <c r="U124" i="34" s="1"/>
  <c r="U126" i="34" s="1"/>
  <c r="J116" i="34"/>
  <c r="J118" i="34" s="1"/>
  <c r="J120" i="34" s="1"/>
  <c r="J122" i="34" s="1"/>
  <c r="J124" i="34" s="1"/>
  <c r="J126" i="34" s="1"/>
  <c r="K115" i="34"/>
  <c r="K117" i="34" s="1"/>
  <c r="K119" i="34" s="1"/>
  <c r="K121" i="34" s="1"/>
  <c r="K123" i="34" s="1"/>
  <c r="K125" i="34" s="1"/>
  <c r="L115" i="34"/>
  <c r="L117" i="34" s="1"/>
  <c r="L119" i="34" s="1"/>
  <c r="L121" i="34" s="1"/>
  <c r="L123" i="34" s="1"/>
  <c r="L125" i="34" s="1"/>
  <c r="M115" i="34"/>
  <c r="M117" i="34" s="1"/>
  <c r="M119" i="34" s="1"/>
  <c r="M121" i="34" s="1"/>
  <c r="M123" i="34" s="1"/>
  <c r="M125" i="34" s="1"/>
  <c r="N115" i="34"/>
  <c r="N117" i="34" s="1"/>
  <c r="N119" i="34" s="1"/>
  <c r="N121" i="34" s="1"/>
  <c r="N123" i="34" s="1"/>
  <c r="N125" i="34" s="1"/>
  <c r="O115" i="34"/>
  <c r="O117" i="34" s="1"/>
  <c r="O119" i="34" s="1"/>
  <c r="O121" i="34" s="1"/>
  <c r="O123" i="34" s="1"/>
  <c r="O125" i="34" s="1"/>
  <c r="P115" i="34"/>
  <c r="P117" i="34" s="1"/>
  <c r="P119" i="34" s="1"/>
  <c r="P121" i="34" s="1"/>
  <c r="P123" i="34" s="1"/>
  <c r="P125" i="34" s="1"/>
  <c r="Q115" i="34"/>
  <c r="Q117" i="34" s="1"/>
  <c r="Q119" i="34" s="1"/>
  <c r="Q121" i="34" s="1"/>
  <c r="Q123" i="34" s="1"/>
  <c r="Q125" i="34" s="1"/>
  <c r="R115" i="34"/>
  <c r="R117" i="34" s="1"/>
  <c r="R119" i="34" s="1"/>
  <c r="R121" i="34" s="1"/>
  <c r="R123" i="34" s="1"/>
  <c r="R125" i="34" s="1"/>
  <c r="S115" i="34"/>
  <c r="S117" i="34" s="1"/>
  <c r="S119" i="34" s="1"/>
  <c r="S121" i="34" s="1"/>
  <c r="S123" i="34" s="1"/>
  <c r="S125" i="34" s="1"/>
  <c r="T115" i="34"/>
  <c r="T117" i="34" s="1"/>
  <c r="T119" i="34" s="1"/>
  <c r="T121" i="34" s="1"/>
  <c r="T123" i="34" s="1"/>
  <c r="T125" i="34" s="1"/>
  <c r="U115" i="34"/>
  <c r="U117" i="34" s="1"/>
  <c r="U119" i="34" s="1"/>
  <c r="U121" i="34" s="1"/>
  <c r="U123" i="34" s="1"/>
  <c r="U125" i="34" s="1"/>
  <c r="J115" i="34"/>
  <c r="J117" i="34" s="1"/>
  <c r="J119" i="34" s="1"/>
  <c r="J121" i="34" s="1"/>
  <c r="J123" i="34" s="1"/>
  <c r="J125" i="34" s="1"/>
  <c r="U109" i="34"/>
  <c r="T109" i="34"/>
  <c r="S109" i="34"/>
  <c r="R109" i="34"/>
  <c r="Q109" i="34"/>
  <c r="P109" i="34"/>
  <c r="O109" i="34"/>
  <c r="N109" i="34"/>
  <c r="M109" i="34"/>
  <c r="L109" i="34"/>
  <c r="K109" i="34"/>
  <c r="J109" i="34"/>
  <c r="U98" i="34"/>
  <c r="T98" i="34"/>
  <c r="S98" i="34"/>
  <c r="R98" i="34"/>
  <c r="Q98" i="34"/>
  <c r="P98" i="34"/>
  <c r="O98" i="34"/>
  <c r="N98" i="34"/>
  <c r="M98" i="34"/>
  <c r="L98" i="34"/>
  <c r="K98" i="34"/>
  <c r="J98" i="34"/>
  <c r="V156" i="34"/>
  <c r="V155" i="34"/>
  <c r="H155" i="34"/>
  <c r="V153" i="34"/>
  <c r="V152" i="34"/>
  <c r="V146" i="34"/>
  <c r="B146" i="34"/>
  <c r="B153" i="34" s="1"/>
  <c r="V145" i="34"/>
  <c r="B142" i="34"/>
  <c r="B143" i="34" s="1"/>
  <c r="B144" i="34" s="1"/>
  <c r="V141" i="34"/>
  <c r="V140" i="34"/>
  <c r="B138" i="34"/>
  <c r="B139" i="34" s="1"/>
  <c r="V137" i="34"/>
  <c r="V136" i="34"/>
  <c r="B129" i="34"/>
  <c r="B130" i="34" s="1"/>
  <c r="B131" i="34" s="1"/>
  <c r="B132" i="34" s="1"/>
  <c r="B133" i="34" s="1"/>
  <c r="B134" i="34" s="1"/>
  <c r="B135" i="34" s="1"/>
  <c r="V128" i="34"/>
  <c r="V127" i="34"/>
  <c r="V114" i="34"/>
  <c r="H114" i="34"/>
  <c r="V113" i="34"/>
  <c r="H113" i="34"/>
  <c r="B113" i="34"/>
  <c r="B114" i="34" s="1"/>
  <c r="B115" i="34" s="1"/>
  <c r="B116" i="34" s="1"/>
  <c r="B117" i="34" s="1"/>
  <c r="B118" i="34" s="1"/>
  <c r="B119" i="34" s="1"/>
  <c r="B120" i="34" s="1"/>
  <c r="B121" i="34" s="1"/>
  <c r="B122" i="34" s="1"/>
  <c r="B123" i="34" s="1"/>
  <c r="B124" i="34" s="1"/>
  <c r="B125" i="34" s="1"/>
  <c r="B126" i="34" s="1"/>
  <c r="V112" i="34"/>
  <c r="V111" i="34"/>
  <c r="F103" i="42" l="1"/>
  <c r="G9" i="42"/>
  <c r="F22" i="42"/>
  <c r="N22" i="42"/>
  <c r="N103" i="42" s="1"/>
  <c r="H149" i="34"/>
  <c r="B147" i="34"/>
  <c r="B148" i="34" s="1"/>
  <c r="B149" i="34" s="1"/>
  <c r="B150" i="34" s="1"/>
  <c r="B151" i="34" s="1"/>
  <c r="H117" i="34"/>
  <c r="V151" i="34"/>
  <c r="H151" i="34"/>
  <c r="V149" i="34"/>
  <c r="V117" i="34"/>
  <c r="V129" i="34"/>
  <c r="V125" i="34"/>
  <c r="V115" i="34"/>
  <c r="H121" i="34"/>
  <c r="H125" i="34"/>
  <c r="H129" i="34"/>
  <c r="H132" i="34"/>
  <c r="V119" i="34"/>
  <c r="H115" i="34"/>
  <c r="V123" i="34"/>
  <c r="H123" i="34"/>
  <c r="V132" i="34"/>
  <c r="V148" i="34"/>
  <c r="B154" i="34"/>
  <c r="B155" i="34" s="1"/>
  <c r="H119" i="34"/>
  <c r="H148" i="34"/>
  <c r="V121" i="34"/>
  <c r="H130" i="34"/>
  <c r="H133" i="34"/>
  <c r="H10" i="34"/>
  <c r="H9" i="42" l="1"/>
  <c r="G22" i="42"/>
  <c r="J11" i="34"/>
  <c r="J14" i="34"/>
  <c r="J15" i="34"/>
  <c r="J16" i="34"/>
  <c r="J17" i="34"/>
  <c r="J18" i="34"/>
  <c r="J19" i="34"/>
  <c r="J20" i="34"/>
  <c r="J21" i="34"/>
  <c r="N105" i="34"/>
  <c r="U108" i="34"/>
  <c r="T108" i="34"/>
  <c r="S108" i="34"/>
  <c r="R108" i="34"/>
  <c r="Q108" i="34"/>
  <c r="P108" i="34"/>
  <c r="O108" i="34"/>
  <c r="M108" i="34"/>
  <c r="L108" i="34"/>
  <c r="K108" i="34"/>
  <c r="U107" i="34"/>
  <c r="T107" i="34"/>
  <c r="S107" i="34"/>
  <c r="R107" i="34"/>
  <c r="Q107" i="34"/>
  <c r="P107" i="34"/>
  <c r="O107" i="34"/>
  <c r="M107" i="34"/>
  <c r="L107" i="34"/>
  <c r="K107" i="34"/>
  <c r="U106" i="34"/>
  <c r="T106" i="34"/>
  <c r="S106" i="34"/>
  <c r="R106" i="34"/>
  <c r="Q106" i="34"/>
  <c r="P106" i="34"/>
  <c r="O106" i="34"/>
  <c r="M106" i="34"/>
  <c r="L106" i="34"/>
  <c r="K106" i="34"/>
  <c r="U105" i="34"/>
  <c r="T105" i="34"/>
  <c r="S105" i="34"/>
  <c r="R105" i="34"/>
  <c r="Q105" i="34"/>
  <c r="P105" i="34"/>
  <c r="O105" i="34"/>
  <c r="M105" i="34"/>
  <c r="L105" i="34"/>
  <c r="K105" i="34"/>
  <c r="U97" i="34"/>
  <c r="T97" i="34"/>
  <c r="S97" i="34"/>
  <c r="R97" i="34"/>
  <c r="Q97" i="34"/>
  <c r="P97" i="34"/>
  <c r="O97" i="34"/>
  <c r="M97" i="34"/>
  <c r="L97" i="34"/>
  <c r="K97" i="34"/>
  <c r="U96" i="34"/>
  <c r="T96" i="34"/>
  <c r="S96" i="34"/>
  <c r="R96" i="34"/>
  <c r="Q96" i="34"/>
  <c r="P96" i="34"/>
  <c r="O96" i="34"/>
  <c r="M96" i="34"/>
  <c r="L96" i="34"/>
  <c r="K96" i="34"/>
  <c r="U95" i="34"/>
  <c r="T95" i="34"/>
  <c r="S95" i="34"/>
  <c r="R95" i="34"/>
  <c r="Q95" i="34"/>
  <c r="P95" i="34"/>
  <c r="O95" i="34"/>
  <c r="N95" i="34"/>
  <c r="M95" i="34"/>
  <c r="L95" i="34"/>
  <c r="K95" i="34"/>
  <c r="U94" i="34"/>
  <c r="T94" i="34"/>
  <c r="S94" i="34"/>
  <c r="R94" i="34"/>
  <c r="Q94" i="34"/>
  <c r="P94" i="34"/>
  <c r="O94" i="34"/>
  <c r="M94" i="34"/>
  <c r="L94" i="34"/>
  <c r="K94" i="34"/>
  <c r="U93" i="34"/>
  <c r="T93" i="34"/>
  <c r="S93" i="34"/>
  <c r="R93" i="34"/>
  <c r="Q93" i="34"/>
  <c r="P93" i="34"/>
  <c r="O93" i="34"/>
  <c r="M93" i="34"/>
  <c r="L93" i="34"/>
  <c r="K93" i="34"/>
  <c r="U92" i="34"/>
  <c r="T92" i="34"/>
  <c r="S92" i="34"/>
  <c r="R92" i="34"/>
  <c r="Q92" i="34"/>
  <c r="P92" i="34"/>
  <c r="O92" i="34"/>
  <c r="M92" i="34"/>
  <c r="L92" i="34"/>
  <c r="K92" i="34"/>
  <c r="U89" i="34"/>
  <c r="T89" i="34"/>
  <c r="S89" i="34"/>
  <c r="R89" i="34"/>
  <c r="Q89" i="34"/>
  <c r="P89" i="34"/>
  <c r="O89" i="34"/>
  <c r="M89" i="34"/>
  <c r="L89" i="34"/>
  <c r="K89" i="34"/>
  <c r="U88" i="34"/>
  <c r="T88" i="34"/>
  <c r="S88" i="34"/>
  <c r="R88" i="34"/>
  <c r="Q88" i="34"/>
  <c r="P88" i="34"/>
  <c r="O88" i="34"/>
  <c r="M88" i="34"/>
  <c r="L88" i="34"/>
  <c r="K88" i="34"/>
  <c r="U87" i="34"/>
  <c r="T87" i="34"/>
  <c r="S87" i="34"/>
  <c r="R87" i="34"/>
  <c r="Q87" i="34"/>
  <c r="P87" i="34"/>
  <c r="O87" i="34"/>
  <c r="M87" i="34"/>
  <c r="L87" i="34"/>
  <c r="K87" i="34"/>
  <c r="U86" i="34"/>
  <c r="T86" i="34"/>
  <c r="S86" i="34"/>
  <c r="R86" i="34"/>
  <c r="Q86" i="34"/>
  <c r="P86" i="34"/>
  <c r="O86" i="34"/>
  <c r="M86" i="34"/>
  <c r="L86" i="34"/>
  <c r="K86" i="34"/>
  <c r="U85" i="34"/>
  <c r="T85" i="34"/>
  <c r="S85" i="34"/>
  <c r="R85" i="34"/>
  <c r="Q85" i="34"/>
  <c r="P85" i="34"/>
  <c r="O85" i="34"/>
  <c r="N85" i="34"/>
  <c r="M85" i="34"/>
  <c r="L85" i="34"/>
  <c r="K85" i="34"/>
  <c r="U82" i="34"/>
  <c r="T82" i="34"/>
  <c r="S82" i="34"/>
  <c r="R82" i="34"/>
  <c r="Q82" i="34"/>
  <c r="P82" i="34"/>
  <c r="O82" i="34"/>
  <c r="M82" i="34"/>
  <c r="L82" i="34"/>
  <c r="K82" i="34"/>
  <c r="U81" i="34"/>
  <c r="T81" i="34"/>
  <c r="S81" i="34"/>
  <c r="R81" i="34"/>
  <c r="Q81" i="34"/>
  <c r="P81" i="34"/>
  <c r="O81" i="34"/>
  <c r="M81" i="34"/>
  <c r="L81" i="34"/>
  <c r="K81" i="34"/>
  <c r="U80" i="34"/>
  <c r="T80" i="34"/>
  <c r="S80" i="34"/>
  <c r="R80" i="34"/>
  <c r="Q80" i="34"/>
  <c r="P80" i="34"/>
  <c r="O80" i="34"/>
  <c r="M80" i="34"/>
  <c r="L80" i="34"/>
  <c r="K80" i="34"/>
  <c r="U79" i="34"/>
  <c r="T79" i="34"/>
  <c r="S79" i="34"/>
  <c r="R79" i="34"/>
  <c r="Q79" i="34"/>
  <c r="P79" i="34"/>
  <c r="O79" i="34"/>
  <c r="M79" i="34"/>
  <c r="L79" i="34"/>
  <c r="K79" i="34"/>
  <c r="U78" i="34"/>
  <c r="T78" i="34"/>
  <c r="S78" i="34"/>
  <c r="R78" i="34"/>
  <c r="Q78" i="34"/>
  <c r="P78" i="34"/>
  <c r="O78" i="34"/>
  <c r="M78" i="34"/>
  <c r="L78" i="34"/>
  <c r="K78" i="34"/>
  <c r="U77" i="34"/>
  <c r="T77" i="34"/>
  <c r="S77" i="34"/>
  <c r="R77" i="34"/>
  <c r="Q77" i="34"/>
  <c r="P77" i="34"/>
  <c r="O77" i="34"/>
  <c r="M77" i="34"/>
  <c r="L77" i="34"/>
  <c r="K77" i="34"/>
  <c r="U76" i="34"/>
  <c r="T76" i="34"/>
  <c r="S76" i="34"/>
  <c r="R76" i="34"/>
  <c r="Q76" i="34"/>
  <c r="P76" i="34"/>
  <c r="O76" i="34"/>
  <c r="M76" i="34"/>
  <c r="L76" i="34"/>
  <c r="K76" i="34"/>
  <c r="U75" i="34"/>
  <c r="T75" i="34"/>
  <c r="S75" i="34"/>
  <c r="R75" i="34"/>
  <c r="Q75" i="34"/>
  <c r="P75" i="34"/>
  <c r="O75" i="34"/>
  <c r="N75" i="34"/>
  <c r="M75" i="34"/>
  <c r="L75" i="34"/>
  <c r="K75" i="34"/>
  <c r="U74" i="34"/>
  <c r="T74" i="34"/>
  <c r="S74" i="34"/>
  <c r="R74" i="34"/>
  <c r="Q74" i="34"/>
  <c r="P74" i="34"/>
  <c r="O74" i="34"/>
  <c r="M74" i="34"/>
  <c r="L74" i="34"/>
  <c r="K74" i="34"/>
  <c r="U73" i="34"/>
  <c r="T73" i="34"/>
  <c r="S73" i="34"/>
  <c r="R73" i="34"/>
  <c r="Q73" i="34"/>
  <c r="P73" i="34"/>
  <c r="O73" i="34"/>
  <c r="M73" i="34"/>
  <c r="L73" i="34"/>
  <c r="K73" i="34"/>
  <c r="U72" i="34"/>
  <c r="T72" i="34"/>
  <c r="S72" i="34"/>
  <c r="R72" i="34"/>
  <c r="Q72" i="34"/>
  <c r="P72" i="34"/>
  <c r="O72" i="34"/>
  <c r="M72" i="34"/>
  <c r="L72" i="34"/>
  <c r="K72" i="34"/>
  <c r="U71" i="34"/>
  <c r="T71" i="34"/>
  <c r="S71" i="34"/>
  <c r="R71" i="34"/>
  <c r="Q71" i="34"/>
  <c r="P71" i="34"/>
  <c r="O71" i="34"/>
  <c r="M71" i="34"/>
  <c r="L71" i="34"/>
  <c r="K71" i="34"/>
  <c r="U70" i="34"/>
  <c r="T70" i="34"/>
  <c r="S70" i="34"/>
  <c r="R70" i="34"/>
  <c r="Q70" i="34"/>
  <c r="P70" i="34"/>
  <c r="O70" i="34"/>
  <c r="M70" i="34"/>
  <c r="L70" i="34"/>
  <c r="K70" i="34"/>
  <c r="U69" i="34"/>
  <c r="T69" i="34"/>
  <c r="S69" i="34"/>
  <c r="R69" i="34"/>
  <c r="Q69" i="34"/>
  <c r="P69" i="34"/>
  <c r="O69" i="34"/>
  <c r="M69" i="34"/>
  <c r="L69" i="34"/>
  <c r="K69" i="34"/>
  <c r="U68" i="34"/>
  <c r="T68" i="34"/>
  <c r="S68" i="34"/>
  <c r="R68" i="34"/>
  <c r="Q68" i="34"/>
  <c r="P68" i="34"/>
  <c r="O68" i="34"/>
  <c r="M68" i="34"/>
  <c r="L68" i="34"/>
  <c r="K68" i="34"/>
  <c r="U67" i="34"/>
  <c r="T67" i="34"/>
  <c r="S67" i="34"/>
  <c r="R67" i="34"/>
  <c r="Q67" i="34"/>
  <c r="P67" i="34"/>
  <c r="O67" i="34"/>
  <c r="N67" i="34"/>
  <c r="M67" i="34"/>
  <c r="L67" i="34"/>
  <c r="K67" i="34"/>
  <c r="U66" i="34"/>
  <c r="T66" i="34"/>
  <c r="S66" i="34"/>
  <c r="R66" i="34"/>
  <c r="Q66" i="34"/>
  <c r="P66" i="34"/>
  <c r="O66" i="34"/>
  <c r="M66" i="34"/>
  <c r="L66" i="34"/>
  <c r="K66" i="34"/>
  <c r="U63" i="34"/>
  <c r="T63" i="34"/>
  <c r="S63" i="34"/>
  <c r="R63" i="34"/>
  <c r="Q63" i="34"/>
  <c r="P63" i="34"/>
  <c r="O63" i="34"/>
  <c r="M63" i="34"/>
  <c r="L63" i="34"/>
  <c r="K63" i="34"/>
  <c r="U62" i="34"/>
  <c r="T62" i="34"/>
  <c r="S62" i="34"/>
  <c r="R62" i="34"/>
  <c r="Q62" i="34"/>
  <c r="P62" i="34"/>
  <c r="O62" i="34"/>
  <c r="M62" i="34"/>
  <c r="L62" i="34"/>
  <c r="K62" i="34"/>
  <c r="U61" i="34"/>
  <c r="T61" i="34"/>
  <c r="S61" i="34"/>
  <c r="R61" i="34"/>
  <c r="Q61" i="34"/>
  <c r="P61" i="34"/>
  <c r="O61" i="34"/>
  <c r="M61" i="34"/>
  <c r="L61" i="34"/>
  <c r="K61" i="34"/>
  <c r="U60" i="34"/>
  <c r="T60" i="34"/>
  <c r="S60" i="34"/>
  <c r="R60" i="34"/>
  <c r="Q60" i="34"/>
  <c r="P60" i="34"/>
  <c r="O60" i="34"/>
  <c r="M60" i="34"/>
  <c r="L60" i="34"/>
  <c r="K60" i="34"/>
  <c r="U59" i="34"/>
  <c r="T59" i="34"/>
  <c r="S59" i="34"/>
  <c r="R59" i="34"/>
  <c r="Q59" i="34"/>
  <c r="P59" i="34"/>
  <c r="O59" i="34"/>
  <c r="M59" i="34"/>
  <c r="L59" i="34"/>
  <c r="K59" i="34"/>
  <c r="U58" i="34"/>
  <c r="T58" i="34"/>
  <c r="S58" i="34"/>
  <c r="R58" i="34"/>
  <c r="Q58" i="34"/>
  <c r="P58" i="34"/>
  <c r="O58" i="34"/>
  <c r="M58" i="34"/>
  <c r="L58" i="34"/>
  <c r="K58" i="34"/>
  <c r="U57" i="34"/>
  <c r="T57" i="34"/>
  <c r="S57" i="34"/>
  <c r="R57" i="34"/>
  <c r="Q57" i="34"/>
  <c r="P57" i="34"/>
  <c r="O57" i="34"/>
  <c r="N57" i="34"/>
  <c r="M57" i="34"/>
  <c r="L57" i="34"/>
  <c r="K57" i="34"/>
  <c r="U56" i="34"/>
  <c r="T56" i="34"/>
  <c r="S56" i="34"/>
  <c r="R56" i="34"/>
  <c r="Q56" i="34"/>
  <c r="P56" i="34"/>
  <c r="O56" i="34"/>
  <c r="M56" i="34"/>
  <c r="L56" i="34"/>
  <c r="K56" i="34"/>
  <c r="U52" i="34"/>
  <c r="T52" i="34"/>
  <c r="S52" i="34"/>
  <c r="R52" i="34"/>
  <c r="Q52" i="34"/>
  <c r="P52" i="34"/>
  <c r="O52" i="34"/>
  <c r="M52" i="34"/>
  <c r="L52" i="34"/>
  <c r="K52" i="34"/>
  <c r="U51" i="34"/>
  <c r="T51" i="34"/>
  <c r="S51" i="34"/>
  <c r="R51" i="34"/>
  <c r="Q51" i="34"/>
  <c r="P51" i="34"/>
  <c r="O51" i="34"/>
  <c r="M51" i="34"/>
  <c r="L51" i="34"/>
  <c r="K51" i="34"/>
  <c r="U50" i="34"/>
  <c r="T50" i="34"/>
  <c r="S50" i="34"/>
  <c r="R50" i="34"/>
  <c r="Q50" i="34"/>
  <c r="P50" i="34"/>
  <c r="O50" i="34"/>
  <c r="M50" i="34"/>
  <c r="L50" i="34"/>
  <c r="K50" i="34"/>
  <c r="U49" i="34"/>
  <c r="T49" i="34"/>
  <c r="S49" i="34"/>
  <c r="R49" i="34"/>
  <c r="Q49" i="34"/>
  <c r="P49" i="34"/>
  <c r="O49" i="34"/>
  <c r="M49" i="34"/>
  <c r="L49" i="34"/>
  <c r="K49" i="34"/>
  <c r="U48" i="34"/>
  <c r="T48" i="34"/>
  <c r="S48" i="34"/>
  <c r="R48" i="34"/>
  <c r="Q48" i="34"/>
  <c r="P48" i="34"/>
  <c r="O48" i="34"/>
  <c r="M48" i="34"/>
  <c r="L48" i="34"/>
  <c r="K48" i="34"/>
  <c r="U47" i="34"/>
  <c r="T47" i="34"/>
  <c r="S47" i="34"/>
  <c r="R47" i="34"/>
  <c r="Q47" i="34"/>
  <c r="P47" i="34"/>
  <c r="O47" i="34"/>
  <c r="M47" i="34"/>
  <c r="L47" i="34"/>
  <c r="K47" i="34"/>
  <c r="U46" i="34"/>
  <c r="T46" i="34"/>
  <c r="S46" i="34"/>
  <c r="R46" i="34"/>
  <c r="Q46" i="34"/>
  <c r="P46" i="34"/>
  <c r="O46" i="34"/>
  <c r="N46" i="34"/>
  <c r="M46" i="34"/>
  <c r="L46" i="34"/>
  <c r="K46" i="34"/>
  <c r="U45" i="34"/>
  <c r="T45" i="34"/>
  <c r="S45" i="34"/>
  <c r="R45" i="34"/>
  <c r="Q45" i="34"/>
  <c r="P45" i="34"/>
  <c r="O45" i="34"/>
  <c r="M45" i="34"/>
  <c r="L45" i="34"/>
  <c r="K45" i="34"/>
  <c r="U39" i="34"/>
  <c r="T39" i="34"/>
  <c r="S39" i="34"/>
  <c r="R39" i="34"/>
  <c r="Q39" i="34"/>
  <c r="P39" i="34"/>
  <c r="O39" i="34"/>
  <c r="M39" i="34"/>
  <c r="L39" i="34"/>
  <c r="K39" i="34"/>
  <c r="U38" i="34"/>
  <c r="T38" i="34"/>
  <c r="S38" i="34"/>
  <c r="R38" i="34"/>
  <c r="Q38" i="34"/>
  <c r="P38" i="34"/>
  <c r="O38" i="34"/>
  <c r="M38" i="34"/>
  <c r="L38" i="34"/>
  <c r="K38" i="34"/>
  <c r="U37" i="34"/>
  <c r="T37" i="34"/>
  <c r="S37" i="34"/>
  <c r="R37" i="34"/>
  <c r="Q37" i="34"/>
  <c r="P37" i="34"/>
  <c r="O37" i="34"/>
  <c r="M37" i="34"/>
  <c r="L37" i="34"/>
  <c r="K37" i="34"/>
  <c r="U36" i="34"/>
  <c r="T36" i="34"/>
  <c r="S36" i="34"/>
  <c r="R36" i="34"/>
  <c r="Q36" i="34"/>
  <c r="P36" i="34"/>
  <c r="O36" i="34"/>
  <c r="M36" i="34"/>
  <c r="L36" i="34"/>
  <c r="K36" i="34"/>
  <c r="U35" i="34"/>
  <c r="T35" i="34"/>
  <c r="S35" i="34"/>
  <c r="R35" i="34"/>
  <c r="Q35" i="34"/>
  <c r="P35" i="34"/>
  <c r="O35" i="34"/>
  <c r="M35" i="34"/>
  <c r="L35" i="34"/>
  <c r="K35" i="34"/>
  <c r="U34" i="34"/>
  <c r="T34" i="34"/>
  <c r="S34" i="34"/>
  <c r="R34" i="34"/>
  <c r="Q34" i="34"/>
  <c r="P34" i="34"/>
  <c r="O34" i="34"/>
  <c r="N34" i="34"/>
  <c r="M34" i="34"/>
  <c r="L34" i="34"/>
  <c r="K34" i="34"/>
  <c r="U33" i="34"/>
  <c r="T33" i="34"/>
  <c r="S33" i="34"/>
  <c r="R33" i="34"/>
  <c r="Q33" i="34"/>
  <c r="P33" i="34"/>
  <c r="O33" i="34"/>
  <c r="M33" i="34"/>
  <c r="L33" i="34"/>
  <c r="K33" i="34"/>
  <c r="U32" i="34"/>
  <c r="T32" i="34"/>
  <c r="S32" i="34"/>
  <c r="R32" i="34"/>
  <c r="Q32" i="34"/>
  <c r="P32" i="34"/>
  <c r="O32" i="34"/>
  <c r="M32" i="34"/>
  <c r="L32" i="34"/>
  <c r="K32" i="34"/>
  <c r="U31" i="34"/>
  <c r="T31" i="34"/>
  <c r="S31" i="34"/>
  <c r="R31" i="34"/>
  <c r="Q31" i="34"/>
  <c r="P31" i="34"/>
  <c r="O31" i="34"/>
  <c r="M31" i="34"/>
  <c r="L31" i="34"/>
  <c r="K31" i="34"/>
  <c r="U30" i="34"/>
  <c r="T30" i="34"/>
  <c r="S30" i="34"/>
  <c r="R30" i="34"/>
  <c r="Q30" i="34"/>
  <c r="P30" i="34"/>
  <c r="O30" i="34"/>
  <c r="M30" i="34"/>
  <c r="L30" i="34"/>
  <c r="K30" i="34"/>
  <c r="U24" i="34"/>
  <c r="T24" i="34"/>
  <c r="S24" i="34"/>
  <c r="R24" i="34"/>
  <c r="Q24" i="34"/>
  <c r="P24" i="34"/>
  <c r="O24" i="34"/>
  <c r="M24" i="34"/>
  <c r="L24" i="34"/>
  <c r="K24" i="34"/>
  <c r="U23" i="34"/>
  <c r="T23" i="34"/>
  <c r="S23" i="34"/>
  <c r="R23" i="34"/>
  <c r="Q23" i="34"/>
  <c r="P23" i="34"/>
  <c r="O23" i="34"/>
  <c r="N23" i="34"/>
  <c r="M23" i="34"/>
  <c r="L23" i="34"/>
  <c r="K23" i="34"/>
  <c r="U22" i="34"/>
  <c r="T22" i="34"/>
  <c r="S22" i="34"/>
  <c r="R22" i="34"/>
  <c r="Q22" i="34"/>
  <c r="P22" i="34"/>
  <c r="O22" i="34"/>
  <c r="M22" i="34"/>
  <c r="L22" i="34"/>
  <c r="K22" i="34"/>
  <c r="U21" i="34"/>
  <c r="T21" i="34"/>
  <c r="S21" i="34"/>
  <c r="R21" i="34"/>
  <c r="Q21" i="34"/>
  <c r="P21" i="34"/>
  <c r="O21" i="34"/>
  <c r="M21" i="34"/>
  <c r="L21" i="34"/>
  <c r="K21" i="34"/>
  <c r="U20" i="34"/>
  <c r="T20" i="34"/>
  <c r="S20" i="34"/>
  <c r="R20" i="34"/>
  <c r="Q20" i="34"/>
  <c r="P20" i="34"/>
  <c r="O20" i="34"/>
  <c r="M20" i="34"/>
  <c r="L20" i="34"/>
  <c r="K20" i="34"/>
  <c r="U19" i="34"/>
  <c r="T19" i="34"/>
  <c r="S19" i="34"/>
  <c r="R19" i="34"/>
  <c r="Q19" i="34"/>
  <c r="P19" i="34"/>
  <c r="O19" i="34"/>
  <c r="M19" i="34"/>
  <c r="L19" i="34"/>
  <c r="K19" i="34"/>
  <c r="U18" i="34"/>
  <c r="T18" i="34"/>
  <c r="S18" i="34"/>
  <c r="R18" i="34"/>
  <c r="Q18" i="34"/>
  <c r="P18" i="34"/>
  <c r="O18" i="34"/>
  <c r="M18" i="34"/>
  <c r="L18" i="34"/>
  <c r="K18" i="34"/>
  <c r="U17" i="34"/>
  <c r="T17" i="34"/>
  <c r="S17" i="34"/>
  <c r="R17" i="34"/>
  <c r="Q17" i="34"/>
  <c r="P17" i="34"/>
  <c r="O17" i="34"/>
  <c r="M17" i="34"/>
  <c r="L17" i="34"/>
  <c r="K17" i="34"/>
  <c r="U16" i="34"/>
  <c r="T16" i="34"/>
  <c r="S16" i="34"/>
  <c r="R16" i="34"/>
  <c r="Q16" i="34"/>
  <c r="P16" i="34"/>
  <c r="O16" i="34"/>
  <c r="M16" i="34"/>
  <c r="L16" i="34"/>
  <c r="K16" i="34"/>
  <c r="U15" i="34"/>
  <c r="T15" i="34"/>
  <c r="S15" i="34"/>
  <c r="R15" i="34"/>
  <c r="Q15" i="34"/>
  <c r="P15" i="34"/>
  <c r="O15" i="34"/>
  <c r="N15" i="34"/>
  <c r="M15" i="34"/>
  <c r="L15" i="34"/>
  <c r="K15" i="34"/>
  <c r="U14" i="34"/>
  <c r="T14" i="34"/>
  <c r="S14" i="34"/>
  <c r="R14" i="34"/>
  <c r="Q14" i="34"/>
  <c r="P14" i="34"/>
  <c r="O14" i="34"/>
  <c r="M14" i="34"/>
  <c r="L14" i="34"/>
  <c r="K14" i="34"/>
  <c r="U11" i="34"/>
  <c r="T11" i="34"/>
  <c r="S11" i="34"/>
  <c r="R11" i="34"/>
  <c r="Q11" i="34"/>
  <c r="P11" i="34"/>
  <c r="O11" i="34"/>
  <c r="M11" i="34"/>
  <c r="L11" i="34"/>
  <c r="K11" i="34"/>
  <c r="J81" i="34"/>
  <c r="J66" i="34"/>
  <c r="J67" i="34"/>
  <c r="J80" i="34"/>
  <c r="J85" i="34"/>
  <c r="J79" i="34"/>
  <c r="J68" i="34"/>
  <c r="J78" i="34"/>
  <c r="J48" i="34"/>
  <c r="J32" i="34"/>
  <c r="J93" i="34"/>
  <c r="J105" i="34"/>
  <c r="J87" i="34"/>
  <c r="J82" i="34"/>
  <c r="J63" i="34"/>
  <c r="J59" i="34"/>
  <c r="J74" i="34"/>
  <c r="J50" i="34"/>
  <c r="J46" i="34"/>
  <c r="J35" i="34"/>
  <c r="J30" i="34"/>
  <c r="J77" i="34"/>
  <c r="J76" i="34"/>
  <c r="J73" i="34"/>
  <c r="J72" i="34"/>
  <c r="J71" i="34"/>
  <c r="J70" i="34"/>
  <c r="J69" i="34"/>
  <c r="J94" i="34"/>
  <c r="J88" i="34"/>
  <c r="J62" i="34"/>
  <c r="J61" i="34"/>
  <c r="J57" i="34"/>
  <c r="J51" i="34"/>
  <c r="J47" i="34"/>
  <c r="J39" i="34"/>
  <c r="J34" i="34"/>
  <c r="J31" i="34"/>
  <c r="J22" i="34"/>
  <c r="J23" i="34"/>
  <c r="J24" i="34"/>
  <c r="J33" i="34"/>
  <c r="J36" i="34"/>
  <c r="J37" i="34"/>
  <c r="J38" i="34"/>
  <c r="J45" i="34"/>
  <c r="J49" i="34"/>
  <c r="J52" i="34"/>
  <c r="J56" i="34"/>
  <c r="J58" i="34"/>
  <c r="J60" i="34"/>
  <c r="J75" i="34"/>
  <c r="J86" i="34"/>
  <c r="J89" i="34"/>
  <c r="J92" i="34"/>
  <c r="J95" i="34"/>
  <c r="J96" i="34"/>
  <c r="J97" i="34"/>
  <c r="J106" i="34"/>
  <c r="J107" i="34"/>
  <c r="J108" i="34"/>
  <c r="Y14" i="34"/>
  <c r="X17" i="34"/>
  <c r="K120" i="9"/>
  <c r="B7" i="29"/>
  <c r="B6" i="29"/>
  <c r="B7" i="28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6" i="27"/>
  <c r="B7" i="27" s="1"/>
  <c r="B8" i="27" s="1"/>
  <c r="B9" i="27" s="1"/>
  <c r="B10" i="27" s="1"/>
  <c r="B11" i="27" s="1"/>
  <c r="B12" i="27" s="1"/>
  <c r="B13" i="27" s="1"/>
  <c r="B14" i="27" s="1"/>
  <c r="B15" i="27" s="1"/>
  <c r="B16" i="27" s="1"/>
  <c r="B17" i="27" s="1"/>
  <c r="B18" i="27" s="1"/>
  <c r="B19" i="27" s="1"/>
  <c r="B20" i="27" s="1"/>
  <c r="B21" i="27" s="1"/>
  <c r="B22" i="27" s="1"/>
  <c r="B23" i="27" s="1"/>
  <c r="B24" i="27" s="1"/>
  <c r="B25" i="27" s="1"/>
  <c r="B26" i="27" s="1"/>
  <c r="B27" i="27" s="1"/>
  <c r="B28" i="27" s="1"/>
  <c r="B29" i="27" s="1"/>
  <c r="B30" i="27" s="1"/>
  <c r="B8" i="26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13" i="34"/>
  <c r="B27" i="34" s="1"/>
  <c r="B43" i="34" s="1"/>
  <c r="B10" i="34"/>
  <c r="B11" i="34" s="1"/>
  <c r="H101" i="24"/>
  <c r="J101" i="24" s="1"/>
  <c r="G101" i="24"/>
  <c r="D101" i="24"/>
  <c r="H100" i="24"/>
  <c r="J100" i="24" s="1"/>
  <c r="G100" i="24"/>
  <c r="D100" i="24"/>
  <c r="H99" i="24"/>
  <c r="J99" i="24" s="1"/>
  <c r="G99" i="24"/>
  <c r="D99" i="24"/>
  <c r="J98" i="24"/>
  <c r="H98" i="24"/>
  <c r="G98" i="24"/>
  <c r="D98" i="24"/>
  <c r="H97" i="24"/>
  <c r="J97" i="24" s="1"/>
  <c r="G97" i="24"/>
  <c r="D97" i="24"/>
  <c r="H96" i="24"/>
  <c r="J96" i="24" s="1"/>
  <c r="G96" i="24"/>
  <c r="D96" i="24"/>
  <c r="H95" i="24"/>
  <c r="J95" i="24" s="1"/>
  <c r="G95" i="24"/>
  <c r="D95" i="24"/>
  <c r="H94" i="24"/>
  <c r="J94" i="24" s="1"/>
  <c r="G94" i="24"/>
  <c r="D94" i="24"/>
  <c r="H93" i="24"/>
  <c r="J93" i="24" s="1"/>
  <c r="G93" i="24"/>
  <c r="D93" i="24"/>
  <c r="H92" i="24"/>
  <c r="J92" i="24" s="1"/>
  <c r="G92" i="24"/>
  <c r="D92" i="24"/>
  <c r="H91" i="24"/>
  <c r="J91" i="24" s="1"/>
  <c r="G91" i="24"/>
  <c r="D91" i="24"/>
  <c r="H90" i="24"/>
  <c r="J90" i="24" s="1"/>
  <c r="G90" i="24"/>
  <c r="D90" i="24"/>
  <c r="H89" i="24"/>
  <c r="J89" i="24" s="1"/>
  <c r="G89" i="24"/>
  <c r="D89" i="24"/>
  <c r="H86" i="24"/>
  <c r="J86" i="24" s="1"/>
  <c r="G86" i="24"/>
  <c r="D86" i="24"/>
  <c r="H85" i="24"/>
  <c r="J85" i="24" s="1"/>
  <c r="G85" i="24"/>
  <c r="D85" i="24"/>
  <c r="H84" i="24"/>
  <c r="J84" i="24" s="1"/>
  <c r="G84" i="24"/>
  <c r="D84" i="24"/>
  <c r="H83" i="24"/>
  <c r="J83" i="24" s="1"/>
  <c r="G83" i="24"/>
  <c r="D83" i="24"/>
  <c r="H82" i="24"/>
  <c r="J82" i="24" s="1"/>
  <c r="G82" i="24"/>
  <c r="D82" i="24"/>
  <c r="H81" i="24"/>
  <c r="J81" i="24" s="1"/>
  <c r="G81" i="24"/>
  <c r="D81" i="24"/>
  <c r="H80" i="24"/>
  <c r="J80" i="24" s="1"/>
  <c r="G80" i="24"/>
  <c r="D80" i="24"/>
  <c r="H77" i="24"/>
  <c r="J77" i="24" s="1"/>
  <c r="G77" i="24"/>
  <c r="D77" i="24"/>
  <c r="H76" i="24"/>
  <c r="J76" i="24" s="1"/>
  <c r="G76" i="24"/>
  <c r="D76" i="24"/>
  <c r="J75" i="24"/>
  <c r="H75" i="24"/>
  <c r="G75" i="24"/>
  <c r="D75" i="24"/>
  <c r="H74" i="24"/>
  <c r="J74" i="24" s="1"/>
  <c r="G74" i="24"/>
  <c r="D74" i="24"/>
  <c r="H73" i="24"/>
  <c r="J73" i="24" s="1"/>
  <c r="G73" i="24"/>
  <c r="D73" i="24"/>
  <c r="H72" i="24"/>
  <c r="J72" i="24" s="1"/>
  <c r="G72" i="24"/>
  <c r="D72" i="24"/>
  <c r="H71" i="24"/>
  <c r="J71" i="24" s="1"/>
  <c r="G71" i="24"/>
  <c r="D71" i="24"/>
  <c r="J70" i="24"/>
  <c r="H70" i="24"/>
  <c r="G70" i="24"/>
  <c r="D70" i="24"/>
  <c r="H69" i="24"/>
  <c r="J69" i="24" s="1"/>
  <c r="G69" i="24"/>
  <c r="D69" i="24"/>
  <c r="H68" i="24"/>
  <c r="J68" i="24" s="1"/>
  <c r="G68" i="24"/>
  <c r="D68" i="24"/>
  <c r="H67" i="24"/>
  <c r="J67" i="24" s="1"/>
  <c r="G67" i="24"/>
  <c r="D67" i="24"/>
  <c r="H66" i="24"/>
  <c r="J66" i="24" s="1"/>
  <c r="G66" i="24"/>
  <c r="D66" i="24"/>
  <c r="H65" i="24"/>
  <c r="J65" i="24" s="1"/>
  <c r="G65" i="24"/>
  <c r="D65" i="24"/>
  <c r="H64" i="24"/>
  <c r="J64" i="24" s="1"/>
  <c r="G64" i="24"/>
  <c r="D64" i="24"/>
  <c r="H61" i="24"/>
  <c r="J61" i="24" s="1"/>
  <c r="G61" i="24"/>
  <c r="D61" i="24"/>
  <c r="H60" i="24"/>
  <c r="J60" i="24" s="1"/>
  <c r="G60" i="24"/>
  <c r="D60" i="24"/>
  <c r="H59" i="24"/>
  <c r="J59" i="24" s="1"/>
  <c r="G59" i="24"/>
  <c r="D59" i="24"/>
  <c r="H58" i="24"/>
  <c r="J58" i="24" s="1"/>
  <c r="G58" i="24"/>
  <c r="D58" i="24"/>
  <c r="H57" i="24"/>
  <c r="J57" i="24" s="1"/>
  <c r="G57" i="24"/>
  <c r="D57" i="24"/>
  <c r="H56" i="24"/>
  <c r="J56" i="24" s="1"/>
  <c r="G56" i="24"/>
  <c r="D56" i="24"/>
  <c r="H55" i="24"/>
  <c r="J55" i="24" s="1"/>
  <c r="G55" i="24"/>
  <c r="D55" i="24"/>
  <c r="H54" i="24"/>
  <c r="J54" i="24" s="1"/>
  <c r="G54" i="24"/>
  <c r="D54" i="24"/>
  <c r="H53" i="24"/>
  <c r="J53" i="24" s="1"/>
  <c r="G53" i="24"/>
  <c r="D53" i="24"/>
  <c r="H52" i="24"/>
  <c r="J52" i="24" s="1"/>
  <c r="G52" i="24"/>
  <c r="D52" i="24"/>
  <c r="H51" i="24"/>
  <c r="J51" i="24" s="1"/>
  <c r="G51" i="24"/>
  <c r="D51" i="24"/>
  <c r="H50" i="24"/>
  <c r="J50" i="24" s="1"/>
  <c r="G50" i="24"/>
  <c r="D50" i="24"/>
  <c r="H47" i="24"/>
  <c r="J47" i="24" s="1"/>
  <c r="G47" i="24"/>
  <c r="D47" i="24"/>
  <c r="H46" i="24"/>
  <c r="J46" i="24" s="1"/>
  <c r="G46" i="24"/>
  <c r="D46" i="24"/>
  <c r="H45" i="24"/>
  <c r="J45" i="24" s="1"/>
  <c r="G45" i="24"/>
  <c r="D45" i="24"/>
  <c r="H44" i="24"/>
  <c r="J44" i="24" s="1"/>
  <c r="G44" i="24"/>
  <c r="D44" i="24"/>
  <c r="H43" i="24"/>
  <c r="J43" i="24" s="1"/>
  <c r="G43" i="24"/>
  <c r="D43" i="24"/>
  <c r="H42" i="24"/>
  <c r="J42" i="24" s="1"/>
  <c r="G42" i="24"/>
  <c r="D42" i="24"/>
  <c r="H41" i="24"/>
  <c r="J41" i="24" s="1"/>
  <c r="G41" i="24"/>
  <c r="D41" i="24"/>
  <c r="H38" i="24"/>
  <c r="J38" i="24" s="1"/>
  <c r="G38" i="24"/>
  <c r="D38" i="24"/>
  <c r="H37" i="24"/>
  <c r="J37" i="24" s="1"/>
  <c r="G37" i="24"/>
  <c r="D37" i="24"/>
  <c r="H36" i="24"/>
  <c r="J36" i="24" s="1"/>
  <c r="G36" i="24"/>
  <c r="D36" i="24"/>
  <c r="H35" i="24"/>
  <c r="J35" i="24" s="1"/>
  <c r="G35" i="24"/>
  <c r="D35" i="24"/>
  <c r="H32" i="24"/>
  <c r="J32" i="24" s="1"/>
  <c r="G32" i="24"/>
  <c r="D32" i="24"/>
  <c r="H31" i="24"/>
  <c r="J31" i="24" s="1"/>
  <c r="G31" i="24"/>
  <c r="D31" i="24"/>
  <c r="H30" i="24"/>
  <c r="J30" i="24" s="1"/>
  <c r="G30" i="24"/>
  <c r="D30" i="24"/>
  <c r="H29" i="24"/>
  <c r="J29" i="24" s="1"/>
  <c r="G29" i="24"/>
  <c r="D29" i="24"/>
  <c r="H28" i="24"/>
  <c r="J28" i="24" s="1"/>
  <c r="G28" i="24"/>
  <c r="D28" i="24"/>
  <c r="H27" i="24"/>
  <c r="J27" i="24" s="1"/>
  <c r="G27" i="24"/>
  <c r="D27" i="24"/>
  <c r="H26" i="24"/>
  <c r="J26" i="24" s="1"/>
  <c r="G26" i="24"/>
  <c r="D26" i="24"/>
  <c r="H25" i="24"/>
  <c r="J25" i="24" s="1"/>
  <c r="G25" i="24"/>
  <c r="D25" i="24"/>
  <c r="J24" i="24"/>
  <c r="H24" i="24"/>
  <c r="G24" i="24"/>
  <c r="D24" i="24"/>
  <c r="H21" i="24"/>
  <c r="J21" i="24" s="1"/>
  <c r="G21" i="24"/>
  <c r="D21" i="24"/>
  <c r="H20" i="24"/>
  <c r="J20" i="24" s="1"/>
  <c r="G20" i="24"/>
  <c r="D20" i="24"/>
  <c r="H19" i="24"/>
  <c r="J19" i="24" s="1"/>
  <c r="G19" i="24"/>
  <c r="D19" i="24"/>
  <c r="H18" i="24"/>
  <c r="J18" i="24" s="1"/>
  <c r="G18" i="24"/>
  <c r="D18" i="24"/>
  <c r="H17" i="24"/>
  <c r="J17" i="24" s="1"/>
  <c r="G17" i="24"/>
  <c r="D17" i="24"/>
  <c r="H14" i="24"/>
  <c r="J14" i="24" s="1"/>
  <c r="J15" i="24" s="1"/>
  <c r="G14" i="24"/>
  <c r="D14" i="24"/>
  <c r="B13" i="24"/>
  <c r="B16" i="24" s="1"/>
  <c r="F22" i="24" s="1"/>
  <c r="F12" i="24"/>
  <c r="P11" i="24"/>
  <c r="H11" i="24"/>
  <c r="G11" i="24"/>
  <c r="D11" i="24"/>
  <c r="H10" i="24"/>
  <c r="J10" i="24" s="1"/>
  <c r="G10" i="24"/>
  <c r="D10" i="24"/>
  <c r="B10" i="24"/>
  <c r="B11" i="24" s="1"/>
  <c r="M93" i="23"/>
  <c r="J93" i="23"/>
  <c r="M92" i="23"/>
  <c r="J92" i="23"/>
  <c r="M89" i="23"/>
  <c r="J89" i="23"/>
  <c r="M88" i="23"/>
  <c r="J88" i="23"/>
  <c r="M87" i="23"/>
  <c r="J87" i="23"/>
  <c r="M86" i="23"/>
  <c r="J86" i="23"/>
  <c r="M85" i="23"/>
  <c r="J85" i="23"/>
  <c r="M84" i="23"/>
  <c r="J84" i="23"/>
  <c r="B84" i="23"/>
  <c r="B85" i="23" s="1"/>
  <c r="B86" i="23" s="1"/>
  <c r="B87" i="23" s="1"/>
  <c r="B88" i="23" s="1"/>
  <c r="B89" i="23" s="1"/>
  <c r="M83" i="23"/>
  <c r="J83" i="23"/>
  <c r="B82" i="23"/>
  <c r="B83" i="23" s="1"/>
  <c r="F81" i="23"/>
  <c r="M80" i="23"/>
  <c r="J80" i="23"/>
  <c r="M79" i="23"/>
  <c r="J79" i="23"/>
  <c r="M78" i="23"/>
  <c r="J78" i="23"/>
  <c r="M77" i="23"/>
  <c r="J77" i="23"/>
  <c r="M76" i="23"/>
  <c r="J76" i="23"/>
  <c r="M75" i="23"/>
  <c r="J75" i="23"/>
  <c r="M74" i="23"/>
  <c r="J74" i="23"/>
  <c r="B74" i="23"/>
  <c r="B75" i="23" s="1"/>
  <c r="B76" i="23" s="1"/>
  <c r="B77" i="23" s="1"/>
  <c r="B78" i="23" s="1"/>
  <c r="B79" i="23" s="1"/>
  <c r="B80" i="23" s="1"/>
  <c r="F71" i="23"/>
  <c r="M70" i="23"/>
  <c r="J70" i="23"/>
  <c r="M69" i="23"/>
  <c r="J69" i="23"/>
  <c r="B69" i="23"/>
  <c r="B70" i="23" s="1"/>
  <c r="F67" i="23"/>
  <c r="M66" i="23"/>
  <c r="J66" i="23"/>
  <c r="M65" i="23"/>
  <c r="J65" i="23"/>
  <c r="M64" i="23"/>
  <c r="J64" i="23"/>
  <c r="M63" i="23"/>
  <c r="J63" i="23"/>
  <c r="M62" i="23"/>
  <c r="J62" i="23"/>
  <c r="B62" i="23"/>
  <c r="B63" i="23" s="1"/>
  <c r="B64" i="23" s="1"/>
  <c r="B65" i="23" s="1"/>
  <c r="B66" i="23" s="1"/>
  <c r="F60" i="23"/>
  <c r="M59" i="23"/>
  <c r="J59" i="23"/>
  <c r="M58" i="23"/>
  <c r="J58" i="23"/>
  <c r="M57" i="23"/>
  <c r="J57" i="23"/>
  <c r="M56" i="23"/>
  <c r="J56" i="23"/>
  <c r="B56" i="23"/>
  <c r="B57" i="23" s="1"/>
  <c r="B58" i="23" s="1"/>
  <c r="B59" i="23" s="1"/>
  <c r="M55" i="23"/>
  <c r="J55" i="23"/>
  <c r="B55" i="23"/>
  <c r="F52" i="23"/>
  <c r="M51" i="23"/>
  <c r="J51" i="23"/>
  <c r="M50" i="23"/>
  <c r="J50" i="23"/>
  <c r="M49" i="23"/>
  <c r="J49" i="23"/>
  <c r="M48" i="23"/>
  <c r="J48" i="23"/>
  <c r="M47" i="23"/>
  <c r="J47" i="23"/>
  <c r="M46" i="23"/>
  <c r="J46" i="23"/>
  <c r="M45" i="23"/>
  <c r="J45" i="23"/>
  <c r="B45" i="23"/>
  <c r="B46" i="23" s="1"/>
  <c r="B47" i="23" s="1"/>
  <c r="B48" i="23" s="1"/>
  <c r="B49" i="23" s="1"/>
  <c r="B50" i="23" s="1"/>
  <c r="B51" i="23" s="1"/>
  <c r="F43" i="23"/>
  <c r="M42" i="23"/>
  <c r="J42" i="23"/>
  <c r="M41" i="23"/>
  <c r="J41" i="23"/>
  <c r="M40" i="23"/>
  <c r="J40" i="23"/>
  <c r="M39" i="23"/>
  <c r="J39" i="23"/>
  <c r="B39" i="23"/>
  <c r="B40" i="23" s="1"/>
  <c r="B41" i="23" s="1"/>
  <c r="B42" i="23" s="1"/>
  <c r="M38" i="23"/>
  <c r="J38" i="23"/>
  <c r="M37" i="23"/>
  <c r="J37" i="23"/>
  <c r="B37" i="23"/>
  <c r="B38" i="23" s="1"/>
  <c r="F35" i="23"/>
  <c r="M34" i="23"/>
  <c r="J34" i="23"/>
  <c r="M33" i="23"/>
  <c r="J33" i="23"/>
  <c r="M32" i="23"/>
  <c r="J32" i="23"/>
  <c r="M31" i="23"/>
  <c r="J31" i="23"/>
  <c r="M30" i="23"/>
  <c r="J30" i="23"/>
  <c r="M29" i="23"/>
  <c r="J29" i="23"/>
  <c r="M28" i="23"/>
  <c r="J28" i="23"/>
  <c r="M27" i="23"/>
  <c r="J27" i="23"/>
  <c r="B27" i="23"/>
  <c r="B28" i="23" s="1"/>
  <c r="B29" i="23" s="1"/>
  <c r="B30" i="23" s="1"/>
  <c r="B31" i="23" s="1"/>
  <c r="B32" i="23" s="1"/>
  <c r="B33" i="23" s="1"/>
  <c r="B34" i="23" s="1"/>
  <c r="F25" i="23"/>
  <c r="M24" i="23"/>
  <c r="J24" i="23"/>
  <c r="M23" i="23"/>
  <c r="J23" i="23"/>
  <c r="M22" i="23"/>
  <c r="J22" i="23"/>
  <c r="M21" i="23"/>
  <c r="J21" i="23"/>
  <c r="M20" i="23"/>
  <c r="J20" i="23"/>
  <c r="M19" i="23"/>
  <c r="J19" i="23"/>
  <c r="M18" i="23"/>
  <c r="J18" i="23"/>
  <c r="M17" i="23"/>
  <c r="J17" i="23"/>
  <c r="M16" i="23"/>
  <c r="J16" i="23"/>
  <c r="M15" i="23"/>
  <c r="J15" i="23"/>
  <c r="M14" i="23"/>
  <c r="J14" i="23"/>
  <c r="M13" i="23"/>
  <c r="J13" i="23"/>
  <c r="M12" i="23"/>
  <c r="J12" i="23"/>
  <c r="M11" i="23"/>
  <c r="J11" i="23"/>
  <c r="M10" i="23"/>
  <c r="J10" i="23"/>
  <c r="B10" i="23"/>
  <c r="B11" i="23" s="1"/>
  <c r="B12" i="23" s="1"/>
  <c r="B13" i="23" s="1"/>
  <c r="B14" i="23" s="1"/>
  <c r="B15" i="23" s="1"/>
  <c r="B16" i="23" s="1"/>
  <c r="B17" i="23" s="1"/>
  <c r="B18" i="23" s="1"/>
  <c r="B19" i="23" s="1"/>
  <c r="B20" i="23" s="1"/>
  <c r="B21" i="23" s="1"/>
  <c r="B22" i="23" s="1"/>
  <c r="B23" i="23" s="1"/>
  <c r="B24" i="23" s="1"/>
  <c r="J101" i="22"/>
  <c r="J100" i="22"/>
  <c r="J99" i="22"/>
  <c r="J98" i="22"/>
  <c r="J97" i="22"/>
  <c r="J96" i="22"/>
  <c r="J95" i="22"/>
  <c r="J94" i="22"/>
  <c r="J93" i="22"/>
  <c r="J92" i="22"/>
  <c r="J91" i="22"/>
  <c r="J90" i="22"/>
  <c r="J89" i="22"/>
  <c r="J86" i="22"/>
  <c r="J85" i="22"/>
  <c r="J84" i="22"/>
  <c r="J83" i="22"/>
  <c r="J82" i="22"/>
  <c r="J81" i="22"/>
  <c r="J80" i="22"/>
  <c r="J77" i="22"/>
  <c r="J76" i="22"/>
  <c r="J75" i="22"/>
  <c r="J74" i="22"/>
  <c r="J73" i="22"/>
  <c r="J72" i="22"/>
  <c r="J71" i="22"/>
  <c r="J70" i="22"/>
  <c r="J69" i="22"/>
  <c r="J68" i="22"/>
  <c r="J67" i="22"/>
  <c r="J66" i="22"/>
  <c r="J65" i="22"/>
  <c r="J64" i="22"/>
  <c r="J61" i="22"/>
  <c r="J60" i="22"/>
  <c r="J59" i="22"/>
  <c r="J58" i="22"/>
  <c r="J57" i="22"/>
  <c r="J56" i="22"/>
  <c r="J55" i="22"/>
  <c r="J54" i="22"/>
  <c r="J53" i="22"/>
  <c r="J52" i="22"/>
  <c r="J51" i="22"/>
  <c r="J50" i="22"/>
  <c r="J47" i="22"/>
  <c r="J46" i="22"/>
  <c r="J45" i="22"/>
  <c r="J44" i="22"/>
  <c r="J43" i="22"/>
  <c r="J42" i="22"/>
  <c r="J41" i="22"/>
  <c r="J38" i="22"/>
  <c r="J37" i="22"/>
  <c r="J36" i="22"/>
  <c r="J35" i="22"/>
  <c r="J32" i="22"/>
  <c r="J31" i="22"/>
  <c r="J30" i="22"/>
  <c r="J29" i="22"/>
  <c r="J28" i="22"/>
  <c r="J27" i="22"/>
  <c r="J26" i="22"/>
  <c r="J25" i="22"/>
  <c r="J24" i="22"/>
  <c r="J21" i="22"/>
  <c r="J20" i="22"/>
  <c r="J19" i="22"/>
  <c r="J18" i="22"/>
  <c r="J17" i="22"/>
  <c r="J14" i="22"/>
  <c r="J15" i="22" s="1"/>
  <c r="G14" i="25" s="1"/>
  <c r="B13" i="22"/>
  <c r="B16" i="22" s="1"/>
  <c r="F12" i="22"/>
  <c r="J11" i="22"/>
  <c r="B11" i="22"/>
  <c r="J10" i="22"/>
  <c r="B10" i="22"/>
  <c r="H19" i="38"/>
  <c r="H18" i="38"/>
  <c r="F10" i="38"/>
  <c r="F9" i="38"/>
  <c r="H106" i="18"/>
  <c r="J106" i="18" s="1"/>
  <c r="G106" i="18"/>
  <c r="D106" i="18"/>
  <c r="H105" i="18"/>
  <c r="J105" i="18" s="1"/>
  <c r="G105" i="18"/>
  <c r="D105" i="18"/>
  <c r="H102" i="18"/>
  <c r="J102" i="18" s="1"/>
  <c r="J103" i="18" s="1"/>
  <c r="G102" i="18"/>
  <c r="D102" i="18"/>
  <c r="H101" i="18"/>
  <c r="J101" i="18" s="1"/>
  <c r="G101" i="18"/>
  <c r="D101" i="18"/>
  <c r="H98" i="18"/>
  <c r="J98" i="18" s="1"/>
  <c r="G98" i="18"/>
  <c r="D98" i="18"/>
  <c r="H97" i="18"/>
  <c r="J97" i="18" s="1"/>
  <c r="G97" i="18"/>
  <c r="D97" i="18"/>
  <c r="H96" i="18"/>
  <c r="J96" i="18" s="1"/>
  <c r="G96" i="18"/>
  <c r="D96" i="18"/>
  <c r="H93" i="18"/>
  <c r="J93" i="18" s="1"/>
  <c r="G93" i="18"/>
  <c r="D93" i="18"/>
  <c r="H92" i="18"/>
  <c r="J92" i="18" s="1"/>
  <c r="G92" i="18"/>
  <c r="D92" i="18"/>
  <c r="H91" i="18"/>
  <c r="J91" i="18" s="1"/>
  <c r="G91" i="18"/>
  <c r="D91" i="18"/>
  <c r="H88" i="18"/>
  <c r="J88" i="18" s="1"/>
  <c r="G88" i="18"/>
  <c r="D88" i="18"/>
  <c r="H87" i="18"/>
  <c r="J87" i="18" s="1"/>
  <c r="G87" i="18"/>
  <c r="D87" i="18"/>
  <c r="J86" i="18"/>
  <c r="H86" i="18"/>
  <c r="G86" i="18"/>
  <c r="D86" i="18"/>
  <c r="H85" i="18"/>
  <c r="J85" i="18" s="1"/>
  <c r="G85" i="18"/>
  <c r="D85" i="18"/>
  <c r="H84" i="18"/>
  <c r="J84" i="18" s="1"/>
  <c r="G84" i="18"/>
  <c r="D84" i="18"/>
  <c r="H83" i="18"/>
  <c r="J83" i="18" s="1"/>
  <c r="G83" i="18"/>
  <c r="D83" i="18"/>
  <c r="H82" i="18"/>
  <c r="J82" i="18" s="1"/>
  <c r="G82" i="18"/>
  <c r="D82" i="18"/>
  <c r="H81" i="18"/>
  <c r="J81" i="18" s="1"/>
  <c r="G81" i="18"/>
  <c r="D81" i="18"/>
  <c r="J80" i="18"/>
  <c r="H80" i="18"/>
  <c r="G80" i="18"/>
  <c r="D80" i="18"/>
  <c r="J77" i="18"/>
  <c r="H77" i="18"/>
  <c r="G77" i="18"/>
  <c r="D77" i="18"/>
  <c r="J76" i="18"/>
  <c r="H76" i="18"/>
  <c r="G76" i="18"/>
  <c r="D76" i="18"/>
  <c r="J75" i="18"/>
  <c r="H75" i="18"/>
  <c r="G75" i="18"/>
  <c r="D75" i="18"/>
  <c r="H74" i="18"/>
  <c r="J74" i="18" s="1"/>
  <c r="G74" i="18"/>
  <c r="D74" i="18"/>
  <c r="H73" i="18"/>
  <c r="J73" i="18" s="1"/>
  <c r="G73" i="18"/>
  <c r="D73" i="18"/>
  <c r="H72" i="18"/>
  <c r="J72" i="18" s="1"/>
  <c r="G72" i="18"/>
  <c r="D72" i="18"/>
  <c r="H71" i="18"/>
  <c r="J71" i="18" s="1"/>
  <c r="G71" i="18"/>
  <c r="D71" i="18"/>
  <c r="H70" i="18"/>
  <c r="J70" i="18" s="1"/>
  <c r="G70" i="18"/>
  <c r="D70" i="18"/>
  <c r="H69" i="18"/>
  <c r="J69" i="18" s="1"/>
  <c r="G69" i="18"/>
  <c r="D69" i="18"/>
  <c r="H68" i="18"/>
  <c r="J68" i="18" s="1"/>
  <c r="G68" i="18"/>
  <c r="D68" i="18"/>
  <c r="H67" i="18"/>
  <c r="J67" i="18" s="1"/>
  <c r="G67" i="18"/>
  <c r="D67" i="18"/>
  <c r="H64" i="18"/>
  <c r="J64" i="18" s="1"/>
  <c r="G64" i="18"/>
  <c r="D64" i="18"/>
  <c r="H63" i="18"/>
  <c r="J63" i="18" s="1"/>
  <c r="G63" i="18"/>
  <c r="D63" i="18"/>
  <c r="H62" i="18"/>
  <c r="J62" i="18" s="1"/>
  <c r="G62" i="18"/>
  <c r="D62" i="18"/>
  <c r="H61" i="18"/>
  <c r="J61" i="18" s="1"/>
  <c r="G61" i="18"/>
  <c r="D61" i="18"/>
  <c r="H60" i="18"/>
  <c r="J60" i="18" s="1"/>
  <c r="G60" i="18"/>
  <c r="D60" i="18"/>
  <c r="H59" i="18"/>
  <c r="J59" i="18" s="1"/>
  <c r="G59" i="18"/>
  <c r="D59" i="18"/>
  <c r="H58" i="18"/>
  <c r="J58" i="18" s="1"/>
  <c r="G58" i="18"/>
  <c r="D58" i="18"/>
  <c r="H57" i="18"/>
  <c r="J57" i="18" s="1"/>
  <c r="G57" i="18"/>
  <c r="D57" i="18"/>
  <c r="H56" i="18"/>
  <c r="J56" i="18" s="1"/>
  <c r="G56" i="18"/>
  <c r="D56" i="18"/>
  <c r="J55" i="18"/>
  <c r="H55" i="18"/>
  <c r="G55" i="18"/>
  <c r="D55" i="18"/>
  <c r="H54" i="18"/>
  <c r="J54" i="18" s="1"/>
  <c r="G54" i="18"/>
  <c r="D54" i="18"/>
  <c r="H53" i="18"/>
  <c r="J53" i="18" s="1"/>
  <c r="G53" i="18"/>
  <c r="D53" i="18"/>
  <c r="H52" i="18"/>
  <c r="J52" i="18" s="1"/>
  <c r="G52" i="18"/>
  <c r="D52" i="18"/>
  <c r="H51" i="18"/>
  <c r="J51" i="18" s="1"/>
  <c r="G51" i="18"/>
  <c r="D51" i="18"/>
  <c r="J50" i="18"/>
  <c r="H50" i="18"/>
  <c r="G50" i="18"/>
  <c r="D50" i="18"/>
  <c r="H47" i="18"/>
  <c r="J47" i="18" s="1"/>
  <c r="J48" i="18" s="1"/>
  <c r="G47" i="18"/>
  <c r="D47" i="18"/>
  <c r="H44" i="18"/>
  <c r="J44" i="18" s="1"/>
  <c r="G44" i="18"/>
  <c r="D44" i="18"/>
  <c r="H43" i="18"/>
  <c r="J43" i="18" s="1"/>
  <c r="G43" i="18"/>
  <c r="D43" i="18"/>
  <c r="H42" i="18"/>
  <c r="J42" i="18" s="1"/>
  <c r="G42" i="18"/>
  <c r="D42" i="18"/>
  <c r="H41" i="18"/>
  <c r="J41" i="18" s="1"/>
  <c r="J45" i="18" s="1"/>
  <c r="G41" i="18"/>
  <c r="D41" i="18"/>
  <c r="H38" i="18"/>
  <c r="J38" i="18" s="1"/>
  <c r="J39" i="18" s="1"/>
  <c r="G38" i="18"/>
  <c r="D38" i="18"/>
  <c r="H35" i="18"/>
  <c r="J35" i="18" s="1"/>
  <c r="G35" i="18"/>
  <c r="D35" i="18"/>
  <c r="H34" i="18"/>
  <c r="J34" i="18" s="1"/>
  <c r="G34" i="18"/>
  <c r="D34" i="18"/>
  <c r="H31" i="18"/>
  <c r="J31" i="18" s="1"/>
  <c r="G31" i="18"/>
  <c r="D31" i="18"/>
  <c r="D30" i="18"/>
  <c r="H29" i="18"/>
  <c r="J29" i="18" s="1"/>
  <c r="G29" i="18"/>
  <c r="D29" i="18"/>
  <c r="H28" i="18"/>
  <c r="J28" i="18" s="1"/>
  <c r="G28" i="18"/>
  <c r="D28" i="18"/>
  <c r="B27" i="18"/>
  <c r="F26" i="18"/>
  <c r="H25" i="18"/>
  <c r="J25" i="18" s="1"/>
  <c r="G25" i="18"/>
  <c r="D25" i="18"/>
  <c r="H24" i="18"/>
  <c r="J24" i="18" s="1"/>
  <c r="G24" i="18"/>
  <c r="D24" i="18"/>
  <c r="H23" i="18"/>
  <c r="J23" i="18" s="1"/>
  <c r="G23" i="18"/>
  <c r="D23" i="18"/>
  <c r="B23" i="18"/>
  <c r="B24" i="18" s="1"/>
  <c r="B25" i="18" s="1"/>
  <c r="F21" i="18"/>
  <c r="J20" i="18"/>
  <c r="J21" i="18" s="1"/>
  <c r="H20" i="18"/>
  <c r="G20" i="18"/>
  <c r="D20" i="18"/>
  <c r="B20" i="18"/>
  <c r="H17" i="18"/>
  <c r="J17" i="18" s="1"/>
  <c r="G17" i="18"/>
  <c r="D17" i="18"/>
  <c r="H16" i="18"/>
  <c r="J16" i="18" s="1"/>
  <c r="G16" i="18"/>
  <c r="D16" i="18"/>
  <c r="H15" i="18"/>
  <c r="J15" i="18" s="1"/>
  <c r="G15" i="18"/>
  <c r="D15" i="18"/>
  <c r="B15" i="18"/>
  <c r="B16" i="18" s="1"/>
  <c r="B17" i="18" s="1"/>
  <c r="H14" i="18"/>
  <c r="J14" i="18" s="1"/>
  <c r="G14" i="18"/>
  <c r="D14" i="18"/>
  <c r="B13" i="18"/>
  <c r="B14" i="18" s="1"/>
  <c r="S12" i="18"/>
  <c r="F12" i="18"/>
  <c r="J11" i="18"/>
  <c r="H11" i="18"/>
  <c r="G11" i="18"/>
  <c r="D11" i="18"/>
  <c r="H10" i="18"/>
  <c r="G10" i="18"/>
  <c r="D10" i="18"/>
  <c r="B10" i="18"/>
  <c r="B11" i="18" s="1"/>
  <c r="J89" i="17"/>
  <c r="M88" i="17"/>
  <c r="J88" i="17"/>
  <c r="M87" i="17"/>
  <c r="J87" i="17"/>
  <c r="M84" i="17"/>
  <c r="J84" i="17"/>
  <c r="M83" i="17"/>
  <c r="J83" i="17"/>
  <c r="M82" i="17"/>
  <c r="J82" i="17"/>
  <c r="M81" i="17"/>
  <c r="J81" i="17"/>
  <c r="M80" i="17"/>
  <c r="J80" i="17"/>
  <c r="M79" i="17"/>
  <c r="J79" i="17"/>
  <c r="M78" i="17"/>
  <c r="J78" i="17"/>
  <c r="B77" i="17"/>
  <c r="B78" i="17" s="1"/>
  <c r="B79" i="17" s="1"/>
  <c r="B80" i="17" s="1"/>
  <c r="B81" i="17" s="1"/>
  <c r="B82" i="17" s="1"/>
  <c r="B83" i="17" s="1"/>
  <c r="B84" i="17" s="1"/>
  <c r="F76" i="17"/>
  <c r="M75" i="17"/>
  <c r="J75" i="17"/>
  <c r="J76" i="17" s="1"/>
  <c r="B75" i="17"/>
  <c r="F73" i="17"/>
  <c r="M72" i="17"/>
  <c r="J72" i="17"/>
  <c r="M71" i="17"/>
  <c r="J71" i="17"/>
  <c r="M70" i="17"/>
  <c r="J70" i="17"/>
  <c r="M69" i="17"/>
  <c r="J69" i="17"/>
  <c r="M68" i="17"/>
  <c r="J68" i="17"/>
  <c r="M67" i="17"/>
  <c r="J67" i="17"/>
  <c r="M66" i="17"/>
  <c r="J66" i="17"/>
  <c r="M65" i="17"/>
  <c r="J65" i="17"/>
  <c r="M64" i="17"/>
  <c r="J64" i="17"/>
  <c r="M63" i="17"/>
  <c r="J63" i="17"/>
  <c r="B63" i="17"/>
  <c r="B64" i="17" s="1"/>
  <c r="B65" i="17" s="1"/>
  <c r="B66" i="17" s="1"/>
  <c r="B67" i="17" s="1"/>
  <c r="B68" i="17" s="1"/>
  <c r="B69" i="17" s="1"/>
  <c r="B70" i="17" s="1"/>
  <c r="B71" i="17" s="1"/>
  <c r="B72" i="17" s="1"/>
  <c r="F61" i="17"/>
  <c r="M60" i="17"/>
  <c r="J60" i="17"/>
  <c r="M59" i="17"/>
  <c r="J59" i="17"/>
  <c r="M58" i="17"/>
  <c r="J58" i="17"/>
  <c r="B58" i="17"/>
  <c r="B59" i="17" s="1"/>
  <c r="B60" i="17" s="1"/>
  <c r="M57" i="17"/>
  <c r="J57" i="17"/>
  <c r="M56" i="17"/>
  <c r="J56" i="17"/>
  <c r="M55" i="17"/>
  <c r="J55" i="17"/>
  <c r="B55" i="17"/>
  <c r="B56" i="17" s="1"/>
  <c r="B57" i="17" s="1"/>
  <c r="F53" i="17"/>
  <c r="M52" i="17"/>
  <c r="J52" i="17"/>
  <c r="M51" i="17"/>
  <c r="J51" i="17"/>
  <c r="M50" i="17"/>
  <c r="J50" i="17"/>
  <c r="M49" i="17"/>
  <c r="J49" i="17"/>
  <c r="M48" i="17"/>
  <c r="J48" i="17"/>
  <c r="M47" i="17"/>
  <c r="J47" i="17"/>
  <c r="M46" i="17"/>
  <c r="J46" i="17"/>
  <c r="M45" i="17"/>
  <c r="J45" i="17"/>
  <c r="M44" i="17"/>
  <c r="J44" i="17"/>
  <c r="M43" i="17"/>
  <c r="J43" i="17"/>
  <c r="M42" i="17"/>
  <c r="J42" i="17"/>
  <c r="B42" i="17"/>
  <c r="B43" i="17" s="1"/>
  <c r="B44" i="17" s="1"/>
  <c r="B45" i="17" s="1"/>
  <c r="B46" i="17" s="1"/>
  <c r="B47" i="17" s="1"/>
  <c r="B48" i="17" s="1"/>
  <c r="B49" i="17" s="1"/>
  <c r="B50" i="17" s="1"/>
  <c r="B51" i="17" s="1"/>
  <c r="B52" i="17" s="1"/>
  <c r="F40" i="17"/>
  <c r="M39" i="17"/>
  <c r="J39" i="17"/>
  <c r="M38" i="17"/>
  <c r="J38" i="17"/>
  <c r="M37" i="17"/>
  <c r="J37" i="17"/>
  <c r="M36" i="17"/>
  <c r="J36" i="17"/>
  <c r="M35" i="17"/>
  <c r="J35" i="17"/>
  <c r="M34" i="17"/>
  <c r="J34" i="17"/>
  <c r="M33" i="17"/>
  <c r="J33" i="17"/>
  <c r="M32" i="17"/>
  <c r="J32" i="17"/>
  <c r="M31" i="17"/>
  <c r="J31" i="17"/>
  <c r="M30" i="17"/>
  <c r="J30" i="17"/>
  <c r="M29" i="17"/>
  <c r="J29" i="17"/>
  <c r="M28" i="17"/>
  <c r="J28" i="17"/>
  <c r="M27" i="17"/>
  <c r="J27" i="17"/>
  <c r="M26" i="17"/>
  <c r="J26" i="17"/>
  <c r="M25" i="17"/>
  <c r="J25" i="17"/>
  <c r="M24" i="17"/>
  <c r="J24" i="17"/>
  <c r="M23" i="17"/>
  <c r="J23" i="17"/>
  <c r="M22" i="17"/>
  <c r="J22" i="17"/>
  <c r="M21" i="17"/>
  <c r="J21" i="17"/>
  <c r="M20" i="17"/>
  <c r="J20" i="17"/>
  <c r="M19" i="17"/>
  <c r="J19" i="17"/>
  <c r="M18" i="17"/>
  <c r="J18" i="17"/>
  <c r="M17" i="17"/>
  <c r="J17" i="17"/>
  <c r="M16" i="17"/>
  <c r="J16" i="17"/>
  <c r="M15" i="17"/>
  <c r="J15" i="17"/>
  <c r="M14" i="17"/>
  <c r="J14" i="17"/>
  <c r="M13" i="17"/>
  <c r="J13" i="17"/>
  <c r="M12" i="17"/>
  <c r="J12" i="17"/>
  <c r="M11" i="17"/>
  <c r="J11" i="17"/>
  <c r="M10" i="17"/>
  <c r="J10" i="17"/>
  <c r="B10" i="17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B38" i="17" s="1"/>
  <c r="B39" i="17" s="1"/>
  <c r="J106" i="16"/>
  <c r="J105" i="16"/>
  <c r="J107" i="16" s="1"/>
  <c r="G24" i="19" s="1"/>
  <c r="J103" i="16"/>
  <c r="J102" i="16"/>
  <c r="J101" i="16"/>
  <c r="J98" i="16"/>
  <c r="J97" i="16"/>
  <c r="J96" i="16"/>
  <c r="J93" i="16"/>
  <c r="J92" i="16"/>
  <c r="J91" i="16"/>
  <c r="J94" i="16" s="1"/>
  <c r="G21" i="19" s="1"/>
  <c r="J88" i="16"/>
  <c r="J87" i="16"/>
  <c r="J86" i="16"/>
  <c r="J85" i="16"/>
  <c r="J84" i="16"/>
  <c r="J83" i="16"/>
  <c r="J82" i="16"/>
  <c r="J81" i="16"/>
  <c r="J89" i="16" s="1"/>
  <c r="G20" i="19" s="1"/>
  <c r="J80" i="16"/>
  <c r="J77" i="16"/>
  <c r="J76" i="16"/>
  <c r="J75" i="16"/>
  <c r="J74" i="16"/>
  <c r="J73" i="16"/>
  <c r="J72" i="16"/>
  <c r="J71" i="16"/>
  <c r="J70" i="16"/>
  <c r="J69" i="16"/>
  <c r="J68" i="16"/>
  <c r="J67" i="16"/>
  <c r="J64" i="16"/>
  <c r="J63" i="16"/>
  <c r="J62" i="16"/>
  <c r="J61" i="16"/>
  <c r="J60" i="16"/>
  <c r="J59" i="16"/>
  <c r="J58" i="16"/>
  <c r="J57" i="16"/>
  <c r="J56" i="16"/>
  <c r="J55" i="16"/>
  <c r="J54" i="16"/>
  <c r="J53" i="16"/>
  <c r="J52" i="16"/>
  <c r="J51" i="16"/>
  <c r="J50" i="16"/>
  <c r="J48" i="16"/>
  <c r="J47" i="16"/>
  <c r="J44" i="16"/>
  <c r="J43" i="16"/>
  <c r="J42" i="16"/>
  <c r="J41" i="16"/>
  <c r="J38" i="16"/>
  <c r="J39" i="16" s="1"/>
  <c r="G23" i="19" s="1"/>
  <c r="J35" i="16"/>
  <c r="J34" i="16"/>
  <c r="J36" i="16" s="1"/>
  <c r="J31" i="16"/>
  <c r="J29" i="16"/>
  <c r="J28" i="16"/>
  <c r="J25" i="16"/>
  <c r="J24" i="16"/>
  <c r="J23" i="16"/>
  <c r="B22" i="16"/>
  <c r="F21" i="16"/>
  <c r="J20" i="16"/>
  <c r="J21" i="16" s="1"/>
  <c r="G13" i="19" s="1"/>
  <c r="B20" i="16"/>
  <c r="J17" i="16"/>
  <c r="J16" i="16"/>
  <c r="J15" i="16"/>
  <c r="J14" i="16"/>
  <c r="B14" i="16"/>
  <c r="B15" i="16" s="1"/>
  <c r="B16" i="16" s="1"/>
  <c r="B17" i="16" s="1"/>
  <c r="B13" i="16"/>
  <c r="F18" i="16" s="1"/>
  <c r="F12" i="16"/>
  <c r="J11" i="16"/>
  <c r="J10" i="16"/>
  <c r="B10" i="16"/>
  <c r="B11" i="16" s="1"/>
  <c r="N17" i="32"/>
  <c r="B3" i="32"/>
  <c r="H19" i="14"/>
  <c r="H18" i="14"/>
  <c r="F10" i="14"/>
  <c r="F9" i="14"/>
  <c r="H127" i="12"/>
  <c r="J127" i="12" s="1"/>
  <c r="G127" i="12"/>
  <c r="D127" i="12"/>
  <c r="H126" i="12"/>
  <c r="J126" i="12" s="1"/>
  <c r="G126" i="12"/>
  <c r="D126" i="12"/>
  <c r="H125" i="12"/>
  <c r="J125" i="12" s="1"/>
  <c r="G125" i="12"/>
  <c r="D125" i="12"/>
  <c r="H124" i="12"/>
  <c r="J124" i="12" s="1"/>
  <c r="G124" i="12"/>
  <c r="D124" i="12"/>
  <c r="H123" i="12"/>
  <c r="J123" i="12" s="1"/>
  <c r="G123" i="12"/>
  <c r="D123" i="12"/>
  <c r="H122" i="12"/>
  <c r="J122" i="12" s="1"/>
  <c r="G122" i="12"/>
  <c r="D122" i="12"/>
  <c r="H121" i="12"/>
  <c r="J121" i="12" s="1"/>
  <c r="G121" i="12"/>
  <c r="D121" i="12"/>
  <c r="H120" i="12"/>
  <c r="J120" i="12" s="1"/>
  <c r="G120" i="12"/>
  <c r="D120" i="12"/>
  <c r="H119" i="12"/>
  <c r="J119" i="12" s="1"/>
  <c r="G119" i="12"/>
  <c r="D119" i="12"/>
  <c r="H118" i="12"/>
  <c r="J118" i="12" s="1"/>
  <c r="G118" i="12"/>
  <c r="D118" i="12"/>
  <c r="H115" i="12"/>
  <c r="J115" i="12" s="1"/>
  <c r="D115" i="12"/>
  <c r="H114" i="12"/>
  <c r="J114" i="12" s="1"/>
  <c r="D114" i="12"/>
  <c r="H113" i="12"/>
  <c r="J113" i="12" s="1"/>
  <c r="D113" i="12"/>
  <c r="H112" i="12"/>
  <c r="J112" i="12" s="1"/>
  <c r="D112" i="12"/>
  <c r="H109" i="12"/>
  <c r="J109" i="12" s="1"/>
  <c r="D109" i="12"/>
  <c r="H108" i="12"/>
  <c r="J108" i="12" s="1"/>
  <c r="D108" i="12"/>
  <c r="H107" i="12"/>
  <c r="J107" i="12" s="1"/>
  <c r="D107" i="12"/>
  <c r="H106" i="12"/>
  <c r="J106" i="12" s="1"/>
  <c r="D106" i="12"/>
  <c r="H105" i="12"/>
  <c r="J105" i="12" s="1"/>
  <c r="D105" i="12"/>
  <c r="H104" i="12"/>
  <c r="J104" i="12" s="1"/>
  <c r="D104" i="12"/>
  <c r="H103" i="12"/>
  <c r="J103" i="12" s="1"/>
  <c r="D103" i="12"/>
  <c r="H102" i="12"/>
  <c r="J102" i="12" s="1"/>
  <c r="D102" i="12"/>
  <c r="H101" i="12"/>
  <c r="J101" i="12" s="1"/>
  <c r="D101" i="12"/>
  <c r="H98" i="12"/>
  <c r="J98" i="12" s="1"/>
  <c r="H97" i="12"/>
  <c r="J97" i="12" s="1"/>
  <c r="H96" i="12"/>
  <c r="J96" i="12" s="1"/>
  <c r="H95" i="12"/>
  <c r="J95" i="12" s="1"/>
  <c r="H94" i="12"/>
  <c r="J94" i="12" s="1"/>
  <c r="H93" i="12"/>
  <c r="J93" i="12" s="1"/>
  <c r="H92" i="12"/>
  <c r="J92" i="12" s="1"/>
  <c r="H91" i="12"/>
  <c r="J91" i="12" s="1"/>
  <c r="H90" i="12"/>
  <c r="J90" i="12" s="1"/>
  <c r="H89" i="12"/>
  <c r="J89" i="12" s="1"/>
  <c r="H88" i="12"/>
  <c r="J88" i="12" s="1"/>
  <c r="H87" i="12"/>
  <c r="J87" i="12" s="1"/>
  <c r="H86" i="12"/>
  <c r="J86" i="12" s="1"/>
  <c r="H83" i="12"/>
  <c r="J83" i="12" s="1"/>
  <c r="G83" i="12"/>
  <c r="D83" i="12"/>
  <c r="H82" i="12"/>
  <c r="J82" i="12" s="1"/>
  <c r="G82" i="12"/>
  <c r="D82" i="12"/>
  <c r="H81" i="12"/>
  <c r="J81" i="12" s="1"/>
  <c r="G81" i="12"/>
  <c r="D81" i="12"/>
  <c r="H80" i="12"/>
  <c r="J80" i="12" s="1"/>
  <c r="D80" i="12"/>
  <c r="H79" i="12"/>
  <c r="J79" i="12" s="1"/>
  <c r="D79" i="12"/>
  <c r="H78" i="12"/>
  <c r="J78" i="12" s="1"/>
  <c r="D78" i="12"/>
  <c r="H77" i="12"/>
  <c r="J77" i="12" s="1"/>
  <c r="D77" i="12"/>
  <c r="H76" i="12"/>
  <c r="J76" i="12" s="1"/>
  <c r="D76" i="12"/>
  <c r="H75" i="12"/>
  <c r="J75" i="12" s="1"/>
  <c r="D75" i="12"/>
  <c r="H74" i="12"/>
  <c r="J74" i="12" s="1"/>
  <c r="D74" i="12"/>
  <c r="H73" i="12"/>
  <c r="J73" i="12" s="1"/>
  <c r="D73" i="12"/>
  <c r="H72" i="12"/>
  <c r="J72" i="12" s="1"/>
  <c r="D72" i="12"/>
  <c r="H71" i="12"/>
  <c r="J71" i="12" s="1"/>
  <c r="D71" i="12"/>
  <c r="H70" i="12"/>
  <c r="J70" i="12" s="1"/>
  <c r="D70" i="12"/>
  <c r="H69" i="12"/>
  <c r="J69" i="12" s="1"/>
  <c r="D69" i="12"/>
  <c r="H68" i="12"/>
  <c r="J68" i="12" s="1"/>
  <c r="D68" i="12"/>
  <c r="H67" i="12"/>
  <c r="J67" i="12" s="1"/>
  <c r="D67" i="12"/>
  <c r="H66" i="12"/>
  <c r="J66" i="12" s="1"/>
  <c r="D66" i="12"/>
  <c r="H65" i="12"/>
  <c r="J65" i="12" s="1"/>
  <c r="D65" i="12"/>
  <c r="H64" i="12"/>
  <c r="J64" i="12" s="1"/>
  <c r="D64" i="12"/>
  <c r="H61" i="12"/>
  <c r="J61" i="12" s="1"/>
  <c r="J62" i="12" s="1"/>
  <c r="H58" i="12"/>
  <c r="J58" i="12" s="1"/>
  <c r="H57" i="12"/>
  <c r="J57" i="12" s="1"/>
  <c r="H56" i="12"/>
  <c r="J56" i="12" s="1"/>
  <c r="H55" i="12"/>
  <c r="J55" i="12" s="1"/>
  <c r="H54" i="12"/>
  <c r="J54" i="12" s="1"/>
  <c r="H53" i="12"/>
  <c r="J53" i="12" s="1"/>
  <c r="H52" i="12"/>
  <c r="J52" i="12" s="1"/>
  <c r="H51" i="12"/>
  <c r="J51" i="12" s="1"/>
  <c r="H50" i="12"/>
  <c r="J50" i="12" s="1"/>
  <c r="H49" i="12"/>
  <c r="J49" i="12" s="1"/>
  <c r="H48" i="12"/>
  <c r="J48" i="12" s="1"/>
  <c r="H47" i="12"/>
  <c r="J47" i="12" s="1"/>
  <c r="H46" i="12"/>
  <c r="J46" i="12" s="1"/>
  <c r="H43" i="12"/>
  <c r="J43" i="12" s="1"/>
  <c r="H42" i="12"/>
  <c r="J42" i="12" s="1"/>
  <c r="H39" i="12"/>
  <c r="J39" i="12" s="1"/>
  <c r="H38" i="12"/>
  <c r="J38" i="12" s="1"/>
  <c r="H35" i="12"/>
  <c r="J35" i="12" s="1"/>
  <c r="H33" i="12"/>
  <c r="J33" i="12" s="1"/>
  <c r="H32" i="12"/>
  <c r="J32" i="12" s="1"/>
  <c r="B31" i="12"/>
  <c r="F36" i="12" s="1"/>
  <c r="F30" i="12"/>
  <c r="H29" i="12"/>
  <c r="J29" i="12" s="1"/>
  <c r="D29" i="12"/>
  <c r="H28" i="12"/>
  <c r="J28" i="12" s="1"/>
  <c r="D28" i="12"/>
  <c r="H27" i="12"/>
  <c r="J27" i="12" s="1"/>
  <c r="D27" i="12"/>
  <c r="B27" i="12"/>
  <c r="B28" i="12" s="1"/>
  <c r="B29" i="12" s="1"/>
  <c r="F25" i="12"/>
  <c r="H24" i="12"/>
  <c r="J24" i="12" s="1"/>
  <c r="J25" i="12" s="1"/>
  <c r="G24" i="12"/>
  <c r="D24" i="12"/>
  <c r="B24" i="12"/>
  <c r="D23" i="12"/>
  <c r="F22" i="12"/>
  <c r="H21" i="12"/>
  <c r="J21" i="12" s="1"/>
  <c r="D21" i="12"/>
  <c r="H20" i="12"/>
  <c r="J20" i="12" s="1"/>
  <c r="D20" i="12"/>
  <c r="H19" i="12"/>
  <c r="J19" i="12" s="1"/>
  <c r="D19" i="12"/>
  <c r="H18" i="12"/>
  <c r="J18" i="12" s="1"/>
  <c r="D18" i="12"/>
  <c r="B18" i="12"/>
  <c r="B19" i="12" s="1"/>
  <c r="B20" i="12" s="1"/>
  <c r="B21" i="12" s="1"/>
  <c r="F16" i="12"/>
  <c r="H15" i="12"/>
  <c r="J15" i="12" s="1"/>
  <c r="D15" i="12"/>
  <c r="J14" i="12"/>
  <c r="H14" i="12"/>
  <c r="D14" i="12"/>
  <c r="R13" i="12"/>
  <c r="H13" i="12"/>
  <c r="J13" i="12" s="1"/>
  <c r="D13" i="12"/>
  <c r="H12" i="12"/>
  <c r="D12" i="12"/>
  <c r="B12" i="12"/>
  <c r="B13" i="12" s="1"/>
  <c r="B14" i="12" s="1"/>
  <c r="B15" i="12" s="1"/>
  <c r="M127" i="11"/>
  <c r="J127" i="11"/>
  <c r="J128" i="11" s="1"/>
  <c r="M126" i="11"/>
  <c r="J126" i="11"/>
  <c r="M123" i="11"/>
  <c r="J123" i="11"/>
  <c r="M122" i="11"/>
  <c r="J122" i="11"/>
  <c r="M121" i="11"/>
  <c r="J121" i="11"/>
  <c r="M120" i="11"/>
  <c r="J120" i="11"/>
  <c r="M119" i="11"/>
  <c r="J119" i="11"/>
  <c r="M118" i="11"/>
  <c r="J118" i="11"/>
  <c r="B117" i="11"/>
  <c r="B125" i="11" s="1"/>
  <c r="F116" i="11"/>
  <c r="M115" i="11"/>
  <c r="J115" i="11"/>
  <c r="M114" i="11"/>
  <c r="J114" i="11"/>
  <c r="M113" i="11"/>
  <c r="J113" i="11"/>
  <c r="M112" i="11"/>
  <c r="J112" i="11"/>
  <c r="M111" i="11"/>
  <c r="J111" i="11"/>
  <c r="M110" i="11"/>
  <c r="J110" i="11"/>
  <c r="M109" i="11"/>
  <c r="J109" i="11"/>
  <c r="B109" i="11"/>
  <c r="B110" i="11" s="1"/>
  <c r="B111" i="11" s="1"/>
  <c r="B112" i="11" s="1"/>
  <c r="B113" i="11" s="1"/>
  <c r="B114" i="11" s="1"/>
  <c r="B115" i="11" s="1"/>
  <c r="F107" i="11"/>
  <c r="M106" i="11"/>
  <c r="J106" i="11"/>
  <c r="M105" i="11"/>
  <c r="J105" i="11"/>
  <c r="B105" i="11"/>
  <c r="B106" i="11" s="1"/>
  <c r="F103" i="11"/>
  <c r="M102" i="11"/>
  <c r="J102" i="11"/>
  <c r="M101" i="11"/>
  <c r="J101" i="11"/>
  <c r="M100" i="11"/>
  <c r="J100" i="11"/>
  <c r="M99" i="11"/>
  <c r="J99" i="11"/>
  <c r="M98" i="11"/>
  <c r="J98" i="11"/>
  <c r="M97" i="11"/>
  <c r="J97" i="11"/>
  <c r="M96" i="11"/>
  <c r="J96" i="11"/>
  <c r="M95" i="11"/>
  <c r="J95" i="11"/>
  <c r="M94" i="11"/>
  <c r="J94" i="11"/>
  <c r="M93" i="11"/>
  <c r="J93" i="11"/>
  <c r="M92" i="11"/>
  <c r="J92" i="11"/>
  <c r="M91" i="11"/>
  <c r="J91" i="11"/>
  <c r="M90" i="11"/>
  <c r="J90" i="11"/>
  <c r="M89" i="11"/>
  <c r="J89" i="11"/>
  <c r="M88" i="11"/>
  <c r="J88" i="11"/>
  <c r="M87" i="11"/>
  <c r="J87" i="11"/>
  <c r="M86" i="11"/>
  <c r="J86" i="11"/>
  <c r="M85" i="11"/>
  <c r="J85" i="11"/>
  <c r="M84" i="11"/>
  <c r="J84" i="11"/>
  <c r="M83" i="11"/>
  <c r="J83" i="11"/>
  <c r="M82" i="11"/>
  <c r="J82" i="11"/>
  <c r="M81" i="11"/>
  <c r="J81" i="11"/>
  <c r="B81" i="11"/>
  <c r="B82" i="11" s="1"/>
  <c r="B83" i="11" s="1"/>
  <c r="B84" i="11" s="1"/>
  <c r="B85" i="11" s="1"/>
  <c r="B86" i="11" s="1"/>
  <c r="B87" i="11" s="1"/>
  <c r="B88" i="11" s="1"/>
  <c r="B89" i="11" s="1"/>
  <c r="B90" i="11" s="1"/>
  <c r="B91" i="11" s="1"/>
  <c r="B92" i="11" s="1"/>
  <c r="B93" i="11" s="1"/>
  <c r="B94" i="11" s="1"/>
  <c r="B95" i="11" s="1"/>
  <c r="B96" i="11" s="1"/>
  <c r="B97" i="11" s="1"/>
  <c r="B98" i="11" s="1"/>
  <c r="B99" i="11" s="1"/>
  <c r="B100" i="11" s="1"/>
  <c r="B101" i="11" s="1"/>
  <c r="B102" i="11" s="1"/>
  <c r="F79" i="11"/>
  <c r="M78" i="11"/>
  <c r="J78" i="11"/>
  <c r="M77" i="11"/>
  <c r="J77" i="11"/>
  <c r="M76" i="11"/>
  <c r="J76" i="11"/>
  <c r="M75" i="11"/>
  <c r="J75" i="11"/>
  <c r="M74" i="11"/>
  <c r="J74" i="11"/>
  <c r="M73" i="11"/>
  <c r="J73" i="11"/>
  <c r="M72" i="11"/>
  <c r="J72" i="11"/>
  <c r="M71" i="11"/>
  <c r="J71" i="11"/>
  <c r="B71" i="11"/>
  <c r="B72" i="11" s="1"/>
  <c r="B73" i="11" s="1"/>
  <c r="B74" i="11" s="1"/>
  <c r="B75" i="11" s="1"/>
  <c r="B76" i="11" s="1"/>
  <c r="B77" i="11" s="1"/>
  <c r="B78" i="11" s="1"/>
  <c r="F69" i="11"/>
  <c r="M68" i="11"/>
  <c r="J68" i="11"/>
  <c r="M67" i="11"/>
  <c r="J67" i="11"/>
  <c r="M66" i="11"/>
  <c r="J66" i="11"/>
  <c r="M65" i="11"/>
  <c r="J65" i="11"/>
  <c r="M64" i="11"/>
  <c r="J64" i="11"/>
  <c r="M63" i="11"/>
  <c r="J63" i="11"/>
  <c r="M62" i="11"/>
  <c r="J62" i="11"/>
  <c r="M61" i="11"/>
  <c r="J61" i="11"/>
  <c r="M60" i="11"/>
  <c r="J60" i="11"/>
  <c r="M59" i="11"/>
  <c r="J59" i="11"/>
  <c r="M58" i="11"/>
  <c r="J58" i="11"/>
  <c r="M57" i="11"/>
  <c r="J57" i="11"/>
  <c r="B57" i="11"/>
  <c r="B58" i="11" s="1"/>
  <c r="B59" i="11" s="1"/>
  <c r="B60" i="11" s="1"/>
  <c r="B61" i="11" s="1"/>
  <c r="B62" i="11" s="1"/>
  <c r="B63" i="11" s="1"/>
  <c r="B64" i="11" s="1"/>
  <c r="B65" i="11" s="1"/>
  <c r="B66" i="11" s="1"/>
  <c r="B67" i="11" s="1"/>
  <c r="B68" i="11" s="1"/>
  <c r="F55" i="11"/>
  <c r="M54" i="11"/>
  <c r="J54" i="11"/>
  <c r="M53" i="11"/>
  <c r="J53" i="11"/>
  <c r="M52" i="11"/>
  <c r="J52" i="11"/>
  <c r="M51" i="11"/>
  <c r="J51" i="11"/>
  <c r="M50" i="11"/>
  <c r="J50" i="11"/>
  <c r="M49" i="11"/>
  <c r="J49" i="11"/>
  <c r="M48" i="11"/>
  <c r="J48" i="11"/>
  <c r="M47" i="11"/>
  <c r="J47" i="11"/>
  <c r="M46" i="11"/>
  <c r="J46" i="11"/>
  <c r="M45" i="11"/>
  <c r="J45" i="11"/>
  <c r="M44" i="11"/>
  <c r="J44" i="11"/>
  <c r="M43" i="11"/>
  <c r="J43" i="11"/>
  <c r="M42" i="11"/>
  <c r="J42" i="11"/>
  <c r="M41" i="11"/>
  <c r="J41" i="11"/>
  <c r="M40" i="11"/>
  <c r="J40" i="11"/>
  <c r="M39" i="11"/>
  <c r="J39" i="11"/>
  <c r="M38" i="11"/>
  <c r="J38" i="11"/>
  <c r="M37" i="11"/>
  <c r="J37" i="11"/>
  <c r="M36" i="11"/>
  <c r="J36" i="11"/>
  <c r="M35" i="11"/>
  <c r="J35" i="11"/>
  <c r="M34" i="11"/>
  <c r="J34" i="11"/>
  <c r="M33" i="11"/>
  <c r="J33" i="11"/>
  <c r="M32" i="11"/>
  <c r="J32" i="11"/>
  <c r="M31" i="11"/>
  <c r="J31" i="11"/>
  <c r="M30" i="11"/>
  <c r="J30" i="11"/>
  <c r="M29" i="11"/>
  <c r="J29" i="11"/>
  <c r="M28" i="11"/>
  <c r="J28" i="11"/>
  <c r="M27" i="11"/>
  <c r="J27" i="11"/>
  <c r="M26" i="11"/>
  <c r="J26" i="11"/>
  <c r="M25" i="11"/>
  <c r="J25" i="11"/>
  <c r="M24" i="11"/>
  <c r="J24" i="11"/>
  <c r="M23" i="11"/>
  <c r="J23" i="11"/>
  <c r="M22" i="11"/>
  <c r="J22" i="11"/>
  <c r="M21" i="11"/>
  <c r="J21" i="11"/>
  <c r="B21" i="1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B33" i="11" s="1"/>
  <c r="B34" i="11" s="1"/>
  <c r="B35" i="11" s="1"/>
  <c r="B36" i="11" s="1"/>
  <c r="B37" i="11" s="1"/>
  <c r="B38" i="11" s="1"/>
  <c r="B39" i="11" s="1"/>
  <c r="B40" i="11" s="1"/>
  <c r="B41" i="11" s="1"/>
  <c r="B42" i="11" s="1"/>
  <c r="B43" i="11" s="1"/>
  <c r="B44" i="11" s="1"/>
  <c r="B45" i="11" s="1"/>
  <c r="B46" i="11" s="1"/>
  <c r="B47" i="11" s="1"/>
  <c r="B48" i="11" s="1"/>
  <c r="B49" i="11" s="1"/>
  <c r="B50" i="11" s="1"/>
  <c r="B51" i="11" s="1"/>
  <c r="B52" i="11" s="1"/>
  <c r="B53" i="11" s="1"/>
  <c r="B54" i="11" s="1"/>
  <c r="M20" i="11"/>
  <c r="J20" i="11"/>
  <c r="B20" i="11"/>
  <c r="F18" i="11"/>
  <c r="M17" i="11"/>
  <c r="J17" i="11"/>
  <c r="M16" i="11"/>
  <c r="J16" i="11"/>
  <c r="M15" i="11"/>
  <c r="J15" i="11"/>
  <c r="M14" i="11"/>
  <c r="J14" i="11"/>
  <c r="M13" i="11"/>
  <c r="K13" i="11"/>
  <c r="J13" i="11"/>
  <c r="M12" i="11"/>
  <c r="J12" i="11"/>
  <c r="M11" i="11"/>
  <c r="J11" i="11"/>
  <c r="M10" i="11"/>
  <c r="J10" i="11"/>
  <c r="B10" i="11"/>
  <c r="B11" i="11" s="1"/>
  <c r="B12" i="11" s="1"/>
  <c r="B13" i="11" s="1"/>
  <c r="B14" i="11" s="1"/>
  <c r="B15" i="11" s="1"/>
  <c r="B16" i="11" s="1"/>
  <c r="B17" i="11" s="1"/>
  <c r="L127" i="9"/>
  <c r="J127" i="9"/>
  <c r="L126" i="9"/>
  <c r="J126" i="9"/>
  <c r="L125" i="9"/>
  <c r="J125" i="9"/>
  <c r="L124" i="9"/>
  <c r="J124" i="9"/>
  <c r="L123" i="9"/>
  <c r="J123" i="9"/>
  <c r="L122" i="9"/>
  <c r="J122" i="9"/>
  <c r="L121" i="9"/>
  <c r="J121" i="9"/>
  <c r="L120" i="9"/>
  <c r="J120" i="9"/>
  <c r="L119" i="9"/>
  <c r="J119" i="9"/>
  <c r="L118" i="9"/>
  <c r="J118" i="9"/>
  <c r="L117" i="9"/>
  <c r="L116" i="9"/>
  <c r="L115" i="9"/>
  <c r="J115" i="9"/>
  <c r="L114" i="9"/>
  <c r="J114" i="9"/>
  <c r="L113" i="9"/>
  <c r="J113" i="9"/>
  <c r="L112" i="9"/>
  <c r="J112" i="9"/>
  <c r="L111" i="9"/>
  <c r="L110" i="9"/>
  <c r="L109" i="9"/>
  <c r="J109" i="9"/>
  <c r="L108" i="9"/>
  <c r="J108" i="9"/>
  <c r="L107" i="9"/>
  <c r="J107" i="9"/>
  <c r="L106" i="9"/>
  <c r="J106" i="9"/>
  <c r="L105" i="9"/>
  <c r="J105" i="9"/>
  <c r="L104" i="9"/>
  <c r="J104" i="9"/>
  <c r="L103" i="9"/>
  <c r="J103" i="9"/>
  <c r="L102" i="9"/>
  <c r="J102" i="9"/>
  <c r="L101" i="9"/>
  <c r="J101" i="9"/>
  <c r="L100" i="9"/>
  <c r="L99" i="9"/>
  <c r="L98" i="9"/>
  <c r="J98" i="9"/>
  <c r="L97" i="9"/>
  <c r="J97" i="9"/>
  <c r="L96" i="9"/>
  <c r="J96" i="9"/>
  <c r="L95" i="9"/>
  <c r="J95" i="9"/>
  <c r="L94" i="9"/>
  <c r="J94" i="9"/>
  <c r="L93" i="9"/>
  <c r="J93" i="9"/>
  <c r="L92" i="9"/>
  <c r="J92" i="9"/>
  <c r="L91" i="9"/>
  <c r="J91" i="9"/>
  <c r="L90" i="9"/>
  <c r="J90" i="9"/>
  <c r="L89" i="9"/>
  <c r="J89" i="9"/>
  <c r="L88" i="9"/>
  <c r="J88" i="9"/>
  <c r="L87" i="9"/>
  <c r="J87" i="9"/>
  <c r="L86" i="9"/>
  <c r="J86" i="9"/>
  <c r="L85" i="9"/>
  <c r="L84" i="9"/>
  <c r="L83" i="9"/>
  <c r="J83" i="9"/>
  <c r="L82" i="9"/>
  <c r="J82" i="9"/>
  <c r="L81" i="9"/>
  <c r="J81" i="9"/>
  <c r="L80" i="9"/>
  <c r="J80" i="9"/>
  <c r="L79" i="9"/>
  <c r="J79" i="9"/>
  <c r="L78" i="9"/>
  <c r="J78" i="9"/>
  <c r="L77" i="9"/>
  <c r="J77" i="9"/>
  <c r="L76" i="9"/>
  <c r="J76" i="9"/>
  <c r="L75" i="9"/>
  <c r="J75" i="9"/>
  <c r="L74" i="9"/>
  <c r="J74" i="9"/>
  <c r="L73" i="9"/>
  <c r="J73" i="9"/>
  <c r="L72" i="9"/>
  <c r="J72" i="9"/>
  <c r="L71" i="9"/>
  <c r="J71" i="9"/>
  <c r="L70" i="9"/>
  <c r="J70" i="9"/>
  <c r="L69" i="9"/>
  <c r="J69" i="9"/>
  <c r="L68" i="9"/>
  <c r="J68" i="9"/>
  <c r="L67" i="9"/>
  <c r="J67" i="9"/>
  <c r="L66" i="9"/>
  <c r="J66" i="9"/>
  <c r="L65" i="9"/>
  <c r="J65" i="9"/>
  <c r="L64" i="9"/>
  <c r="J64" i="9"/>
  <c r="L63" i="9"/>
  <c r="L62" i="9"/>
  <c r="L61" i="9"/>
  <c r="J61" i="9"/>
  <c r="J62" i="9" s="1"/>
  <c r="G22" i="13" s="1"/>
  <c r="L60" i="9"/>
  <c r="L59" i="9"/>
  <c r="L58" i="9"/>
  <c r="J58" i="9"/>
  <c r="L57" i="9"/>
  <c r="J57" i="9"/>
  <c r="L56" i="9"/>
  <c r="J56" i="9"/>
  <c r="L55" i="9"/>
  <c r="J55" i="9"/>
  <c r="L54" i="9"/>
  <c r="J54" i="9"/>
  <c r="L53" i="9"/>
  <c r="J53" i="9"/>
  <c r="L52" i="9"/>
  <c r="J52" i="9"/>
  <c r="L51" i="9"/>
  <c r="J51" i="9"/>
  <c r="L50" i="9"/>
  <c r="J50" i="9"/>
  <c r="L49" i="9"/>
  <c r="J49" i="9"/>
  <c r="L48" i="9"/>
  <c r="J48" i="9"/>
  <c r="L47" i="9"/>
  <c r="J47" i="9"/>
  <c r="L46" i="9"/>
  <c r="J46" i="9"/>
  <c r="L45" i="9"/>
  <c r="L44" i="9"/>
  <c r="L43" i="9"/>
  <c r="J43" i="9"/>
  <c r="L42" i="9"/>
  <c r="J42" i="9"/>
  <c r="L41" i="9"/>
  <c r="L40" i="9"/>
  <c r="L39" i="9"/>
  <c r="J39" i="9"/>
  <c r="L38" i="9"/>
  <c r="J38" i="9"/>
  <c r="L37" i="9"/>
  <c r="L36" i="9"/>
  <c r="F36" i="9"/>
  <c r="L35" i="9"/>
  <c r="J35" i="9"/>
  <c r="L34" i="9"/>
  <c r="L33" i="9"/>
  <c r="J33" i="9"/>
  <c r="L32" i="9"/>
  <c r="J32" i="9"/>
  <c r="B32" i="9"/>
  <c r="B33" i="9" s="1"/>
  <c r="B34" i="9" s="1"/>
  <c r="L31" i="9"/>
  <c r="B31" i="9"/>
  <c r="B37" i="9" s="1"/>
  <c r="F40" i="9" s="1"/>
  <c r="L30" i="9"/>
  <c r="F30" i="9"/>
  <c r="L29" i="9"/>
  <c r="J29" i="9"/>
  <c r="L28" i="9"/>
  <c r="J28" i="9"/>
  <c r="L27" i="9"/>
  <c r="J27" i="9"/>
  <c r="B27" i="9"/>
  <c r="B28" i="9" s="1"/>
  <c r="B29" i="9" s="1"/>
  <c r="L26" i="9"/>
  <c r="L25" i="9"/>
  <c r="F25" i="9"/>
  <c r="L24" i="9"/>
  <c r="J24" i="9"/>
  <c r="J25" i="9" s="1"/>
  <c r="G13" i="13" s="1"/>
  <c r="B24" i="9"/>
  <c r="L23" i="9"/>
  <c r="L22" i="9"/>
  <c r="F22" i="9"/>
  <c r="L21" i="9"/>
  <c r="J21" i="9"/>
  <c r="L20" i="9"/>
  <c r="J20" i="9"/>
  <c r="L19" i="9"/>
  <c r="J19" i="9"/>
  <c r="L18" i="9"/>
  <c r="J18" i="9"/>
  <c r="B18" i="9"/>
  <c r="B19" i="9" s="1"/>
  <c r="B20" i="9" s="1"/>
  <c r="B21" i="9" s="1"/>
  <c r="L17" i="9"/>
  <c r="L16" i="9"/>
  <c r="F16" i="9"/>
  <c r="L15" i="9"/>
  <c r="J15" i="9"/>
  <c r="B15" i="9"/>
  <c r="L14" i="9"/>
  <c r="J14" i="9"/>
  <c r="L13" i="9"/>
  <c r="J13" i="9"/>
  <c r="L12" i="9"/>
  <c r="J12" i="9"/>
  <c r="B12" i="9"/>
  <c r="B13" i="9" s="1"/>
  <c r="B14" i="9" s="1"/>
  <c r="N17" i="31"/>
  <c r="B3" i="31"/>
  <c r="H18" i="8"/>
  <c r="H17" i="8"/>
  <c r="F9" i="8"/>
  <c r="F8" i="8"/>
  <c r="P27" i="5"/>
  <c r="O27" i="5"/>
  <c r="N27" i="5"/>
  <c r="M27" i="5"/>
  <c r="D21" i="5"/>
  <c r="H112" i="30"/>
  <c r="H114" i="30" s="1"/>
  <c r="H105" i="30"/>
  <c r="H104" i="30"/>
  <c r="H103" i="30"/>
  <c r="H90" i="30"/>
  <c r="H89" i="30"/>
  <c r="H88" i="30"/>
  <c r="H87" i="30"/>
  <c r="H81" i="30"/>
  <c r="H80" i="30"/>
  <c r="H79" i="30"/>
  <c r="H78" i="30"/>
  <c r="H77" i="30"/>
  <c r="H76" i="30"/>
  <c r="H67" i="30"/>
  <c r="H56" i="30"/>
  <c r="H55" i="30"/>
  <c r="H54" i="30"/>
  <c r="H53" i="30"/>
  <c r="H52" i="30"/>
  <c r="H51" i="30"/>
  <c r="H50" i="30"/>
  <c r="H43" i="30"/>
  <c r="H42" i="30"/>
  <c r="H41" i="30"/>
  <c r="H40" i="30"/>
  <c r="H39" i="30"/>
  <c r="H38" i="30"/>
  <c r="H45" i="30" s="1"/>
  <c r="H30" i="30"/>
  <c r="H29" i="30"/>
  <c r="H28" i="30"/>
  <c r="H27" i="30"/>
  <c r="H26" i="30"/>
  <c r="H25" i="30"/>
  <c r="H17" i="30"/>
  <c r="H16" i="30"/>
  <c r="H15" i="30"/>
  <c r="H14" i="30"/>
  <c r="C7" i="30"/>
  <c r="G20" i="1"/>
  <c r="G19" i="1"/>
  <c r="G18" i="1"/>
  <c r="G17" i="1"/>
  <c r="G16" i="1"/>
  <c r="L11" i="1"/>
  <c r="L6" i="1" s="1"/>
  <c r="J140" i="3"/>
  <c r="J139" i="3"/>
  <c r="J138" i="3"/>
  <c r="J137" i="3"/>
  <c r="J136" i="3"/>
  <c r="J135" i="3"/>
  <c r="J134" i="3"/>
  <c r="D134" i="3"/>
  <c r="D135" i="3" s="1"/>
  <c r="D136" i="3" s="1"/>
  <c r="D137" i="3" s="1"/>
  <c r="D138" i="3" s="1"/>
  <c r="D139" i="3" s="1"/>
  <c r="D140" i="3" s="1"/>
  <c r="D141" i="3" s="1"/>
  <c r="J130" i="3"/>
  <c r="J129" i="3"/>
  <c r="J128" i="3"/>
  <c r="J127" i="3"/>
  <c r="D127" i="3"/>
  <c r="D128" i="3" s="1"/>
  <c r="D129" i="3" s="1"/>
  <c r="D130" i="3" s="1"/>
  <c r="D131" i="3" s="1"/>
  <c r="J124" i="3"/>
  <c r="K123" i="3" s="1"/>
  <c r="D124" i="3"/>
  <c r="J121" i="3"/>
  <c r="J119" i="3"/>
  <c r="J116" i="3"/>
  <c r="D116" i="3"/>
  <c r="D119" i="3" s="1"/>
  <c r="D121" i="3" s="1"/>
  <c r="J113" i="3"/>
  <c r="J112" i="3"/>
  <c r="J111" i="3"/>
  <c r="J101" i="3"/>
  <c r="J100" i="3"/>
  <c r="I92" i="3"/>
  <c r="J92" i="3" s="1"/>
  <c r="J91" i="3"/>
  <c r="K73" i="3"/>
  <c r="K64" i="3"/>
  <c r="D52" i="3"/>
  <c r="D174" i="3" s="1"/>
  <c r="J39" i="3"/>
  <c r="K39" i="3" s="1"/>
  <c r="J38" i="3"/>
  <c r="K38" i="3" s="1"/>
  <c r="J37" i="3"/>
  <c r="G37" i="3"/>
  <c r="G29" i="3"/>
  <c r="J27" i="3"/>
  <c r="K27" i="3" s="1"/>
  <c r="J26" i="3"/>
  <c r="K26" i="3" s="1"/>
  <c r="J25" i="3"/>
  <c r="K25" i="3" s="1"/>
  <c r="J24" i="3"/>
  <c r="K24" i="3" s="1"/>
  <c r="J23" i="3"/>
  <c r="K23" i="3" s="1"/>
  <c r="J22" i="3"/>
  <c r="K22" i="3" s="1"/>
  <c r="J21" i="3"/>
  <c r="K21" i="3" s="1"/>
  <c r="J20" i="3"/>
  <c r="K20" i="3" s="1"/>
  <c r="J19" i="3"/>
  <c r="K19" i="3" s="1"/>
  <c r="I9" i="42" l="1"/>
  <c r="H22" i="42"/>
  <c r="J99" i="18"/>
  <c r="J107" i="18"/>
  <c r="B41" i="9"/>
  <c r="F44" i="9" s="1"/>
  <c r="J62" i="22"/>
  <c r="G19" i="25" s="1"/>
  <c r="J12" i="16"/>
  <c r="J53" i="17"/>
  <c r="J26" i="18"/>
  <c r="J22" i="9"/>
  <c r="G15" i="13" s="1"/>
  <c r="B38" i="9"/>
  <c r="B39" i="9" s="1"/>
  <c r="J44" i="9"/>
  <c r="H58" i="30"/>
  <c r="F124" i="11"/>
  <c r="J52" i="23"/>
  <c r="H46" i="34"/>
  <c r="H95" i="34"/>
  <c r="H67" i="34"/>
  <c r="H75" i="34"/>
  <c r="H34" i="34"/>
  <c r="H85" i="34"/>
  <c r="H57" i="34"/>
  <c r="H23" i="34"/>
  <c r="H15" i="34"/>
  <c r="H105" i="34"/>
  <c r="N18" i="34"/>
  <c r="H18" i="34" s="1"/>
  <c r="H29" i="34"/>
  <c r="N37" i="34"/>
  <c r="H37" i="34" s="1"/>
  <c r="N49" i="34"/>
  <c r="H49" i="34" s="1"/>
  <c r="N60" i="34"/>
  <c r="H60" i="34" s="1"/>
  <c r="N70" i="34"/>
  <c r="H70" i="34" s="1"/>
  <c r="N78" i="34"/>
  <c r="H78" i="34" s="1"/>
  <c r="N88" i="34"/>
  <c r="H88" i="34" s="1"/>
  <c r="H98" i="34"/>
  <c r="N11" i="34"/>
  <c r="N21" i="34"/>
  <c r="H21" i="34" s="1"/>
  <c r="N32" i="34"/>
  <c r="H32" i="34" s="1"/>
  <c r="H44" i="34"/>
  <c r="N52" i="34"/>
  <c r="H52" i="34" s="1"/>
  <c r="N63" i="34"/>
  <c r="H63" i="34" s="1"/>
  <c r="N73" i="34"/>
  <c r="H73" i="34" s="1"/>
  <c r="N81" i="34"/>
  <c r="H81" i="34" s="1"/>
  <c r="N93" i="34"/>
  <c r="H93" i="34" s="1"/>
  <c r="N106" i="34"/>
  <c r="H106" i="34" s="1"/>
  <c r="N16" i="34"/>
  <c r="H16" i="34" s="1"/>
  <c r="N24" i="34"/>
  <c r="H24" i="34" s="1"/>
  <c r="N35" i="34"/>
  <c r="H35" i="34" s="1"/>
  <c r="N47" i="34"/>
  <c r="H47" i="34" s="1"/>
  <c r="N58" i="34"/>
  <c r="H58" i="34" s="1"/>
  <c r="N68" i="34"/>
  <c r="H68" i="34" s="1"/>
  <c r="N76" i="34"/>
  <c r="H76" i="34" s="1"/>
  <c r="N86" i="34"/>
  <c r="H86" i="34" s="1"/>
  <c r="N96" i="34"/>
  <c r="H96" i="34" s="1"/>
  <c r="H109" i="34"/>
  <c r="N19" i="34"/>
  <c r="H19" i="34" s="1"/>
  <c r="N30" i="34"/>
  <c r="H30" i="34" s="1"/>
  <c r="N38" i="34"/>
  <c r="H38" i="34" s="1"/>
  <c r="N50" i="34"/>
  <c r="H50" i="34" s="1"/>
  <c r="N61" i="34"/>
  <c r="H61" i="34" s="1"/>
  <c r="N71" i="34"/>
  <c r="H71" i="34" s="1"/>
  <c r="N79" i="34"/>
  <c r="H79" i="34" s="1"/>
  <c r="N89" i="34"/>
  <c r="H89" i="34" s="1"/>
  <c r="H99" i="34"/>
  <c r="N108" i="34"/>
  <c r="H108" i="34" s="1"/>
  <c r="N14" i="34"/>
  <c r="H14" i="34" s="1"/>
  <c r="N22" i="34"/>
  <c r="H22" i="34" s="1"/>
  <c r="N33" i="34"/>
  <c r="H33" i="34" s="1"/>
  <c r="N45" i="34"/>
  <c r="H45" i="34" s="1"/>
  <c r="N56" i="34"/>
  <c r="H56" i="34" s="1"/>
  <c r="N66" i="34"/>
  <c r="H66" i="34" s="1"/>
  <c r="N74" i="34"/>
  <c r="H74" i="34" s="1"/>
  <c r="N82" i="34"/>
  <c r="H82" i="34" s="1"/>
  <c r="N94" i="34"/>
  <c r="H94" i="34" s="1"/>
  <c r="N107" i="34"/>
  <c r="H107" i="34" s="1"/>
  <c r="N17" i="34"/>
  <c r="H17" i="34" s="1"/>
  <c r="H28" i="34"/>
  <c r="N36" i="34"/>
  <c r="H36" i="34" s="1"/>
  <c r="N48" i="34"/>
  <c r="H48" i="34" s="1"/>
  <c r="N59" i="34"/>
  <c r="H59" i="34" s="1"/>
  <c r="N69" i="34"/>
  <c r="H69" i="34" s="1"/>
  <c r="N77" i="34"/>
  <c r="H77" i="34" s="1"/>
  <c r="N87" i="34"/>
  <c r="H87" i="34" s="1"/>
  <c r="N97" i="34"/>
  <c r="H97" i="34" s="1"/>
  <c r="N20" i="34"/>
  <c r="H20" i="34" s="1"/>
  <c r="N31" i="34"/>
  <c r="H31" i="34" s="1"/>
  <c r="N39" i="34"/>
  <c r="H39" i="34" s="1"/>
  <c r="N51" i="34"/>
  <c r="H51" i="34" s="1"/>
  <c r="N62" i="34"/>
  <c r="H62" i="34" s="1"/>
  <c r="N72" i="34"/>
  <c r="H72" i="34" s="1"/>
  <c r="N80" i="34"/>
  <c r="H80" i="34" s="1"/>
  <c r="N92" i="34"/>
  <c r="H92" i="34" s="1"/>
  <c r="B14" i="34"/>
  <c r="B15" i="34" s="1"/>
  <c r="B16" i="34" s="1"/>
  <c r="B17" i="34" s="1"/>
  <c r="B18" i="34" s="1"/>
  <c r="B19" i="34" s="1"/>
  <c r="B20" i="34" s="1"/>
  <c r="B21" i="34" s="1"/>
  <c r="B22" i="34" s="1"/>
  <c r="B23" i="34" s="1"/>
  <c r="B24" i="34" s="1"/>
  <c r="J18" i="18"/>
  <c r="B23" i="24"/>
  <c r="J116" i="11"/>
  <c r="B118" i="11"/>
  <c r="B119" i="11" s="1"/>
  <c r="B120" i="11" s="1"/>
  <c r="B121" i="11" s="1"/>
  <c r="B122" i="11" s="1"/>
  <c r="B123" i="11" s="1"/>
  <c r="J18" i="16"/>
  <c r="G15" i="19" s="1"/>
  <c r="J45" i="16"/>
  <c r="G19" i="19" s="1"/>
  <c r="F85" i="17"/>
  <c r="J36" i="18"/>
  <c r="B14" i="22"/>
  <c r="J81" i="23"/>
  <c r="B14" i="24"/>
  <c r="J22" i="24"/>
  <c r="J35" i="23"/>
  <c r="H107" i="30"/>
  <c r="J124" i="11"/>
  <c r="B86" i="17"/>
  <c r="B87" i="17" s="1"/>
  <c r="B88" i="17" s="1"/>
  <c r="F18" i="18"/>
  <c r="J32" i="18"/>
  <c r="F90" i="23"/>
  <c r="J40" i="12"/>
  <c r="J99" i="16"/>
  <c r="F15" i="22"/>
  <c r="J94" i="23"/>
  <c r="J116" i="9"/>
  <c r="G18" i="13" s="1"/>
  <c r="J33" i="22"/>
  <c r="G18" i="25" s="1"/>
  <c r="J87" i="22"/>
  <c r="G22" i="25" s="1"/>
  <c r="J25" i="23"/>
  <c r="J36" i="9"/>
  <c r="J44" i="12"/>
  <c r="J65" i="16"/>
  <c r="G17" i="19" s="1"/>
  <c r="J78" i="18"/>
  <c r="F15" i="24"/>
  <c r="M199" i="3"/>
  <c r="H19" i="30"/>
  <c r="H91" i="30"/>
  <c r="J30" i="9"/>
  <c r="G16" i="13" s="1"/>
  <c r="J85" i="17"/>
  <c r="J89" i="18"/>
  <c r="B17" i="24"/>
  <c r="B18" i="24" s="1"/>
  <c r="B19" i="24" s="1"/>
  <c r="B20" i="24" s="1"/>
  <c r="B21" i="24" s="1"/>
  <c r="J36" i="12"/>
  <c r="J116" i="12"/>
  <c r="B32" i="12"/>
  <c r="B33" i="12" s="1"/>
  <c r="B34" i="12" s="1"/>
  <c r="B37" i="12"/>
  <c r="B41" i="12" s="1"/>
  <c r="J99" i="12"/>
  <c r="K93" i="3"/>
  <c r="K37" i="3"/>
  <c r="K110" i="3"/>
  <c r="K76" i="3"/>
  <c r="K183" i="3" s="1"/>
  <c r="I141" i="3"/>
  <c r="J141" i="3" s="1"/>
  <c r="K133" i="3" s="1"/>
  <c r="K115" i="3"/>
  <c r="I131" i="3"/>
  <c r="J131" i="3" s="1"/>
  <c r="K126" i="3" s="1"/>
  <c r="K29" i="3"/>
  <c r="J69" i="11"/>
  <c r="I133" i="12"/>
  <c r="J12" i="12"/>
  <c r="J12" i="22"/>
  <c r="G13" i="25" s="1"/>
  <c r="J55" i="11"/>
  <c r="J18" i="11"/>
  <c r="B126" i="11"/>
  <c r="B127" i="11" s="1"/>
  <c r="F128" i="11"/>
  <c r="J16" i="9"/>
  <c r="G14" i="13" s="1"/>
  <c r="B45" i="9"/>
  <c r="B42" i="9"/>
  <c r="B43" i="9" s="1"/>
  <c r="J22" i="12"/>
  <c r="J79" i="11"/>
  <c r="J65" i="18"/>
  <c r="J33" i="24"/>
  <c r="H82" i="30"/>
  <c r="J84" i="9"/>
  <c r="G21" i="13" s="1"/>
  <c r="J110" i="9"/>
  <c r="G23" i="13" s="1"/>
  <c r="I112" i="18"/>
  <c r="H32" i="30"/>
  <c r="H69" i="30" s="1"/>
  <c r="H120" i="30" s="1"/>
  <c r="J99" i="9"/>
  <c r="G20" i="13" s="1"/>
  <c r="B38" i="12"/>
  <c r="B39" i="12" s="1"/>
  <c r="J26" i="16"/>
  <c r="J59" i="12"/>
  <c r="G14" i="19"/>
  <c r="J67" i="23"/>
  <c r="B55" i="34"/>
  <c r="B44" i="34"/>
  <c r="B45" i="34" s="1"/>
  <c r="B46" i="34" s="1"/>
  <c r="B47" i="34" s="1"/>
  <c r="B48" i="34" s="1"/>
  <c r="B49" i="34" s="1"/>
  <c r="B50" i="34" s="1"/>
  <c r="B51" i="34" s="1"/>
  <c r="B52" i="34" s="1"/>
  <c r="J40" i="9"/>
  <c r="F13" i="31" s="1"/>
  <c r="J103" i="11"/>
  <c r="J107" i="11"/>
  <c r="J84" i="12"/>
  <c r="G25" i="19"/>
  <c r="J102" i="22"/>
  <c r="J48" i="24"/>
  <c r="J59" i="9"/>
  <c r="G17" i="13" s="1"/>
  <c r="J128" i="9"/>
  <c r="J78" i="22"/>
  <c r="G20" i="25" s="1"/>
  <c r="I106" i="24"/>
  <c r="J39" i="24"/>
  <c r="J128" i="12"/>
  <c r="J61" i="17"/>
  <c r="J30" i="12"/>
  <c r="J78" i="16"/>
  <c r="G18" i="19" s="1"/>
  <c r="B27" i="16"/>
  <c r="B23" i="16"/>
  <c r="B24" i="16" s="1"/>
  <c r="B25" i="16" s="1"/>
  <c r="J90" i="23"/>
  <c r="J78" i="24"/>
  <c r="J102" i="24"/>
  <c r="F26" i="16"/>
  <c r="J40" i="17"/>
  <c r="J73" i="17"/>
  <c r="J110" i="12"/>
  <c r="J10" i="18"/>
  <c r="B33" i="18"/>
  <c r="F32" i="18"/>
  <c r="B28" i="18"/>
  <c r="B29" i="18" s="1"/>
  <c r="B30" i="18" s="1"/>
  <c r="J32" i="16"/>
  <c r="G22" i="19" s="1"/>
  <c r="I21" i="19" s="1"/>
  <c r="B23" i="22"/>
  <c r="F22" i="22"/>
  <c r="J48" i="22"/>
  <c r="G17" i="25" s="1"/>
  <c r="F33" i="24"/>
  <c r="B34" i="24"/>
  <c r="B24" i="24"/>
  <c r="B25" i="24" s="1"/>
  <c r="B26" i="24" s="1"/>
  <c r="B27" i="24" s="1"/>
  <c r="B28" i="24" s="1"/>
  <c r="B29" i="24" s="1"/>
  <c r="B30" i="24" s="1"/>
  <c r="B31" i="24" s="1"/>
  <c r="B32" i="24" s="1"/>
  <c r="J94" i="18"/>
  <c r="B17" i="22"/>
  <c r="B18" i="22" s="1"/>
  <c r="B19" i="22" s="1"/>
  <c r="B20" i="22" s="1"/>
  <c r="B21" i="22" s="1"/>
  <c r="J39" i="22"/>
  <c r="G21" i="25" s="1"/>
  <c r="J11" i="24"/>
  <c r="J12" i="24" s="1"/>
  <c r="J22" i="22"/>
  <c r="J43" i="23"/>
  <c r="J71" i="23"/>
  <c r="B28" i="34"/>
  <c r="B29" i="34" s="1"/>
  <c r="B30" i="34" s="1"/>
  <c r="B31" i="34" s="1"/>
  <c r="B32" i="34" s="1"/>
  <c r="B33" i="34" s="1"/>
  <c r="B34" i="34" s="1"/>
  <c r="B35" i="34" s="1"/>
  <c r="B36" i="34" s="1"/>
  <c r="B37" i="34" s="1"/>
  <c r="B38" i="34" s="1"/>
  <c r="B39" i="34" s="1"/>
  <c r="J62" i="24"/>
  <c r="J60" i="23"/>
  <c r="J87" i="24"/>
  <c r="B91" i="23"/>
  <c r="J9" i="42" l="1"/>
  <c r="I22" i="42"/>
  <c r="I103" i="42"/>
  <c r="I13" i="13"/>
  <c r="J130" i="11"/>
  <c r="J96" i="23"/>
  <c r="J103" i="24"/>
  <c r="F40" i="12"/>
  <c r="V122" i="34"/>
  <c r="H118" i="34"/>
  <c r="H135" i="34"/>
  <c r="H122" i="34"/>
  <c r="H150" i="34"/>
  <c r="V154" i="34"/>
  <c r="H154" i="34"/>
  <c r="H11" i="34"/>
  <c r="V139" i="34"/>
  <c r="V150" i="34"/>
  <c r="H143" i="34"/>
  <c r="V126" i="34"/>
  <c r="H124" i="34"/>
  <c r="H134" i="34"/>
  <c r="H120" i="34"/>
  <c r="V118" i="34"/>
  <c r="V135" i="34"/>
  <c r="V144" i="34"/>
  <c r="H116" i="34"/>
  <c r="V138" i="34"/>
  <c r="H139" i="34"/>
  <c r="V147" i="34"/>
  <c r="H147" i="34"/>
  <c r="V120" i="34"/>
  <c r="V116" i="34"/>
  <c r="H131" i="34"/>
  <c r="V131" i="34"/>
  <c r="H142" i="34"/>
  <c r="V142" i="34"/>
  <c r="H126" i="34"/>
  <c r="H138" i="34"/>
  <c r="V124" i="34"/>
  <c r="G15" i="37"/>
  <c r="I15" i="37" s="1"/>
  <c r="G18" i="37"/>
  <c r="G19" i="37"/>
  <c r="J99" i="23"/>
  <c r="I23" i="19"/>
  <c r="G19" i="13"/>
  <c r="G17" i="37"/>
  <c r="J103" i="22"/>
  <c r="F13" i="38" s="1"/>
  <c r="F11" i="33" s="1"/>
  <c r="J97" i="17"/>
  <c r="F89" i="17"/>
  <c r="I22" i="25"/>
  <c r="J114" i="16"/>
  <c r="J105" i="24"/>
  <c r="J133" i="11"/>
  <c r="J134" i="11" s="1"/>
  <c r="K143" i="3"/>
  <c r="G25" i="13"/>
  <c r="F13" i="8"/>
  <c r="J100" i="23"/>
  <c r="F14" i="38"/>
  <c r="G23" i="25"/>
  <c r="G24" i="25"/>
  <c r="F15" i="38"/>
  <c r="I17" i="13"/>
  <c r="I18" i="13"/>
  <c r="B45" i="12"/>
  <c r="F44" i="12"/>
  <c r="B42" i="12"/>
  <c r="B43" i="12" s="1"/>
  <c r="B92" i="23"/>
  <c r="B93" i="23" s="1"/>
  <c r="F94" i="23"/>
  <c r="J129" i="9"/>
  <c r="F12" i="8" s="1"/>
  <c r="I17" i="25"/>
  <c r="I19" i="25"/>
  <c r="K40" i="3"/>
  <c r="K42" i="3" s="1"/>
  <c r="K46" i="3" s="1"/>
  <c r="K182" i="3" s="1"/>
  <c r="J102" i="3"/>
  <c r="K103" i="3" s="1"/>
  <c r="K147" i="3" s="1"/>
  <c r="K184" i="3" s="1"/>
  <c r="G13" i="37"/>
  <c r="F13" i="40"/>
  <c r="I20" i="25"/>
  <c r="B37" i="18"/>
  <c r="F36" i="18"/>
  <c r="B34" i="18"/>
  <c r="B35" i="18" s="1"/>
  <c r="B33" i="16"/>
  <c r="B28" i="16"/>
  <c r="B29" i="16" s="1"/>
  <c r="B30" i="16" s="1"/>
  <c r="F32" i="16"/>
  <c r="G24" i="13"/>
  <c r="I19" i="13" s="1"/>
  <c r="J131" i="9"/>
  <c r="F13" i="32"/>
  <c r="G16" i="19"/>
  <c r="I13" i="19" s="1"/>
  <c r="B46" i="9"/>
  <c r="B47" i="9" s="1"/>
  <c r="B48" i="9" s="1"/>
  <c r="B49" i="9" s="1"/>
  <c r="B50" i="9" s="1"/>
  <c r="B51" i="9" s="1"/>
  <c r="B52" i="9" s="1"/>
  <c r="B53" i="9" s="1"/>
  <c r="B54" i="9" s="1"/>
  <c r="B55" i="9" s="1"/>
  <c r="B56" i="9" s="1"/>
  <c r="B57" i="9" s="1"/>
  <c r="B58" i="9" s="1"/>
  <c r="B60" i="9"/>
  <c r="F59" i="9"/>
  <c r="I21" i="13"/>
  <c r="J106" i="24"/>
  <c r="J108" i="16"/>
  <c r="F13" i="14" s="1"/>
  <c r="I14" i="13"/>
  <c r="I16" i="13"/>
  <c r="I22" i="19"/>
  <c r="I18" i="25"/>
  <c r="J106" i="22"/>
  <c r="J107" i="22" s="1"/>
  <c r="G16" i="25"/>
  <c r="J90" i="17"/>
  <c r="J16" i="12"/>
  <c r="J130" i="12" s="1"/>
  <c r="I25" i="19"/>
  <c r="I23" i="13"/>
  <c r="J12" i="18"/>
  <c r="J109" i="18" s="1"/>
  <c r="I22" i="13"/>
  <c r="B40" i="24"/>
  <c r="F39" i="24"/>
  <c r="B35" i="24"/>
  <c r="B36" i="24" s="1"/>
  <c r="B37" i="24" s="1"/>
  <c r="B38" i="24" s="1"/>
  <c r="G15" i="25"/>
  <c r="F13" i="33"/>
  <c r="I21" i="25"/>
  <c r="B34" i="22"/>
  <c r="B24" i="22"/>
  <c r="B25" i="22" s="1"/>
  <c r="B26" i="22" s="1"/>
  <c r="B27" i="22" s="1"/>
  <c r="B28" i="22" s="1"/>
  <c r="B29" i="22" s="1"/>
  <c r="B30" i="22" s="1"/>
  <c r="B31" i="22" s="1"/>
  <c r="B32" i="22" s="1"/>
  <c r="F33" i="22"/>
  <c r="I24" i="19"/>
  <c r="B65" i="34"/>
  <c r="B56" i="34"/>
  <c r="B57" i="34" s="1"/>
  <c r="B58" i="34" s="1"/>
  <c r="B59" i="34" s="1"/>
  <c r="B60" i="34" s="1"/>
  <c r="B61" i="34" s="1"/>
  <c r="B62" i="34" s="1"/>
  <c r="B63" i="34" s="1"/>
  <c r="I15" i="13"/>
  <c r="I13" i="25"/>
  <c r="I14" i="25"/>
  <c r="J22" i="42" l="1"/>
  <c r="K9" i="42"/>
  <c r="J103" i="42"/>
  <c r="H144" i="34"/>
  <c r="V143" i="34"/>
  <c r="V134" i="34"/>
  <c r="G21" i="37"/>
  <c r="I18" i="37"/>
  <c r="I17" i="37"/>
  <c r="I19" i="37"/>
  <c r="I20" i="13"/>
  <c r="G27" i="19"/>
  <c r="F15" i="14"/>
  <c r="F14" i="8"/>
  <c r="F15" i="8" s="1"/>
  <c r="G26" i="13"/>
  <c r="G26" i="19"/>
  <c r="F14" i="14"/>
  <c r="I13" i="37"/>
  <c r="F12" i="33"/>
  <c r="B38" i="18"/>
  <c r="B40" i="18"/>
  <c r="F39" i="18"/>
  <c r="I23" i="25"/>
  <c r="I16" i="25"/>
  <c r="F15" i="33"/>
  <c r="J112" i="18"/>
  <c r="J113" i="18" s="1"/>
  <c r="J132" i="12"/>
  <c r="J133" i="12" s="1"/>
  <c r="J115" i="16"/>
  <c r="B40" i="22"/>
  <c r="F39" i="22"/>
  <c r="B35" i="22"/>
  <c r="B36" i="22" s="1"/>
  <c r="B37" i="22" s="1"/>
  <c r="B38" i="22" s="1"/>
  <c r="F11" i="31"/>
  <c r="F21" i="33"/>
  <c r="I16" i="19"/>
  <c r="I19" i="19"/>
  <c r="I20" i="19"/>
  <c r="I15" i="19"/>
  <c r="G20" i="37"/>
  <c r="F15" i="40"/>
  <c r="J132" i="9"/>
  <c r="I15" i="25"/>
  <c r="I14" i="19"/>
  <c r="F59" i="12"/>
  <c r="B46" i="12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60" i="12"/>
  <c r="F11" i="32"/>
  <c r="F21" i="40"/>
  <c r="I24" i="25"/>
  <c r="B66" i="34"/>
  <c r="B67" i="34" s="1"/>
  <c r="B68" i="34" s="1"/>
  <c r="B69" i="34" s="1"/>
  <c r="B70" i="34" s="1"/>
  <c r="B71" i="34" s="1"/>
  <c r="B72" i="34" s="1"/>
  <c r="B73" i="34" s="1"/>
  <c r="B74" i="34" s="1"/>
  <c r="B75" i="34" s="1"/>
  <c r="B76" i="34" s="1"/>
  <c r="B77" i="34" s="1"/>
  <c r="B78" i="34" s="1"/>
  <c r="B79" i="34" s="1"/>
  <c r="B80" i="34" s="1"/>
  <c r="B81" i="34" s="1"/>
  <c r="B82" i="34" s="1"/>
  <c r="B84" i="34"/>
  <c r="F16" i="38"/>
  <c r="I17" i="19"/>
  <c r="K186" i="3"/>
  <c r="F15" i="31"/>
  <c r="I18" i="19"/>
  <c r="I24" i="13"/>
  <c r="F48" i="24"/>
  <c r="B41" i="24"/>
  <c r="B42" i="24" s="1"/>
  <c r="B43" i="24" s="1"/>
  <c r="B44" i="24" s="1"/>
  <c r="B45" i="24" s="1"/>
  <c r="B46" i="24" s="1"/>
  <c r="B47" i="24" s="1"/>
  <c r="B49" i="24"/>
  <c r="F62" i="9"/>
  <c r="B61" i="9"/>
  <c r="B63" i="9"/>
  <c r="B34" i="16"/>
  <c r="B35" i="16" s="1"/>
  <c r="B37" i="16"/>
  <c r="F36" i="16"/>
  <c r="J98" i="17"/>
  <c r="K22" i="42" l="1"/>
  <c r="K103" i="42" s="1"/>
  <c r="F24" i="33"/>
  <c r="F32" i="33" s="1"/>
  <c r="F11" i="40"/>
  <c r="F24" i="40" s="1"/>
  <c r="F32" i="40" s="1"/>
  <c r="F62" i="12"/>
  <c r="B63" i="12"/>
  <c r="B61" i="12"/>
  <c r="I20" i="37"/>
  <c r="B91" i="34"/>
  <c r="B85" i="34"/>
  <c r="B86" i="34" s="1"/>
  <c r="B87" i="34" s="1"/>
  <c r="B88" i="34" s="1"/>
  <c r="B89" i="34" s="1"/>
  <c r="I26" i="13"/>
  <c r="F21" i="31"/>
  <c r="F24" i="31" s="1"/>
  <c r="G14" i="8"/>
  <c r="H15" i="31"/>
  <c r="F16" i="31"/>
  <c r="F17" i="31"/>
  <c r="B50" i="24"/>
  <c r="B51" i="24" s="1"/>
  <c r="B52" i="24" s="1"/>
  <c r="B53" i="24" s="1"/>
  <c r="B54" i="24" s="1"/>
  <c r="B55" i="24" s="1"/>
  <c r="B56" i="24" s="1"/>
  <c r="B57" i="24" s="1"/>
  <c r="B58" i="24" s="1"/>
  <c r="B59" i="24" s="1"/>
  <c r="B60" i="24" s="1"/>
  <c r="B61" i="24" s="1"/>
  <c r="B63" i="24"/>
  <c r="F62" i="24"/>
  <c r="K191" i="3"/>
  <c r="H160" i="3"/>
  <c r="J160" i="3" s="1"/>
  <c r="K161" i="3" s="1"/>
  <c r="K165" i="3" s="1"/>
  <c r="K190" i="3" s="1"/>
  <c r="K193" i="3" s="1"/>
  <c r="F21" i="32"/>
  <c r="G15" i="14"/>
  <c r="F15" i="32"/>
  <c r="F16" i="14"/>
  <c r="F12" i="32"/>
  <c r="I11" i="32"/>
  <c r="I10" i="32"/>
  <c r="F18" i="8"/>
  <c r="F17" i="8"/>
  <c r="F48" i="22"/>
  <c r="B49" i="22"/>
  <c r="B41" i="22"/>
  <c r="B42" i="22" s="1"/>
  <c r="B43" i="22" s="1"/>
  <c r="B44" i="22" s="1"/>
  <c r="B45" i="22" s="1"/>
  <c r="B46" i="22" s="1"/>
  <c r="B47" i="22" s="1"/>
  <c r="I27" i="19"/>
  <c r="B38" i="16"/>
  <c r="B40" i="16"/>
  <c r="F39" i="16"/>
  <c r="I11" i="31"/>
  <c r="I10" i="31"/>
  <c r="F12" i="31"/>
  <c r="I26" i="19"/>
  <c r="F84" i="9"/>
  <c r="B64" i="9"/>
  <c r="B65" i="9" s="1"/>
  <c r="B66" i="9" s="1"/>
  <c r="B67" i="9" s="1"/>
  <c r="B68" i="9" s="1"/>
  <c r="B69" i="9" s="1"/>
  <c r="B70" i="9" s="1"/>
  <c r="B71" i="9" s="1"/>
  <c r="B72" i="9" s="1"/>
  <c r="B73" i="9" s="1"/>
  <c r="B74" i="9" s="1"/>
  <c r="B75" i="9" s="1"/>
  <c r="B76" i="9" s="1"/>
  <c r="B77" i="9" s="1"/>
  <c r="B78" i="9" s="1"/>
  <c r="B79" i="9" s="1"/>
  <c r="B80" i="9" s="1"/>
  <c r="B81" i="9" s="1"/>
  <c r="B82" i="9" s="1"/>
  <c r="B83" i="9" s="1"/>
  <c r="B85" i="9"/>
  <c r="B41" i="18"/>
  <c r="B42" i="18" s="1"/>
  <c r="B43" i="18" s="1"/>
  <c r="B44" i="18" s="1"/>
  <c r="F45" i="18"/>
  <c r="B46" i="18"/>
  <c r="F16" i="33"/>
  <c r="F17" i="33"/>
  <c r="I25" i="13"/>
  <c r="F19" i="38"/>
  <c r="F18" i="38"/>
  <c r="I21" i="37"/>
  <c r="F17" i="40"/>
  <c r="F16" i="40"/>
  <c r="F24" i="32" l="1"/>
  <c r="F12" i="40"/>
  <c r="F21" i="38"/>
  <c r="D10" i="25" s="1"/>
  <c r="K196" i="3"/>
  <c r="K199" i="3" s="1"/>
  <c r="N199" i="3" s="1"/>
  <c r="G7" i="1"/>
  <c r="G11" i="5"/>
  <c r="F62" i="22"/>
  <c r="B63" i="22"/>
  <c r="B50" i="22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85" i="12"/>
  <c r="F84" i="12"/>
  <c r="B64" i="12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F99" i="9"/>
  <c r="B86" i="9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100" i="9"/>
  <c r="G25" i="25"/>
  <c r="F48" i="18"/>
  <c r="B49" i="18"/>
  <c r="B47" i="18"/>
  <c r="G12" i="5"/>
  <c r="F19" i="14"/>
  <c r="F18" i="14"/>
  <c r="F20" i="8"/>
  <c r="H15" i="32"/>
  <c r="F16" i="32"/>
  <c r="F17" i="32"/>
  <c r="F78" i="24"/>
  <c r="B79" i="24"/>
  <c r="B64" i="24"/>
  <c r="B65" i="24" s="1"/>
  <c r="B66" i="24" s="1"/>
  <c r="B67" i="24" s="1"/>
  <c r="B68" i="24" s="1"/>
  <c r="B69" i="24" s="1"/>
  <c r="B70" i="24" s="1"/>
  <c r="B71" i="24" s="1"/>
  <c r="B72" i="24" s="1"/>
  <c r="B73" i="24" s="1"/>
  <c r="B74" i="24" s="1"/>
  <c r="B75" i="24" s="1"/>
  <c r="B76" i="24" s="1"/>
  <c r="B77" i="24" s="1"/>
  <c r="B46" i="16"/>
  <c r="B41" i="16"/>
  <c r="B42" i="16" s="1"/>
  <c r="B43" i="16" s="1"/>
  <c r="B44" i="16" s="1"/>
  <c r="F45" i="16"/>
  <c r="G13" i="5"/>
  <c r="G27" i="13"/>
  <c r="B104" i="34"/>
  <c r="B92" i="34"/>
  <c r="B93" i="34" s="1"/>
  <c r="B94" i="34" s="1"/>
  <c r="B95" i="34" s="1"/>
  <c r="B96" i="34" s="1"/>
  <c r="B97" i="34" s="1"/>
  <c r="B98" i="34" s="1"/>
  <c r="B99" i="34" s="1"/>
  <c r="G22" i="37" l="1"/>
  <c r="I22" i="37" s="1"/>
  <c r="I40" i="37" s="1"/>
  <c r="F21" i="14"/>
  <c r="D10" i="19" s="1"/>
  <c r="B64" i="22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9" i="22"/>
  <c r="F78" i="22"/>
  <c r="B101" i="9"/>
  <c r="B102" i="9" s="1"/>
  <c r="B103" i="9" s="1"/>
  <c r="B104" i="9" s="1"/>
  <c r="B105" i="9" s="1"/>
  <c r="B106" i="9" s="1"/>
  <c r="B107" i="9" s="1"/>
  <c r="B108" i="9" s="1"/>
  <c r="B109" i="9" s="1"/>
  <c r="B111" i="9"/>
  <c r="F110" i="9"/>
  <c r="F96" i="30"/>
  <c r="G15" i="5"/>
  <c r="G17" i="5"/>
  <c r="G18" i="5"/>
  <c r="H7" i="1"/>
  <c r="I7" i="1" s="1"/>
  <c r="B47" i="16"/>
  <c r="F48" i="16"/>
  <c r="B49" i="16"/>
  <c r="B80" i="24"/>
  <c r="B81" i="24" s="1"/>
  <c r="B82" i="24" s="1"/>
  <c r="B83" i="24" s="1"/>
  <c r="B84" i="24" s="1"/>
  <c r="B85" i="24" s="1"/>
  <c r="B86" i="24" s="1"/>
  <c r="B88" i="24"/>
  <c r="F87" i="24"/>
  <c r="F65" i="18"/>
  <c r="B50" i="18"/>
  <c r="B51" i="18" s="1"/>
  <c r="B52" i="18" s="1"/>
  <c r="B53" i="18" s="1"/>
  <c r="B54" i="18" s="1"/>
  <c r="B55" i="18" s="1"/>
  <c r="B56" i="18" s="1"/>
  <c r="B57" i="18" s="1"/>
  <c r="B58" i="18" s="1"/>
  <c r="B59" i="18" s="1"/>
  <c r="B60" i="18" s="1"/>
  <c r="B61" i="18" s="1"/>
  <c r="B62" i="18" s="1"/>
  <c r="B63" i="18" s="1"/>
  <c r="B64" i="18" s="1"/>
  <c r="B66" i="18"/>
  <c r="I25" i="25"/>
  <c r="I43" i="25" s="1"/>
  <c r="H25" i="25"/>
  <c r="J25" i="25" s="1"/>
  <c r="M10" i="25"/>
  <c r="N10" i="25"/>
  <c r="H22" i="25"/>
  <c r="H14" i="25"/>
  <c r="H19" i="25"/>
  <c r="H18" i="25"/>
  <c r="H21" i="25"/>
  <c r="H17" i="25"/>
  <c r="H20" i="25"/>
  <c r="H13" i="25"/>
  <c r="H23" i="25"/>
  <c r="H24" i="25"/>
  <c r="H16" i="25"/>
  <c r="H15" i="25"/>
  <c r="O11" i="5"/>
  <c r="M11" i="5"/>
  <c r="Q11" i="5"/>
  <c r="N11" i="5"/>
  <c r="L11" i="5"/>
  <c r="B105" i="34"/>
  <c r="B106" i="34" s="1"/>
  <c r="B107" i="34" s="1"/>
  <c r="B108" i="34" s="1"/>
  <c r="B109" i="34" s="1"/>
  <c r="G28" i="19"/>
  <c r="F99" i="12"/>
  <c r="B100" i="12"/>
  <c r="B86" i="12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N112" i="3"/>
  <c r="M19" i="3"/>
  <c r="Q13" i="5"/>
  <c r="O13" i="5"/>
  <c r="M13" i="5"/>
  <c r="N13" i="5"/>
  <c r="L13" i="5"/>
  <c r="H21" i="38"/>
  <c r="P12" i="5"/>
  <c r="N12" i="5"/>
  <c r="L12" i="5"/>
  <c r="M12" i="5"/>
  <c r="O12" i="5"/>
  <c r="D10" i="13"/>
  <c r="H27" i="13" s="1"/>
  <c r="J27" i="13" s="1"/>
  <c r="H20" i="8"/>
  <c r="I27" i="13"/>
  <c r="I46" i="13" s="1"/>
  <c r="D10" i="37" l="1"/>
  <c r="H17" i="37" s="1"/>
  <c r="H21" i="14"/>
  <c r="G21" i="5"/>
  <c r="Q12" i="5"/>
  <c r="Q15" i="5" s="1"/>
  <c r="P11" i="5"/>
  <c r="P13" i="5"/>
  <c r="F87" i="22"/>
  <c r="B80" i="22"/>
  <c r="B81" i="22" s="1"/>
  <c r="B82" i="22" s="1"/>
  <c r="B83" i="22" s="1"/>
  <c r="B84" i="22" s="1"/>
  <c r="B85" i="22" s="1"/>
  <c r="B86" i="22" s="1"/>
  <c r="B88" i="22"/>
  <c r="K10" i="13"/>
  <c r="L10" i="13"/>
  <c r="H18" i="13"/>
  <c r="H15" i="13"/>
  <c r="H16" i="13"/>
  <c r="H13" i="13"/>
  <c r="H22" i="13"/>
  <c r="H23" i="13"/>
  <c r="H20" i="13"/>
  <c r="H14" i="13"/>
  <c r="H17" i="13"/>
  <c r="H19" i="13"/>
  <c r="H21" i="13"/>
  <c r="H25" i="13"/>
  <c r="H24" i="13"/>
  <c r="H26" i="13"/>
  <c r="B89" i="24"/>
  <c r="B90" i="24" s="1"/>
  <c r="B91" i="24" s="1"/>
  <c r="B92" i="24" s="1"/>
  <c r="B93" i="24" s="1"/>
  <c r="B94" i="24" s="1"/>
  <c r="B95" i="24" s="1"/>
  <c r="B96" i="24" s="1"/>
  <c r="B97" i="24" s="1"/>
  <c r="B98" i="24" s="1"/>
  <c r="B99" i="24" s="1"/>
  <c r="B100" i="24" s="1"/>
  <c r="B101" i="24" s="1"/>
  <c r="F102" i="24"/>
  <c r="F110" i="12"/>
  <c r="B101" i="12"/>
  <c r="B102" i="12" s="1"/>
  <c r="B103" i="12" s="1"/>
  <c r="B104" i="12" s="1"/>
  <c r="B105" i="12" s="1"/>
  <c r="B106" i="12" s="1"/>
  <c r="B107" i="12" s="1"/>
  <c r="B108" i="12" s="1"/>
  <c r="B109" i="12" s="1"/>
  <c r="B111" i="12"/>
  <c r="H43" i="25"/>
  <c r="J13" i="25"/>
  <c r="B79" i="18"/>
  <c r="F78" i="18"/>
  <c r="B67" i="18"/>
  <c r="B68" i="18" s="1"/>
  <c r="B69" i="18" s="1"/>
  <c r="B70" i="18" s="1"/>
  <c r="B71" i="18" s="1"/>
  <c r="B72" i="18" s="1"/>
  <c r="B73" i="18" s="1"/>
  <c r="B74" i="18" s="1"/>
  <c r="B75" i="18" s="1"/>
  <c r="B76" i="18" s="1"/>
  <c r="B77" i="18" s="1"/>
  <c r="M15" i="5"/>
  <c r="J17" i="25"/>
  <c r="O15" i="5"/>
  <c r="H26" i="25"/>
  <c r="J15" i="25"/>
  <c r="L15" i="5"/>
  <c r="B112" i="9"/>
  <c r="B113" i="9" s="1"/>
  <c r="B114" i="9" s="1"/>
  <c r="B115" i="9" s="1"/>
  <c r="B117" i="9"/>
  <c r="F116" i="9"/>
  <c r="F97" i="30"/>
  <c r="H97" i="30" s="1"/>
  <c r="H96" i="30"/>
  <c r="I28" i="19"/>
  <c r="I42" i="19" s="1"/>
  <c r="H28" i="19"/>
  <c r="J28" i="19" s="1"/>
  <c r="N15" i="5"/>
  <c r="J23" i="25"/>
  <c r="F65" i="16"/>
  <c r="B50" i="16"/>
  <c r="B51" i="16" s="1"/>
  <c r="B52" i="16" s="1"/>
  <c r="B53" i="16" s="1"/>
  <c r="B54" i="16" s="1"/>
  <c r="B55" i="16" s="1"/>
  <c r="B56" i="16" s="1"/>
  <c r="B57" i="16" s="1"/>
  <c r="B58" i="16" s="1"/>
  <c r="B59" i="16" s="1"/>
  <c r="B60" i="16" s="1"/>
  <c r="B61" i="16" s="1"/>
  <c r="B62" i="16" s="1"/>
  <c r="B63" i="16" s="1"/>
  <c r="B64" i="16" s="1"/>
  <c r="B66" i="16"/>
  <c r="M10" i="19"/>
  <c r="L10" i="19"/>
  <c r="H19" i="19"/>
  <c r="H13" i="19"/>
  <c r="H17" i="19"/>
  <c r="H21" i="19"/>
  <c r="H24" i="19"/>
  <c r="H23" i="19"/>
  <c r="H15" i="19"/>
  <c r="H20" i="19"/>
  <c r="H25" i="19"/>
  <c r="J25" i="19" s="1"/>
  <c r="H14" i="19"/>
  <c r="H18" i="19"/>
  <c r="H22" i="19"/>
  <c r="H16" i="19"/>
  <c r="H26" i="19"/>
  <c r="H27" i="19"/>
  <c r="H15" i="37" l="1"/>
  <c r="J15" i="37" s="1"/>
  <c r="H22" i="37"/>
  <c r="J22" i="37" s="1"/>
  <c r="H19" i="37"/>
  <c r="N10" i="37"/>
  <c r="H21" i="37"/>
  <c r="O10" i="37"/>
  <c r="H20" i="37"/>
  <c r="J20" i="37" s="1"/>
  <c r="H13" i="37"/>
  <c r="J13" i="37" s="1"/>
  <c r="H18" i="37"/>
  <c r="J17" i="37" s="1"/>
  <c r="J17" i="13"/>
  <c r="G23" i="5"/>
  <c r="G6" i="1"/>
  <c r="G8" i="1" s="1"/>
  <c r="P15" i="5"/>
  <c r="P18" i="5" s="1"/>
  <c r="J26" i="19"/>
  <c r="H98" i="30"/>
  <c r="H115" i="30" s="1"/>
  <c r="L18" i="5"/>
  <c r="L17" i="5"/>
  <c r="B117" i="12"/>
  <c r="B112" i="12"/>
  <c r="B113" i="12" s="1"/>
  <c r="B114" i="12" s="1"/>
  <c r="B115" i="12" s="1"/>
  <c r="F116" i="12"/>
  <c r="J21" i="19"/>
  <c r="B118" i="9"/>
  <c r="B119" i="9" s="1"/>
  <c r="B120" i="9" s="1"/>
  <c r="B121" i="9" s="1"/>
  <c r="B122" i="9" s="1"/>
  <c r="B123" i="9" s="1"/>
  <c r="B124" i="9" s="1"/>
  <c r="B125" i="9" s="1"/>
  <c r="B126" i="9" s="1"/>
  <c r="B127" i="9" s="1"/>
  <c r="F128" i="9"/>
  <c r="H42" i="19"/>
  <c r="J13" i="19"/>
  <c r="N17" i="5"/>
  <c r="N18" i="5"/>
  <c r="B80" i="18"/>
  <c r="B81" i="18" s="1"/>
  <c r="B82" i="18" s="1"/>
  <c r="B83" i="18" s="1"/>
  <c r="B84" i="18" s="1"/>
  <c r="B85" i="18" s="1"/>
  <c r="B86" i="18" s="1"/>
  <c r="B87" i="18" s="1"/>
  <c r="B88" i="18" s="1"/>
  <c r="F89" i="18"/>
  <c r="B90" i="18"/>
  <c r="J25" i="13"/>
  <c r="F102" i="22"/>
  <c r="B89" i="22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J19" i="13"/>
  <c r="F78" i="16"/>
  <c r="B79" i="16"/>
  <c r="B67" i="16"/>
  <c r="B68" i="16" s="1"/>
  <c r="B69" i="16" s="1"/>
  <c r="B70" i="16" s="1"/>
  <c r="B71" i="16" s="1"/>
  <c r="B72" i="16" s="1"/>
  <c r="B73" i="16" s="1"/>
  <c r="B74" i="16" s="1"/>
  <c r="B75" i="16" s="1"/>
  <c r="B76" i="16" s="1"/>
  <c r="B77" i="16" s="1"/>
  <c r="M17" i="5"/>
  <c r="M18" i="5"/>
  <c r="H46" i="13"/>
  <c r="J13" i="13"/>
  <c r="O17" i="5"/>
  <c r="O18" i="5"/>
  <c r="J43" i="25"/>
  <c r="C27" i="25"/>
  <c r="H23" i="37" l="1"/>
  <c r="H40" i="37"/>
  <c r="P17" i="5"/>
  <c r="P21" i="5" s="1"/>
  <c r="P23" i="5" s="1"/>
  <c r="P24" i="5" s="1"/>
  <c r="H6" i="1"/>
  <c r="H8" i="1" s="1"/>
  <c r="N21" i="5"/>
  <c r="N23" i="5" s="1"/>
  <c r="N24" i="5" s="1"/>
  <c r="M21" i="5"/>
  <c r="M23" i="5" s="1"/>
  <c r="M24" i="5" s="1"/>
  <c r="L21" i="5"/>
  <c r="L23" i="5" s="1"/>
  <c r="C29" i="13"/>
  <c r="J46" i="13"/>
  <c r="Q18" i="5"/>
  <c r="H117" i="30"/>
  <c r="H121" i="30"/>
  <c r="H122" i="30" s="1"/>
  <c r="F89" i="16"/>
  <c r="B80" i="16"/>
  <c r="B81" i="16" s="1"/>
  <c r="B82" i="16" s="1"/>
  <c r="B83" i="16" s="1"/>
  <c r="B84" i="16" s="1"/>
  <c r="B85" i="16" s="1"/>
  <c r="B86" i="16" s="1"/>
  <c r="B87" i="16" s="1"/>
  <c r="B88" i="16" s="1"/>
  <c r="B90" i="16"/>
  <c r="C24" i="37"/>
  <c r="J40" i="37"/>
  <c r="B95" i="18"/>
  <c r="B91" i="18"/>
  <c r="B92" i="18" s="1"/>
  <c r="B93" i="18" s="1"/>
  <c r="F94" i="18"/>
  <c r="B118" i="12"/>
  <c r="B119" i="12" s="1"/>
  <c r="B120" i="12" s="1"/>
  <c r="B121" i="12" s="1"/>
  <c r="B122" i="12" s="1"/>
  <c r="B123" i="12" s="1"/>
  <c r="B124" i="12" s="1"/>
  <c r="B125" i="12" s="1"/>
  <c r="B126" i="12" s="1"/>
  <c r="B127" i="12" s="1"/>
  <c r="F128" i="12"/>
  <c r="C30" i="19"/>
  <c r="J42" i="19"/>
  <c r="O21" i="5"/>
  <c r="K12" i="11" l="1"/>
  <c r="Q17" i="5"/>
  <c r="Q21" i="5" s="1"/>
  <c r="I6" i="1"/>
  <c r="N6" i="1" s="1"/>
  <c r="G24" i="5"/>
  <c r="B100" i="18"/>
  <c r="B96" i="18"/>
  <c r="B97" i="18" s="1"/>
  <c r="B98" i="18" s="1"/>
  <c r="F99" i="18"/>
  <c r="L24" i="5"/>
  <c r="O23" i="5"/>
  <c r="Q23" i="5" s="1"/>
  <c r="B95" i="16"/>
  <c r="F94" i="16"/>
  <c r="B91" i="16"/>
  <c r="B92" i="16" s="1"/>
  <c r="B93" i="16" s="1"/>
  <c r="Q24" i="5" l="1"/>
  <c r="I8" i="1"/>
  <c r="H12" i="1" s="1"/>
  <c r="B100" i="16"/>
  <c r="B96" i="16"/>
  <c r="B97" i="16" s="1"/>
  <c r="B98" i="16" s="1"/>
  <c r="F99" i="16"/>
  <c r="B104" i="18"/>
  <c r="B101" i="18"/>
  <c r="B102" i="18" s="1"/>
  <c r="F103" i="18"/>
  <c r="O24" i="5"/>
  <c r="I12" i="1" l="1"/>
  <c r="F107" i="18"/>
  <c r="B105" i="18"/>
  <c r="B106" i="18" s="1"/>
  <c r="B101" i="16"/>
  <c r="B102" i="16" s="1"/>
  <c r="B104" i="16"/>
  <c r="F103" i="16"/>
  <c r="F107" i="16" l="1"/>
  <c r="B105" i="16"/>
  <c r="B106" i="16" s="1"/>
</calcChain>
</file>

<file path=xl/sharedStrings.xml><?xml version="1.0" encoding="utf-8"?>
<sst xmlns="http://schemas.openxmlformats.org/spreadsheetml/2006/main" count="2709" uniqueCount="1057">
  <si>
    <t>PRUEBAS Y PUESTA EN SERVICIO</t>
  </si>
  <si>
    <t>AISLADORES Y ACCESORIOS</t>
  </si>
  <si>
    <t>Aislador de Porcelana Tipo Pin, Clase ANSI 56-3</t>
  </si>
  <si>
    <t>Conductor de Aleacion de Aluminio de 35 mm²</t>
  </si>
  <si>
    <t>Varilla de Armar preformada Simple para Conductor de 35 mm²</t>
  </si>
  <si>
    <t>Manguito de Empalme para Conductor de 35 mm²</t>
  </si>
  <si>
    <t>Grapa de Doble Via de Aluminio para Conductor de 35 mm²</t>
  </si>
  <si>
    <t>D</t>
  </si>
  <si>
    <t>F</t>
  </si>
  <si>
    <t>UBICACIÓN</t>
  </si>
  <si>
    <t>:</t>
  </si>
  <si>
    <t>Perno de A°G° de 16 mm Ø x 305 mm, provisto de Tuerca y  Contratuerca</t>
  </si>
  <si>
    <t>Tuerca-Ojo para Perno de 16 mm Ø</t>
  </si>
  <si>
    <t>LINEAS PRIMARIAS</t>
  </si>
  <si>
    <t>SUMINISTRO DE MATERIALES LÍNEAS PRIMARIAS</t>
  </si>
  <si>
    <t>Pararrayos de Oxido Metalico, 21 kV, 10 KA Clase 1</t>
  </si>
  <si>
    <t>ACCESORIOS PARA CONDUCTOR DE ALEACION ALUMINIO</t>
  </si>
  <si>
    <t>CONDUCTOR DE COBRE</t>
  </si>
  <si>
    <t>u</t>
  </si>
  <si>
    <t>Global</t>
  </si>
  <si>
    <t>LÍNEAS PRIMARIAS</t>
  </si>
  <si>
    <t>TABLEROS DE DISTRIBUCIÓN</t>
  </si>
  <si>
    <t>En la fórmula  los sub-indices "o" de cada símbolo corresponden al indice de precios según (CREPCO) a la</t>
  </si>
  <si>
    <t xml:space="preserve">fecha de Elaboración del Presupuesto (Presupuesto Base) y los sub-indices "r" al indice de precios al </t>
  </si>
  <si>
    <t>ELEMENTO REPRESENTATIVO</t>
  </si>
  <si>
    <t>INDICE</t>
  </si>
  <si>
    <t>SIMBOLO</t>
  </si>
  <si>
    <t>MONTO</t>
  </si>
  <si>
    <t>INCIDENCIA</t>
  </si>
  <si>
    <t>% PARCIAL</t>
  </si>
  <si>
    <t>COEFICIENTE</t>
  </si>
  <si>
    <t>CONDUCTORES DE AAAC Y ACCESORIOS</t>
  </si>
  <si>
    <t xml:space="preserve">EQUIPOS DE PROTECCIÓN </t>
  </si>
  <si>
    <t>FERRETERIA PARA POSTES Y CRUCETAS</t>
  </si>
  <si>
    <t>FE</t>
  </si>
  <si>
    <t>Caja Registro de Concreto para Puesta a Tierra 0,50 x 0,50 x 0,45 m</t>
  </si>
  <si>
    <t>Tableros de Distribución Completa para S.E. Monofásica de 5 kVA; 440-220V</t>
  </si>
  <si>
    <t>Tableros de Distribución Completa para S.E. Monofásica de 10 kVA; 440-220V</t>
  </si>
  <si>
    <t>CONDUCTOR DE COBRE Y ACCESORIOS</t>
  </si>
  <si>
    <t>PT</t>
  </si>
  <si>
    <t xml:space="preserve">TRANSPORTE </t>
  </si>
  <si>
    <t xml:space="preserve"> GASTOS GENERALES Y UTILIDADES</t>
  </si>
  <si>
    <t xml:space="preserve">K=  </t>
  </si>
  <si>
    <t>NOTAS:</t>
  </si>
  <si>
    <t>1.-</t>
  </si>
  <si>
    <t>GASTOS GENERALES</t>
  </si>
  <si>
    <t>meses</t>
  </si>
  <si>
    <t>1.0</t>
  </si>
  <si>
    <t>Personal Profesional Principal</t>
  </si>
  <si>
    <t>Descripción</t>
  </si>
  <si>
    <t>Unidad</t>
  </si>
  <si>
    <t>Particip.</t>
  </si>
  <si>
    <t>Tiempo</t>
  </si>
  <si>
    <t>Sueldo</t>
  </si>
  <si>
    <t>Parcial</t>
  </si>
  <si>
    <t>%</t>
  </si>
  <si>
    <t>(meses)</t>
  </si>
  <si>
    <t>Ingeniero Residente de la Obra</t>
  </si>
  <si>
    <t>Und.</t>
  </si>
  <si>
    <t>PARCIAL  1,1</t>
  </si>
  <si>
    <t>Personal  de Auxiliar y Apoyo</t>
  </si>
  <si>
    <t>Administrador</t>
  </si>
  <si>
    <t>Dibujante en Autocad y otros programas</t>
  </si>
  <si>
    <t>Almacenero</t>
  </si>
  <si>
    <t>Chofer</t>
  </si>
  <si>
    <t>PARCIAL  1,2</t>
  </si>
  <si>
    <t xml:space="preserve">Hospedajes, Oficina, Campamentos, alimentación y movilidad del personal principal, auxiliar y apoyo </t>
  </si>
  <si>
    <t>Gasto/ Und.</t>
  </si>
  <si>
    <t>Glb/mes</t>
  </si>
  <si>
    <t>Comunicaciones: telefono, fax, internet, radio, etc.</t>
  </si>
  <si>
    <t xml:space="preserve">Alimentación </t>
  </si>
  <si>
    <t>Pasajes</t>
  </si>
  <si>
    <t>PARCIAL  1,3</t>
  </si>
  <si>
    <t>Mobiliario, equipo, material de oficina y otros</t>
  </si>
  <si>
    <t>Desgaste</t>
  </si>
  <si>
    <t>Gasto/ Und.xmes</t>
  </si>
  <si>
    <t>Mobiliario de oficina</t>
  </si>
  <si>
    <t>Computadora</t>
  </si>
  <si>
    <t>Impresora</t>
  </si>
  <si>
    <t>Útiles de Oficina</t>
  </si>
  <si>
    <t>Combustible</t>
  </si>
  <si>
    <t>Mantenimiento</t>
  </si>
  <si>
    <t>PARCIAL  1,4</t>
  </si>
  <si>
    <t>Gastos financieros y otros gastos</t>
  </si>
  <si>
    <t>Costo Directo</t>
  </si>
  <si>
    <t>% de CD</t>
  </si>
  <si>
    <t>Costo/mes</t>
  </si>
  <si>
    <t xml:space="preserve">Tiempo </t>
  </si>
  <si>
    <t>al mes</t>
  </si>
  <si>
    <t>Seguros</t>
  </si>
  <si>
    <t>Gbl</t>
  </si>
  <si>
    <t>PARCIAL  1,5</t>
  </si>
  <si>
    <t>PARCIAL GASTOS GENERALES VARIABLES  (1)</t>
  </si>
  <si>
    <t>2.0</t>
  </si>
  <si>
    <t>GASTOS GENERALES FIJOS INDIRECTOS</t>
  </si>
  <si>
    <t>2.1</t>
  </si>
  <si>
    <t>Participacion</t>
  </si>
  <si>
    <t>Tiempo efectivo</t>
  </si>
  <si>
    <t xml:space="preserve">Total </t>
  </si>
  <si>
    <t>Gerente</t>
  </si>
  <si>
    <t>Ingeniero-Supervisión Técnica Empresa</t>
  </si>
  <si>
    <t>Contador</t>
  </si>
  <si>
    <t>Secretaria</t>
  </si>
  <si>
    <t>PARCIAL  2,1</t>
  </si>
  <si>
    <t>2.2</t>
  </si>
  <si>
    <t>Gastos de oficina principal y gastos varios</t>
  </si>
  <si>
    <t>Oficina (Incluye agua y luz)</t>
  </si>
  <si>
    <t>Comunicaciones: telef., fax, Internet, radio</t>
  </si>
  <si>
    <t>Material y Equipos de Oficina</t>
  </si>
  <si>
    <t>Mantenimiento y limpieza</t>
  </si>
  <si>
    <t>PARCIAL  2,2</t>
  </si>
  <si>
    <t>2.3</t>
  </si>
  <si>
    <t>Gastos de preparación de oferta e imprevistos</t>
  </si>
  <si>
    <t>Elaboración de propuesta</t>
  </si>
  <si>
    <t>Imprevistos de obra y personal en oficina central</t>
  </si>
  <si>
    <t>PARCIAL  2,3</t>
  </si>
  <si>
    <t>PARCIAL GASTOS GENERALES FIJOS  (2)</t>
  </si>
  <si>
    <t>TOTAL GASTOS GENERALES  (1)+(2)</t>
  </si>
  <si>
    <t>3.0</t>
  </si>
  <si>
    <t>RESUMEN</t>
  </si>
  <si>
    <t>GASTOS GENERALES VARIABLES DIRECTOS</t>
  </si>
  <si>
    <t/>
  </si>
  <si>
    <t/>
  </si>
  <si>
    <t>PROYECTO :</t>
  </si>
  <si>
    <t>Cant.</t>
  </si>
  <si>
    <t>C</t>
  </si>
  <si>
    <t>E</t>
  </si>
  <si>
    <t>VALOR REFERENCIAL</t>
  </si>
  <si>
    <t>SUMINISTRO DE MATERIALES REDES PRIMARIAS</t>
  </si>
  <si>
    <t>SECCIÓN II</t>
  </si>
  <si>
    <t>SECCIÓN III</t>
  </si>
  <si>
    <t>REDES PRIMARIAS</t>
  </si>
  <si>
    <t>SUMINISTRO DE MATERIALES</t>
  </si>
  <si>
    <t xml:space="preserve">TRANSPORTE DE MATERIALES   </t>
  </si>
  <si>
    <t>TOTAL COSTO DIRECTO</t>
  </si>
  <si>
    <t xml:space="preserve">GASTOS GENERALES </t>
  </si>
  <si>
    <t>CABLES DE ENERGÍA</t>
  </si>
  <si>
    <t>NY</t>
  </si>
  <si>
    <t>TRANSFORMADORES DE DISTRIBUCIÓN Y  TABLEROS</t>
  </si>
  <si>
    <t>EN</t>
  </si>
  <si>
    <t>SUMINISTRO DE MATERIALES REDES SECUNDARIAS</t>
  </si>
  <si>
    <t>REDES SECUNDARIAS</t>
  </si>
  <si>
    <t>CABLES Y CONDUCTORES DE ALUMINIO</t>
  </si>
  <si>
    <t>ACCESORIOS DE CABLES AUTOPORTANTES</t>
  </si>
  <si>
    <t>CABLES Y CONDUCTORES DE COBRE</t>
  </si>
  <si>
    <t>LUMINARIAS, LAMPARAS Y ACCESORIOS</t>
  </si>
  <si>
    <t>ACCESORIOS DE FERRETERIA PARA ESTRUCTURAS</t>
  </si>
  <si>
    <t>Winche de 2 - 6 Ton.</t>
  </si>
  <si>
    <t>Loc.</t>
  </si>
  <si>
    <t>Cruceta de madera tratada de 90 mm x 115 mm x 1,20 m</t>
  </si>
  <si>
    <t>Espiga de AºGº de 609 mm longitud, para Cabeza de Poste y Aislador ANSI 56-3</t>
  </si>
  <si>
    <t>Brazo-Soporte (Riostra) de Perfil Angular de A°G° de 38 x 38 x 5 mm y 710 mm longitud</t>
  </si>
  <si>
    <t>Perno Angular con Ojal Guardacabo de A°G°, 16 mm Ø x 254 mm, provisto de Tuerca y Contratuerca</t>
  </si>
  <si>
    <t>Varilla de Anclaje de A°G° de 16 mm Ø x 2,40 m, provisto de Ojal Guardacabo en un extremo; Tuerca y Contratuerca en el otro</t>
  </si>
  <si>
    <t>Electrodo de Acero Recubierto de Cobre de 16 mm Ø x 2,40 m</t>
  </si>
  <si>
    <t>Plancha Doblada de Cobre para toma a Tierra de Espigas y/o Pernos</t>
  </si>
  <si>
    <t>Seccionador Fusible Unipolar Tipo Expulsion (Cut-Out) de 27/38 kV, 100A, 150 kV-BIL.</t>
  </si>
  <si>
    <t xml:space="preserve">COSTO TOTAL  OBRA (Incluye I.G.V.) </t>
  </si>
  <si>
    <t>AISLADORES DE SUSPENSIÓN Y ACCESORIOS</t>
  </si>
  <si>
    <t>Conductor de Cobre Recocido, tipo N2XY, Bipolar, 2 x 2,5 mm2</t>
  </si>
  <si>
    <t>Conductor de Cobre Concéntrico,  2 x 4 mm2, con aislamiento y cubierta de PVC</t>
  </si>
  <si>
    <t xml:space="preserve"> UTILIDADES</t>
  </si>
  <si>
    <t xml:space="preserve">INSTALACION DE POSTES </t>
  </si>
  <si>
    <t>Personal en la sede central de la Empresa</t>
  </si>
  <si>
    <t>SUMINISTROS</t>
  </si>
  <si>
    <t>MONTAJE</t>
  </si>
  <si>
    <t>TRANSPORTE</t>
  </si>
  <si>
    <t>Arandela Cuadrada Curva de A° G°, 57 x 57 x 5 mm, Agujero de 18 mm Ø</t>
  </si>
  <si>
    <t>LINEAS PRIMARIAS, REDES PRIMARIAS Y REDES SECUNDARIAS</t>
  </si>
  <si>
    <t>Pastoral tubo A°G° 38 mm Ø interior, 500 mm avance horizontal, 720 mm altura y 20° inclinación, provisto de 2 abrazaderas dobles para poste de concreto</t>
  </si>
  <si>
    <t>Luminaria completa con equipo para Lámpara de Vapor de Sodio de 50 W</t>
  </si>
  <si>
    <t>Lámpara de Vapor de Sodio de Alta Presión de 50 W</t>
  </si>
  <si>
    <t>PUESTA A TIERRA</t>
  </si>
  <si>
    <t>CONEXIONES DOMICILIARIAS</t>
  </si>
  <si>
    <t xml:space="preserve">Templador de AºGº </t>
  </si>
  <si>
    <t>MONTAJE DE CONDUCTORES AUTOPORTANTES</t>
  </si>
  <si>
    <t>PASTORALES, LUMINARIAS Y LAMPARAS</t>
  </si>
  <si>
    <t>PRUEBAS Y PUESTA EN SERVICIO:</t>
  </si>
  <si>
    <t>FÓRMULA POLINÓMICA</t>
  </si>
  <si>
    <t>REDES SECUNDARIAS, INCLUYE CONEXIONES DOMICILIARIAS</t>
  </si>
  <si>
    <t>INDICE
UNIFICADO</t>
  </si>
  <si>
    <t>DI1</t>
  </si>
  <si>
    <t>DI2</t>
  </si>
  <si>
    <t>ACCESORIOS PARA CABLES AUTOPORTANTES</t>
  </si>
  <si>
    <t>FE1</t>
  </si>
  <si>
    <t>FE2</t>
  </si>
  <si>
    <t>GASTOS GENERALES Y UTILIDADES</t>
  </si>
  <si>
    <t>m</t>
  </si>
  <si>
    <t>ITEM</t>
  </si>
  <si>
    <t>A</t>
  </si>
  <si>
    <t>B</t>
  </si>
  <si>
    <t>km</t>
  </si>
  <si>
    <t>Alambre de Amarre Aluminio Recocido de 16 mm²</t>
  </si>
  <si>
    <t>Grapa de Anclaje para Conductor de 35 mm²</t>
  </si>
  <si>
    <t>FORMULA POLINÓMICA</t>
  </si>
  <si>
    <t>Nº</t>
  </si>
  <si>
    <t>momento de reajuste o fecha de valorización</t>
  </si>
  <si>
    <t>2.-</t>
  </si>
  <si>
    <t>En el caso de los monomios compuestos por varios indices se ha considerado para efecto de denominación</t>
  </si>
  <si>
    <t>el símbolo que tiene mayor porcentaje de incidencia</t>
  </si>
  <si>
    <t>3.-</t>
  </si>
  <si>
    <t>En caso de cambios en el suministro se deberá actualizar la formula polinómica.</t>
  </si>
  <si>
    <t>TOTAL SUMINISTRO DE MATERIALES</t>
  </si>
  <si>
    <t>MONTAJE ELECTROMECANICO</t>
  </si>
  <si>
    <t>OBRAS PRELIMINARES</t>
  </si>
  <si>
    <t>INSTALACION DE RETENIDAS</t>
  </si>
  <si>
    <t>MONTAJE DE ARMADOS</t>
  </si>
  <si>
    <t>DESCRIPCION</t>
  </si>
  <si>
    <t>Cantidad</t>
  </si>
  <si>
    <t>AE1</t>
  </si>
  <si>
    <t>AE2</t>
  </si>
  <si>
    <t>PROYECTO</t>
  </si>
  <si>
    <t>SUMINISTROS DE MATERIALES</t>
  </si>
  <si>
    <t>TRANSPORTE DE MATERIALES</t>
  </si>
  <si>
    <t>COSTO DIRECTO ( C.D. )</t>
  </si>
  <si>
    <t xml:space="preserve"> UTILIDADES </t>
  </si>
  <si>
    <t>CRONOGRAMA DE DESEMBOLSOS MENSUALES DE OBRA</t>
  </si>
  <si>
    <t>MES 1</t>
  </si>
  <si>
    <t>MES 2</t>
  </si>
  <si>
    <t>MES 3</t>
  </si>
  <si>
    <t>MES 4</t>
  </si>
  <si>
    <t xml:space="preserve">REQUERIMIENTO DE EQUIPOS </t>
  </si>
  <si>
    <t>DENOMINACION</t>
  </si>
  <si>
    <t>Compresor Neumático, perforador y barrenos</t>
  </si>
  <si>
    <t>CALCULO DE LOS GASTOS GENERALES DIRECTOS E INDIRECTOS</t>
  </si>
  <si>
    <t>Sección :</t>
  </si>
  <si>
    <t>GASTOS GENERALES VARIABLES-GG DIRECTOS</t>
  </si>
  <si>
    <t>Alquiler de casa almacén (incluye agua y luz)</t>
  </si>
  <si>
    <t xml:space="preserve">Motosierra </t>
  </si>
  <si>
    <t>Medidor de aislamiento eléctrico</t>
  </si>
  <si>
    <t>Medidor de resistencia de puesta a tierra</t>
  </si>
  <si>
    <t xml:space="preserve">Caja de herramientas </t>
  </si>
  <si>
    <t>Cable Guía</t>
  </si>
  <si>
    <t>Caballete Alzabobina</t>
  </si>
  <si>
    <t xml:space="preserve">Escalera </t>
  </si>
  <si>
    <t>Poleas</t>
  </si>
  <si>
    <t>Teodolito</t>
  </si>
  <si>
    <t>Termometro de línea</t>
  </si>
  <si>
    <t xml:space="preserve">NOTA : </t>
  </si>
  <si>
    <t>Esta lista solo considera los equipos principales; los detalles se indican en los Gastos Generales y Análisis de Precios Unitarios.</t>
  </si>
  <si>
    <t>MANO DE OBRA</t>
  </si>
  <si>
    <t>Especialista en Estudios de Impacto Ambiental</t>
  </si>
  <si>
    <t>Topógrafo Operador de Estación Total</t>
  </si>
  <si>
    <t>Capataz</t>
  </si>
  <si>
    <t>Operario</t>
  </si>
  <si>
    <t>Oficial</t>
  </si>
  <si>
    <t>Peón</t>
  </si>
  <si>
    <t>Esta lista solo considera al personal principal; los detalles se indican en los Gastos Generales y Análisis de Precios Unitarios.</t>
  </si>
  <si>
    <t xml:space="preserve"> MATERIALES COMPLEMENTARIOS</t>
  </si>
  <si>
    <t>Acero Corrugado</t>
  </si>
  <si>
    <t>Agua</t>
  </si>
  <si>
    <t>Cemento Portland tipo I en bolsa de 42,5 kg.</t>
  </si>
  <si>
    <t xml:space="preserve">Clavos c/c de 3" </t>
  </si>
  <si>
    <t>Hormigón</t>
  </si>
  <si>
    <t>Madera tornillo cepillado</t>
  </si>
  <si>
    <t xml:space="preserve">Pintura esmalte sintético </t>
  </si>
  <si>
    <t>Soga de manila</t>
  </si>
  <si>
    <t>Soga de nylon</t>
  </si>
  <si>
    <t>Útiles y materiales de gabinete</t>
  </si>
  <si>
    <t>Material varios  de campo (Estaca, pintura, yeso, wincha, cordel,etc)</t>
  </si>
  <si>
    <t>Los materiales y equipos principales se consignan en el Metrado y Valor Referencial.</t>
  </si>
  <si>
    <t>REQUERIMIENTO DE MAQUINARIA</t>
  </si>
  <si>
    <t xml:space="preserve">Pluma de Izaje  </t>
  </si>
  <si>
    <t>Esta lista solo considera las maquinarias principales; los detalles se indican en los Gastos Generales y Análisis de Precios Unitarios.</t>
  </si>
  <si>
    <t>Arandela Cuadrada Plana de A° G°, 57 x 57 x 5 mm, Agujero de 18 mm Ø</t>
  </si>
  <si>
    <t>Bloque de Concreto de 0,40 x 0,40 x 0,15 m</t>
  </si>
  <si>
    <t>CU</t>
  </si>
  <si>
    <t>DI</t>
  </si>
  <si>
    <t>J</t>
  </si>
  <si>
    <t>FT</t>
  </si>
  <si>
    <t>GG</t>
  </si>
  <si>
    <t>FP</t>
  </si>
  <si>
    <t>Glob</t>
  </si>
  <si>
    <t>CABLES DE ENERGÍA DE BAJA TENSIÓN</t>
  </si>
  <si>
    <t>SIMBOLO
MONOMIO</t>
  </si>
  <si>
    <t>CONDUCTOR DE ALEACIÓN DE ALUMINIO</t>
  </si>
  <si>
    <t>MATERIAL DE FERRETERIA PARA POSTES Y CRUCETAS</t>
  </si>
  <si>
    <t>RETENIDAS Y ANCLAJES</t>
  </si>
  <si>
    <t>MATERIAL PARA PUESTA A TIERRA</t>
  </si>
  <si>
    <t>EQUIPO DE PROTECCION Y MANIOBRA</t>
  </si>
  <si>
    <t>A: SUMINISTRO DE MATERIALES</t>
  </si>
  <si>
    <t>TOTAL</t>
  </si>
  <si>
    <t>MONTAJE DE CONDUCTORES</t>
  </si>
  <si>
    <t>INSTALACION DE PUESTA A TIERRA</t>
  </si>
  <si>
    <t>SECCIÓN I</t>
  </si>
  <si>
    <t>IMPUESTO GENERAL A LAS VENTAS IGV (18%)</t>
  </si>
  <si>
    <t>C: TRANSPORTE DE MATERIALES</t>
  </si>
  <si>
    <t>G</t>
  </si>
  <si>
    <t xml:space="preserve">UTILIDADES   </t>
  </si>
  <si>
    <t>DEPARTAMENTO</t>
  </si>
  <si>
    <t>Armella Tirafondo de 10 mm Ø x 64 mm de longitud</t>
  </si>
  <si>
    <t>Departamento :</t>
  </si>
  <si>
    <t>Perno de A°G° de 16 mm Ø x 356 mm, provisto de Tuerca y  Contratuerca</t>
  </si>
  <si>
    <t>Perno Ojo de A°G° de 16 mm Ø  x 305 mm, provisto de Tuerca  y Contratuerca</t>
  </si>
  <si>
    <t>Plantillas para Identificación y/o codificación de Postes (Peligro, Identificación y/o codificación y Fases)</t>
  </si>
  <si>
    <t>Jgo.</t>
  </si>
  <si>
    <t>POSTES  DE CONCRETO ARMADO CENTRIFUGADO</t>
  </si>
  <si>
    <t>Poste de C.A.C. de 8 m/200 daN (Incluye perilla)</t>
  </si>
  <si>
    <t>Soporte de Contrapunta de 51 mm ø x 1000 mm de longitud, con Abrazadera partida en un extremo y Grapa de Ajuste para Cable en el otro</t>
  </si>
  <si>
    <t>Fleje de acero inoxidable de 19 mm provisto de hebilla</t>
  </si>
  <si>
    <t>Plantilla para Señalización de Poste (Puesta a Tierra)</t>
  </si>
  <si>
    <t>Ha</t>
  </si>
  <si>
    <t>Poste de C.A.C. de 8 m/300 daN (Incluye perilla)</t>
  </si>
  <si>
    <t>Cinta aislante</t>
  </si>
  <si>
    <t>Tubo de AºGº standard / redondo de 19 mm Ø x 1,5 mm x 2,5 m, provisto de codo</t>
  </si>
  <si>
    <t>Perno de A°G° de 16 mm Ø x 508 mm, provisto de Tuerca y  Contratuerca</t>
  </si>
  <si>
    <t>Soporte de Contrapunta de 51 mm ø x 1200 mm de longitud, con Abrazadera partida en un extremo y Grapa de Ajuste para Cable en el otro</t>
  </si>
  <si>
    <t xml:space="preserve">Grapa de Angulo para Conductor de 35 mm²  </t>
  </si>
  <si>
    <t>Perno de A°G° de 16 mm Ø x 254 mm, provisto de Tuerca y  Contratuerca</t>
  </si>
  <si>
    <t>Grapa en "U" para fijar conductor de PAT a Poste de Madera</t>
  </si>
  <si>
    <t>Tubo de AºGº standard / redondo de 19 mm Ø x 1,5 mm x 6,0 m, provisto de codo</t>
  </si>
  <si>
    <t>Poste de C.A.C. de 12 m/200 daN (Incluye perilla)</t>
  </si>
  <si>
    <t>Perno Doble Armado de A°G° de 16 mm Ø  x 508 mm, provisto de  4 Tuercas y 4 Contratuercas</t>
  </si>
  <si>
    <t>Perno Ojo de A°G° de 16 mm Ø  x 254 mm, provisto de Tuerca  y Contratuerca</t>
  </si>
  <si>
    <t>Perno de A°G° de 13 mm Ø x 254 mm, provisto de Tuerca y  Contratuerca</t>
  </si>
  <si>
    <t>Perno de A°G° de 13 mm Ø x 305 mm, provisto de Tuerca y  Contratuerca</t>
  </si>
  <si>
    <t>Perno Angular con Ojal Guardacabo de A°G°, 16 mm Ø x 305 mm, provisto de Tuerca y Contratuerca</t>
  </si>
  <si>
    <t>Grillete de Acero de 70 kN</t>
  </si>
  <si>
    <t>Técnico mecánico</t>
  </si>
  <si>
    <t>Seguridad en obra (Guardian)</t>
  </si>
  <si>
    <t>Hospedajes</t>
  </si>
  <si>
    <t>Alquiler de Oficina en Obra (Incluye agua y luz)</t>
  </si>
  <si>
    <t>Enlace metálico, de 254 mm x 75 mm x 38 mm, de 70 kN de resistencia</t>
  </si>
  <si>
    <t>CRUCETAS  DE MADERA DE PROCEDENCIA NACIONAL</t>
  </si>
  <si>
    <t>Listón de madera tratada 50 x 19 mm sección, 2,7 m longitud (incluye clavos de fijación)</t>
  </si>
  <si>
    <t>Poste de C.A.C. de 13 m/300 daN (Incluye perilla)</t>
  </si>
  <si>
    <t>Poste de C.A.C. de 13 m/400 daN (Incluye perilla)</t>
  </si>
  <si>
    <t>POSTES DE MADERA IMPORTADA</t>
  </si>
  <si>
    <t>Grillete Recto</t>
  </si>
  <si>
    <t xml:space="preserve">Aislador Polimerico con Conexión Horquilla (Estructura) y Lengüeta (Linea) de 36 kV, según Especificacion Técnica. </t>
  </si>
  <si>
    <t>Conductor de Aleacion de Aluminio de 70 mm²</t>
  </si>
  <si>
    <t>Varilla de Armar preformada Simple para Conductor de 70 mm²</t>
  </si>
  <si>
    <t>Grapa de Doble Via de Aluminio para Conductor de 70 mm²</t>
  </si>
  <si>
    <t>Amortiguador de Vibracion Tipo Stockbridge para Conductor de 35 mm²</t>
  </si>
  <si>
    <t>Amortiguador de Vibracion Tipo Stockbridge para Conductor de 70 mm²</t>
  </si>
  <si>
    <t>Grapa de Anclaje para Conductor de 70 mm²</t>
  </si>
  <si>
    <t>Cable de Acero con Recubrimiento Metalúrgico de Cu de 4 AWG (21,15 mm²), para Puesta a Tierra</t>
  </si>
  <si>
    <t>Perno Ojo de A°G° de 16 mm Ø  x 356 mm, provisto de Tuerca  y Contratuerca</t>
  </si>
  <si>
    <t>Tirafondo de A°G° de 13 mm ø  x 102 mm de longitud</t>
  </si>
  <si>
    <t>Placa de Señal de Peligro y accesorios de fijación</t>
  </si>
  <si>
    <t>Placa de Identificación y/o codificación de Estructura y accesorios de fijación</t>
  </si>
  <si>
    <t>Placa de Secuencia de Fases y accesorios de fijación</t>
  </si>
  <si>
    <t>Mordaza Preformada de A°G° para Cable de 10 mm Ø</t>
  </si>
  <si>
    <t>Arandela de Anclaje de A°G°, 102 x 102 x 6,35 mm, Agujero de 18 mmø</t>
  </si>
  <si>
    <t>Abrazadera de 4 sectores para Retenida, de 75 mm de altura, 6,35 mm de espesor y 70 kN de resistencia. Diámetro según dimensiones del poste,  incluye 4 pernos de 12,7 mm Ø x 63,5 mm y 4 arandelas</t>
  </si>
  <si>
    <t>Aislador Polimerico con Conexión Horquilla (Estructura) y Lengüeta (Linea) de 36 kV, según Especificacion Técnica, para Retenida Aislada.</t>
  </si>
  <si>
    <t>Conector de Bronce para Electrodo de 16 mm ø y Cable de Acero con Recubrimiento Metalúrgico de Cobre de 4 AWG (21,15 mm2)</t>
  </si>
  <si>
    <t>Conector de Cobre tipo Perno Partido para Cable de Acero con Recubrimiento Metalúrgico de Cobre de 4 AWG (21,15 mm2)</t>
  </si>
  <si>
    <t>Conector Doble Via Bimetálico para Cable de Acero de 10 mm ø y para Cable de Acero con Recubrimiento Metalúrgico de Cobre de 4 AWG (21,15 mm2)</t>
  </si>
  <si>
    <t>Placa de Señalización de Poste (Puesta a Tierra)</t>
  </si>
  <si>
    <t>Fusible Tipo Expulsion de 2 A, Tipo K</t>
  </si>
  <si>
    <t>Fusible Tipo Expulsion de 3 A, Tipo K</t>
  </si>
  <si>
    <t>Transformador Monofásico Fase - Neutro de 5 kVA; 13,2 / 0,46-0,23 kV</t>
  </si>
  <si>
    <t>Cable NYY, 1 kV, 1 x 16 mm²</t>
  </si>
  <si>
    <t>Cable NYY, 1 kV, 1 x 25 mm²</t>
  </si>
  <si>
    <t>Grapa de Suspensión Angular para Conductor de Aleacion de Aluminio de 25 mm2</t>
  </si>
  <si>
    <t>Grapa de Anclaje Cónica para Conductor de Aleación de Aluminio de 25 mm2</t>
  </si>
  <si>
    <t>Conector Bimetálico para Al 25 mm2 / Cu 4-10 mm2, para Neutro Desnudo, tipo Cuña</t>
  </si>
  <si>
    <t>Conector para Al 25 mm², para Neutro Desnudo, tipo Cuña</t>
  </si>
  <si>
    <t>Correa Plástica de Amarre, color negro</t>
  </si>
  <si>
    <t>Cinta Autofundente para extremo de cable</t>
  </si>
  <si>
    <t>Conductor de Cobre Recocido, tipo N2XY, Tripolar, 3 x 10 mm2, cubierta negra</t>
  </si>
  <si>
    <t>Portafusible Unipolar 220 V, de 5 A, provisto con fusible de 1 A</t>
  </si>
  <si>
    <t>Perno con Gancho de 16 mm Ø, provisto de Arandela, Tuerca y Contratuerca, longitud de 305 mm</t>
  </si>
  <si>
    <t>Conector bimetálico para Al 25 mm2 y Cobre de 25 mm2, tipo cuña</t>
  </si>
  <si>
    <t>Tarugo de Cedro de 13 mm x 50 mm</t>
  </si>
  <si>
    <t>Caja Metálica Portamedidor, equipado con Interruptor Termomagnético de 10A</t>
  </si>
  <si>
    <t>Medidor Monofásico de Energía Activa, tipo Electrónico con Micro Procesador de 220 V; 2 hilos, 10-40 A, 60 Hz, Clase 1</t>
  </si>
  <si>
    <t>PM</t>
  </si>
  <si>
    <t>Manguito de Reparacion para Conductor de 35 mm²</t>
  </si>
  <si>
    <t>Perno Cabeza Coche de AºGº de 13 mm Ø x 152 mm longitud, 76 mm maquinado, con Arandela, Tuerca y Contratuerca</t>
  </si>
  <si>
    <t>Cable de Acero Grado Siemens Martin, de 10 mm Ø, 7 hilos</t>
  </si>
  <si>
    <t>Alambre de Acero N° 12 para Entorchado</t>
  </si>
  <si>
    <t>TRANSPORTE DE MATERIALES LÍNEAS PRIMARIAS</t>
  </si>
  <si>
    <t>TOTAL TRANSPORTE DE MATERIALES</t>
  </si>
  <si>
    <t xml:space="preserve">Operación Experimental </t>
  </si>
  <si>
    <t>Unid.</t>
  </si>
  <si>
    <t>PARCIAL  2,4</t>
  </si>
  <si>
    <t>Registro de datos solicitados por la Empresa Concesionaria en Sistema GIS y Registro de Expediente por cada beneficiario, incluye prescinto de medidor y caja.</t>
  </si>
  <si>
    <t>MES 5</t>
  </si>
  <si>
    <t>MES 6</t>
  </si>
  <si>
    <t>AISLADORES DE SUSPENSION Y ACCESORIOS</t>
  </si>
  <si>
    <t>ACCESORIOS PARA CONDUCTOR DE ALEACION DE ALUMINIO</t>
  </si>
  <si>
    <t>INSTALACION DE POSTES</t>
  </si>
  <si>
    <t>TOTAL MONTAJE ELECTROMECÁNICO</t>
  </si>
  <si>
    <t>Nota = (*) El Contratista coordinará con la empresa concesionaria para definir los detalles para la identificación y señalización finalde los postes.</t>
  </si>
  <si>
    <t>Nota = (*) El Contratista coordinará con la empresa concesionaria para definir los detalles para la identificación y señalización final de los postes.</t>
  </si>
  <si>
    <t>SIMBOLO MONOMIO</t>
  </si>
  <si>
    <t>T</t>
  </si>
  <si>
    <t>MES 7</t>
  </si>
  <si>
    <t>Freno hidráulico 3 Tn.</t>
  </si>
  <si>
    <t>Winche de 3 Tn.</t>
  </si>
  <si>
    <t>Arqueólogo</t>
  </si>
  <si>
    <t>Topógrafo Operador de Teodolito</t>
  </si>
  <si>
    <t>Dibujante en Autocad</t>
  </si>
  <si>
    <t>Arena fina</t>
  </si>
  <si>
    <t>Encofrado</t>
  </si>
  <si>
    <t>Piedra Chancada de 1/2"</t>
  </si>
  <si>
    <t xml:space="preserve">Piedra Mediana de Cantera </t>
  </si>
  <si>
    <t>Tierra Cernida para Puesta a Tierra</t>
  </si>
  <si>
    <t>Triplay Lupuna 4' x 8' x 9 mm</t>
  </si>
  <si>
    <t>Contraste de Medidor Monofásico de Energía Activa</t>
  </si>
  <si>
    <t>Equipo de Comunicación</t>
  </si>
  <si>
    <t>Equipo de Estación Total y accesorios (incluye GPS)</t>
  </si>
  <si>
    <t xml:space="preserve">Tirfor 3 Tn. </t>
  </si>
  <si>
    <t>Camión plataforma 4 x 2, 122 HP, 8 Tn. (Incluye Grúa)</t>
  </si>
  <si>
    <t xml:space="preserve">Camioneta Pick-Up 4x4 de 135 HP </t>
  </si>
  <si>
    <t>Carreta de Transporte</t>
  </si>
  <si>
    <t>TRANSPORTE DE MATERIALES DE ALMACEN EN OBRA A PUNTO DE INSTALACIÒN</t>
  </si>
  <si>
    <t xml:space="preserve">Digitador incluye equipo de cómputo (conocimiento de software Maximus, GIS u otros) </t>
  </si>
  <si>
    <t>VARIOS</t>
  </si>
  <si>
    <t>PARCIAL  2,5</t>
  </si>
  <si>
    <t>Conector Bimetalico Aislado, para Al 16-35 mm2 / Cu 4-10 mm2, para Fase Aislada, tipo Perforación</t>
  </si>
  <si>
    <t>Conector Aislado para Al 16-35 mm2, para Fase Aislada, tipo Perforación</t>
  </si>
  <si>
    <t>Auxiliar en Contabilidad</t>
  </si>
  <si>
    <t>Ing Asistente en Estudios Ambientales</t>
  </si>
  <si>
    <t>Asistente de Arqueología</t>
  </si>
  <si>
    <t>Arandela Cuadrada curva de A° G°, 57 x 57 x 5 mm, Agujero de 18 mm Ø</t>
  </si>
  <si>
    <t>“ELABORACIÓN DEL PERFIL DEL PROYECTO “AMPLIACION DEL SERVICIO DE ELECTRIFICACIÓN RURAL EN LAS PROVINCIAS DE LEONCIO PRADO Y MARAÑON DEL DEPARTAMENTO DE HUANUCO Y LA PROVINCIA DE TOCACHE DEL DEPARTAMENTO DE SAN MARTIN”</t>
  </si>
  <si>
    <t>Transporte de Cruceta de madera tratada de 90 mm x 115 mm x 1,20 m, de Almacen a Punto de Instalaciòn en Terreno con Acceso Carrozable</t>
  </si>
  <si>
    <t>Transporte de Aislador de Porcelana Tipo Pin, Clase ANSI 56-3 de Almacén a Punto de Instalaciòn en Terreno con Acceso Carrozable</t>
  </si>
  <si>
    <t>Transporte de Conductor de Aleacion de Aluminio de 35 mm²  de Almacen a Punto de Intalaciòn en Terreno con Acceso Carrozable</t>
  </si>
  <si>
    <t>Transporte de Conductor de Aleacion de Aluminio de 70 mm²  de Almacen a Punto de Instalaciòn en Terreno con Acceso Carrozable</t>
  </si>
  <si>
    <t>Transporte de Bloque de Concreto de 0,40 x 0,40 x 0,15 m, de Almacen a Punto de Instalaciòn en Terreno con Acceso Carrozable</t>
  </si>
  <si>
    <t>Transporte de Caja Registro de Concreto para Puesta a Tierra 0,50 x 0,50 x 0,45 m, de Almacen a Punto de Montaje en Terreno con Acceso Carrozable</t>
  </si>
  <si>
    <t>Transporte de Accesorios de Ferreteria (Para Postes , conductores, Retenidas y PAT) de Almacen a Punto de Instalaciòn con Acceso Carrozable</t>
  </si>
  <si>
    <t>Excavación en Terreno Tipo I (Arcilloso y Conglomerado)</t>
  </si>
  <si>
    <t>Excavación en Terreno Tipo II (Rocoso)</t>
  </si>
  <si>
    <t>Izaje, Identificación y/o codificación, y Señalización de Poste de 13 m/300 daN (*)</t>
  </si>
  <si>
    <t>Izaje, Identificación y/o codificación, y Señalización de Poste de 12 m/200 daN (*)</t>
  </si>
  <si>
    <t>Cimentación con Concreto Ciclópeo de Poste de 13m en Terreno Tipo II (Rocoso)</t>
  </si>
  <si>
    <t xml:space="preserve">Relleno y Compactación en Terreno Tipo I de Retenida </t>
  </si>
  <si>
    <t xml:space="preserve">Relleno y Compactación en Terreno Tipo II de Retenida </t>
  </si>
  <si>
    <t>Tendido y Puesta en Flecha de Conductor de Aleación de aluminio de 35 mm², Por Fase, Incluye Instalación de Amortiguadores.</t>
  </si>
  <si>
    <t>Tendido y Puesta en Flecha de Conductor de Aleación de aluminio de 70 mm², Por Fase, Incluye Instalación de Amortiguadores.</t>
  </si>
  <si>
    <t>Relleno y compactación de puesta a tierra con material adecuado</t>
  </si>
  <si>
    <t>Expediente Técnico Final Conforme a Obra y de Concesión Rural de Líneas Primarias (1 Original + 3 Copias), incluye la presentacion digitalizada de textos y planos en CD.</t>
  </si>
  <si>
    <t>Izaje, Identificación y/o codificación, y Señalización de Poste de 13 m/400 daN (*)</t>
  </si>
  <si>
    <t>Cimentación con Concreto Ciclópeo de Poste de 13m en Terreno Tipo I (Arcilloso y Conglomerado)</t>
  </si>
  <si>
    <t>Relleno y Compactación de Puesta a Tierra con material adecuado</t>
  </si>
  <si>
    <t>Pruebas y Puesta en Servicio de Redes Primarias</t>
  </si>
  <si>
    <t>Expediente Técnico Final Conforme a Obra y de Concesión Rural de Redes Primarias (1 Original + 3 Copias), incluye la presentacion digitalizada de textos y planos en CD.</t>
  </si>
  <si>
    <t>Conductor Autoportante de Aluminio 2X25/25 mm²</t>
  </si>
  <si>
    <t>Conductor Autoportante de Aluminio 1X16+16/25 mm²</t>
  </si>
  <si>
    <t>Conductor Autoportante de Aluminio 1X16/25 mm²</t>
  </si>
  <si>
    <t>Cable de acero grado Siemens Martin, de 10 mm ø, 7 hilos</t>
  </si>
  <si>
    <t>Bloque de concreto de 0,40 x 0,40 x 0,15 m</t>
  </si>
  <si>
    <t>Caja de derivacion para acometidas, sistema 440-22O V (10 borneras en cada barra de cobre)</t>
  </si>
  <si>
    <t>Portalinea unipolar de AºGº, provisto de PIN de 10 mm Ø</t>
  </si>
  <si>
    <t>Conector de bronce para electrodo de 16 mm ø y Cable de Acero con Recubrimiento Metalúrgico de Cobre de 4 AWG (21,15 mm2)</t>
  </si>
  <si>
    <t xml:space="preserve">Transporte de Poste de 8 m/300 daN de Almacen a Punto de Izaje, en Terreno con Acceso Carrozable </t>
  </si>
  <si>
    <t xml:space="preserve">Transporte de Poste de 8 m/200 daN de Almacen a Punto de Izaje, en Terreno con Acceso Carrozable </t>
  </si>
  <si>
    <t>Excavación en terreno Tipo I (arcilloso y conglomerado)</t>
  </si>
  <si>
    <t>Excavación en terreno Tipo II (Rocoso)</t>
  </si>
  <si>
    <t>Izaje, Identificación y/o codificación, y Señalización de Poste de 8 m/300 daN (*)</t>
  </si>
  <si>
    <t>Izaje, Identificación y/o codificación, y Señalización de Poste de 8 m/200 daN (*)</t>
  </si>
  <si>
    <t>Excavación en terreno Tipo II (rocoso)</t>
  </si>
  <si>
    <t>Instalación de retenida inclinada</t>
  </si>
  <si>
    <t>Instalación de retenida vertical</t>
  </si>
  <si>
    <t>Comprende Tendido y puesta en Flecha de :</t>
  </si>
  <si>
    <t>Tendido y Puesta en Flecha de Conductor Autoportante de Aluminio de 2x25/25 mm²</t>
  </si>
  <si>
    <t>Tendido y Puesta en Flecha de Conductor Autoportante de Aluminio de 1x16+16/25 mm²</t>
  </si>
  <si>
    <t>Tendido y Puesta en Flecha de Conductor Autoportante de Aluminio de 1x16/25 mm²</t>
  </si>
  <si>
    <t>Instalación de Luminaria, Lámpara y Accesorios</t>
  </si>
  <si>
    <t>Conexión de Acometidas Domiciliarias, Configuración: Corta en Murete (no incluye medidor de energía activa)</t>
  </si>
  <si>
    <t>Conexión de Acometidas Domiciliarias, Configuración: Larga en Murete (no incluye medidor de energía activa)</t>
  </si>
  <si>
    <t>Conexión de Acometidas Domiciliarias, Configuración: Corta (no incluye medidor de energía activa)</t>
  </si>
  <si>
    <t>Conexión de Acometidas Domiciliarias, Configuración: Larga (no incluye medidor de energía activa)</t>
  </si>
  <si>
    <t>Instalación de Medidor Monofásico de Energia Activa y Caja Portamedidor (incluye conexión a cable de acometida)</t>
  </si>
  <si>
    <t>Contraste de medidor monofásico de energía activa - electrónico</t>
  </si>
  <si>
    <t>Murete de Concreto de 1,65m de altura libre y 0,30m de profundidad. F'c=100 kg/cm², incluye transporte</t>
  </si>
  <si>
    <t>Transporte de Aislador Polimerico con Conexión Horquilla (Estructura) y Lengüeta (Linea), de 36 Kv y según Especificacion Técnica. de Almacen a Punto de Intalaciòn en Terreno con Acceso Carrozable</t>
  </si>
  <si>
    <t>Transporte de Seccionador Fusible Unipolar Tipo Expulsion (Cut-Out) de 27/38 kV, 100A, 150 kV-BIL. de Almacen a Punto de Instalaciòn en Terreno con Acceso Carrozable</t>
  </si>
  <si>
    <t>Instalacion de Puesta a Tierra Tipo PAT-1C (Contrapeso). Instalación en Poste de Concreto Armado</t>
  </si>
  <si>
    <t>Instalación de Puesta a Tierra Tipo PAT-1 con un Electrodo Vertical. Instalación en Poste de Concreto Armado Centrifugado (Incluye instalación de una Caja de Registro).</t>
  </si>
  <si>
    <t>Instalación de Puesta a Tierra Tipo PAT-1 con un Electrodo Vertical. Instalación en Poste de Concreto Armado Centrifugado.</t>
  </si>
  <si>
    <t>Relleno y Compactación de Puesta a Tierra con Material Adecuado</t>
  </si>
  <si>
    <t>Instalación de Acometida Domiciliaria, que comprende: Conexión de Acometida Domiciliaria, Montaje de Medidor y Contraste de Medidor.</t>
  </si>
  <si>
    <t>Prueba y Puesta en Servicio de Redes Secundarias</t>
  </si>
  <si>
    <t>Expediente Técnico Final Conforme a Obra y de Concesión Rural de Redes Secundarias (1 Original + 3 Copias), incluye la presentacion digitalizada de textos y planos en CD.</t>
  </si>
  <si>
    <t>PC</t>
  </si>
  <si>
    <t>CC</t>
  </si>
  <si>
    <t>GU</t>
  </si>
  <si>
    <t>043</t>
  </si>
  <si>
    <t>002</t>
  </si>
  <si>
    <t>006</t>
  </si>
  <si>
    <t>011</t>
  </si>
  <si>
    <t>019</t>
  </si>
  <si>
    <t>030</t>
  </si>
  <si>
    <t>048</t>
  </si>
  <si>
    <t>047</t>
  </si>
  <si>
    <t>032</t>
  </si>
  <si>
    <t>039</t>
  </si>
  <si>
    <t>Programa de Manejo de Residuos</t>
  </si>
  <si>
    <t>Ingeniero de Seguridad y Salud Ocupacional</t>
  </si>
  <si>
    <t>Resumen General del Valor Referencial (Obra y Estudio)</t>
  </si>
  <si>
    <t>Proyecto</t>
  </si>
  <si>
    <t>Departamento</t>
  </si>
  <si>
    <t>Fecha:</t>
  </si>
  <si>
    <t>Ítem</t>
  </si>
  <si>
    <t>I.G.V.</t>
  </si>
  <si>
    <t>COSTO DE OBRA</t>
  </si>
  <si>
    <t>COSTO DE EXPEDIENTE TÉCNICO</t>
  </si>
  <si>
    <t xml:space="preserve">Inversiones </t>
  </si>
  <si>
    <t>Componentes</t>
  </si>
  <si>
    <t>US$ sin IGV)</t>
  </si>
  <si>
    <t>US$ / km Línea Primaria</t>
  </si>
  <si>
    <t>US$ / km</t>
  </si>
  <si>
    <t>US$ / Conexión Línea Primaria</t>
  </si>
  <si>
    <t>US$ / Conexión</t>
  </si>
  <si>
    <t>US$ / Conexión Red Primaria (1/)</t>
  </si>
  <si>
    <t>US$ / Conexión Red Secundaria y Conexiones Domiciliarias</t>
  </si>
  <si>
    <t>US$ Conexión Total (incluye IGV)</t>
  </si>
  <si>
    <t>RP</t>
  </si>
  <si>
    <t>COSTO DIRECTO</t>
  </si>
  <si>
    <t>A.</t>
  </si>
  <si>
    <t>COSTO DE PERSONAL</t>
  </si>
  <si>
    <t>Total/mes</t>
  </si>
  <si>
    <t>(Meses)</t>
  </si>
  <si>
    <t>Jefe de Estudios</t>
  </si>
  <si>
    <t>B.1</t>
  </si>
  <si>
    <t xml:space="preserve">Equipo  Medición de resistividad de terreno </t>
  </si>
  <si>
    <t>Glb.</t>
  </si>
  <si>
    <t>Papel para planos</t>
  </si>
  <si>
    <t>Glb</t>
  </si>
  <si>
    <t>PERIODO DE OBRA</t>
  </si>
  <si>
    <t>PERIODO DE ESTUDIO DEFINITIVO</t>
  </si>
  <si>
    <t>Plazo de Obra + Expediente Técnico:</t>
  </si>
  <si>
    <t>Estudio Definitivo :</t>
  </si>
  <si>
    <t>Obra :</t>
  </si>
  <si>
    <t>Ingeniero Especialista en Líneas Primarias</t>
  </si>
  <si>
    <t>Ingeniero Especialista en Redes Secundarias</t>
  </si>
  <si>
    <t>TOTAL
(S/.)</t>
  </si>
  <si>
    <t>Origen Nacional</t>
  </si>
  <si>
    <t>Origen Importado</t>
  </si>
  <si>
    <t>M.O. Calificada</t>
  </si>
  <si>
    <t>M.O. No Calificada</t>
  </si>
  <si>
    <t>ACTIVIDADES COMPLEMENTARIAS DE MONTAJE</t>
  </si>
  <si>
    <t>TOTAL COSTO DIRECTO (C.D.)</t>
  </si>
  <si>
    <t xml:space="preserve">RESUMEN DEL VALOR REFERENCIAL </t>
  </si>
  <si>
    <t>RESUMEN GENERAL REDES SECUNDARIAS</t>
  </si>
  <si>
    <t xml:space="preserve">ACTIVIDADES COMPLEMENTARIAS DE MONTAJE </t>
  </si>
  <si>
    <t>TRANSFORMADORES DE DISTRIBUCION</t>
  </si>
  <si>
    <t>“AMPLIACIÓN DEL SERVICIO DE ENERGÍA ELÉCTRICA EN LA PROVINCIA DEL SANTA Y EN EL DISTRITO DE PAMPAROMAS – DEPARTAMENTO DE ANCASH”</t>
  </si>
  <si>
    <t>ANCASH</t>
  </si>
  <si>
    <t>HUAYLAS Y SANTA</t>
  </si>
  <si>
    <t>AMPLIACIÓN DEL SERVICIO DE ENERGÍA ELÉCTRICA EN LA PROVINCIA DEL SANTA Y EN EL DISTRITO DE PAMPAROMAS – DEPARTAMENTO DE ANCASH”</t>
  </si>
  <si>
    <t>Conductor Autoportante de Aluminio 2X16+16/25 mm²</t>
  </si>
  <si>
    <t>Perno con Gancho de 16 mm Ø, provisto de Arandela, Tuerca y Contratuerca, longitud de 254 mm</t>
  </si>
  <si>
    <t>Tubo de AºGº standard / redondo de 19 mm Ø x 1,5 mm x 4,0 m, provisto de codo</t>
  </si>
  <si>
    <t>Tubo de AºGº standard / redondo de 38 mm Ø x 1,5 mm x 6,0 m, provisto de codo</t>
  </si>
  <si>
    <t>Tendido y Puesta en Flecha de Conductor Autoportante de Aluminio de 2x16+16/25 mm²</t>
  </si>
  <si>
    <t>DESMONTAJE DE REDES SECUNDARIAS EXISTENTES</t>
  </si>
  <si>
    <t>OTROS MATERIALES DE CONCRETO ARMADO</t>
  </si>
  <si>
    <t>Cruceta Asimétrica de C.A.V. Za / 1,5 / 0,9 / 250 / 200 / 100 daN (Za / L / L1/ T / F / V)</t>
  </si>
  <si>
    <t>Ménsula de C.A.V. M / 1,2 / 250 / 150 / 150 daN (M / L / T / F / V)</t>
  </si>
  <si>
    <t>Plataforma de Concreto Soporte de Transformador de 2,20 m, carga de trabajo de 500 daN</t>
  </si>
  <si>
    <t>Conjunto Aislador Line Post Polimérico en Cruceta:</t>
  </si>
  <si>
    <t>02 localidades consideradas en el proyecto no se han considerado RP debido a que solo se realizaran ampliación de RS:</t>
  </si>
  <si>
    <t xml:space="preserve">Nota: </t>
  </si>
  <si>
    <t xml:space="preserve"> - Anchacancha-Jacanan</t>
  </si>
  <si>
    <t xml:space="preserve"> - Miraflores los Alamos</t>
  </si>
  <si>
    <t xml:space="preserve">Transporte de Poste de 13 m/300 daN de Almacen a Punto de Izaje, en Terreno con Acceso Carrozable </t>
  </si>
  <si>
    <t xml:space="preserve">Transporte de Poste de 12 m/200 daN de Almacen a Punto de Izaje, en Terreno con Acceso Carrozable </t>
  </si>
  <si>
    <t xml:space="preserve">Transporte de Poste de 12 m/300 daN de Almacen a Punto de Izaje, en Terreno con Acceso Carrozable </t>
  </si>
  <si>
    <t>Transporte de  Aislador Line Post Polimérico de Almacén a Punto de Instalaciòn en Terreno con Acceso Carrozable</t>
  </si>
  <si>
    <t>Izaje, Identificación y/o codificación, y Señalización de Poste de 12 m/300 daN (*)</t>
  </si>
  <si>
    <t>Cimentación con concreto ciclópeo de Poste de 13m en Terreno Tipo II (Rocoso)</t>
  </si>
  <si>
    <t>POSTES DE CONCRETO ARMADO Y MADERA IMPORTADA</t>
  </si>
  <si>
    <t>Poste de madera importada (Pino Amarillo del Sur) de 8 m, Clase 7</t>
  </si>
  <si>
    <t>Pastoral tubo A°G° 38 mm Ø interior, 500 mm avance horizontal, 720 mm altura y 20° inclinación, provisto de 2 abrazaderas simples y 4 tirafondos para poste de madera</t>
  </si>
  <si>
    <t>Poste de C.A.C. de 12 m/300 daN (Incluye perilla)</t>
  </si>
  <si>
    <t xml:space="preserve">Grapa de Angulo para Conductor de 70 mm²  </t>
  </si>
  <si>
    <t>TRAMO SUBTERRANEO</t>
  </si>
  <si>
    <t>Abrazadera AºGº 36MMD.P.N2XSY</t>
  </si>
  <si>
    <t>Tubo PVC-SAP 4" ø y Codo 90° de 4" ø</t>
  </si>
  <si>
    <t>Arandela de presion de A°G° de 9.5 mm ø</t>
  </si>
  <si>
    <t>Perno A°G°, ø 9.5mm x 38 mm LONG</t>
  </si>
  <si>
    <t>Terminal de compresion bimetalico</t>
  </si>
  <si>
    <t>Fleje de acero inoxidable 19mm, espesor 0.8mm, provisto de Hebilla</t>
  </si>
  <si>
    <t>Ductos de concretos de 2 Vias</t>
  </si>
  <si>
    <t>Estudio de Coordinación de la Protección y Balance de Cargas</t>
  </si>
  <si>
    <t>Monitoreo e Inspección del Ministerio de Cultura ( Incluye Líneas Primarias, Redes Primarias, Redes Secundarias y SFV )</t>
  </si>
  <si>
    <t>Programa de Monitoreo Ambiental (Incluye Línea Primarias, Red Primaria, Red Secundaria y SFV)</t>
  </si>
  <si>
    <t>Programa de Talleres de Información y de Medidas Preventivas y/o Correctivas</t>
  </si>
  <si>
    <t>Cartel para Obra</t>
  </si>
  <si>
    <t>Elaboración del Expediente Técnico Sustentatorio de Gestión de Servidumbre (1original + 3copias). Incluye Levantamiento Topografico, y presentacion digitalizada del Expediente</t>
  </si>
  <si>
    <t>Transporte de Ménsula de C.A.V y Cruceta Asimétrica de C.A.V, de Almacen a Punto de Instalaciòn en Terreno con Acceso Carrozable</t>
  </si>
  <si>
    <t>Relleno y Compactación para cimentación de Poste 12m, en Terreno Tipo I (Arcilloso y Conglomerado)</t>
  </si>
  <si>
    <t>MONTAJE DE REDES SUBTERRANEAS</t>
  </si>
  <si>
    <t>Excavacion de Zanja en Terreno Tipo I (Arcilloso y Conglomerado)</t>
  </si>
  <si>
    <t>Relleno y compactacion de Zanja con material adecuado</t>
  </si>
  <si>
    <t>Alquiler de Camioneta pick up(Incluye Chofer y Combustible )</t>
  </si>
  <si>
    <t>SISTEMA FOTOVOLTAICO</t>
  </si>
  <si>
    <t>UNIDAD DE GENERACIÓN</t>
  </si>
  <si>
    <t>par</t>
  </si>
  <si>
    <t>UNIDAD DE CONTROL</t>
  </si>
  <si>
    <t>UNIDAD DE ALMACENAMIENTO</t>
  </si>
  <si>
    <t>Terminales para bateria y elementos de fijacion</t>
  </si>
  <si>
    <t>Conductor desnudo de bajada a Puesta a Tierra, Cu recocido  1x10mm2</t>
  </si>
  <si>
    <t>Conector de Bronce para Electrodo de 16 mm ø y Conductor de Cobre de 10 mm2</t>
  </si>
  <si>
    <t>Caja Registro de Concreto para Puesta a Tierra ø 0,40 m x 0,30 m</t>
  </si>
  <si>
    <t>Tubo PVC de 3/4" diámetro x 3 m longitud, clase pesada (SAP)</t>
  </si>
  <si>
    <t>Curva de PVC  de 3/4" de diámetro, clase pesada (SAP)</t>
  </si>
  <si>
    <t>Cjto</t>
  </si>
  <si>
    <t>SISTEMA DE PUESTA A TIERRA</t>
  </si>
  <si>
    <t>Montaje de red equipotencial</t>
  </si>
  <si>
    <t>Instalación de Puesta a tierra con un electrodo vertical tipo PAT-1* con cemento Conductivo y un Electrodo Vertical (Incluye Caja de Registro).</t>
  </si>
  <si>
    <t>Relleno y Compactación de Puesta a Tierra con Material Adecuado.</t>
  </si>
  <si>
    <t>INSPECCIÓN Y PRUEBAS</t>
  </si>
  <si>
    <t>Inspeccion, Pruebas y Puesta en servicio del Sistema Fotovoltaico Individual</t>
  </si>
  <si>
    <t>Loc</t>
  </si>
  <si>
    <t>SECCIÓN IV</t>
  </si>
  <si>
    <t>UG</t>
  </si>
  <si>
    <t>UC</t>
  </si>
  <si>
    <t>UA</t>
  </si>
  <si>
    <t>UD</t>
  </si>
  <si>
    <t xml:space="preserve">ANALISIS DE COSTOS PARA CONTRATACION DE LA ELABORACION DEL </t>
  </si>
  <si>
    <t xml:space="preserve">ESTUDIO DEFINITIVO DEL PROYECTO </t>
  </si>
  <si>
    <t>“AMPLIACION DEL SISTEMA ELECTRICO RURAL EN LA PROVINCIA DEL SANTA Y EN EL DISTRITO DE PAMPAROMAS - DEPARTAMENTO DE ANCASH”</t>
  </si>
  <si>
    <t>A1</t>
  </si>
  <si>
    <t>COSTO DE PERSONAL PROFESIONAL</t>
  </si>
  <si>
    <t>PLAZO :</t>
  </si>
  <si>
    <t>MESES</t>
  </si>
  <si>
    <t>PROFES.</t>
  </si>
  <si>
    <t>REMUNERACIÓN</t>
  </si>
  <si>
    <t>TIEMPO</t>
  </si>
  <si>
    <t>CATEGORIA</t>
  </si>
  <si>
    <t>ASIGNADO</t>
  </si>
  <si>
    <t>(c)</t>
  </si>
  <si>
    <t>Total/mes (7)</t>
  </si>
  <si>
    <t>EFECTIVO</t>
  </si>
  <si>
    <t>HONORARIOS</t>
  </si>
  <si>
    <t>(b)</t>
  </si>
  <si>
    <t>(Meses) (e)=(a)*(c)</t>
  </si>
  <si>
    <t>ESTUDIOS ELECTROMECANICOS</t>
  </si>
  <si>
    <t>Especialista en Trabajos Geológicos, Geotécnicos y Diseño de Cimentaciones</t>
  </si>
  <si>
    <t>Arqueologo, Especialista en Proyectos de Electrificacion</t>
  </si>
  <si>
    <t>H</t>
  </si>
  <si>
    <t>I</t>
  </si>
  <si>
    <t>COSTO  DE PERSONAL</t>
  </si>
  <si>
    <t>A2</t>
  </si>
  <si>
    <t xml:space="preserve">COSTO DE PERSONAL AUXILIAR </t>
  </si>
  <si>
    <t>PERSONAL</t>
  </si>
  <si>
    <t>SUELDO</t>
  </si>
  <si>
    <t>Ingenieros Asistentes para labores de Gabinete</t>
  </si>
  <si>
    <t xml:space="preserve">Secretaria </t>
  </si>
  <si>
    <t>Dibujantes en Autocad</t>
  </si>
  <si>
    <t>Personal de campo no calificado</t>
  </si>
  <si>
    <t>5 % de A1</t>
  </si>
  <si>
    <t>COSTO PERS. AUXILIAR</t>
  </si>
  <si>
    <t>NOTA</t>
  </si>
  <si>
    <t>LA REMUNERACIÓN  INCLUYE LEYES SOCIALES.</t>
  </si>
  <si>
    <t>COSTO TOTAL DE PERSONAL (A1 + A2)</t>
  </si>
  <si>
    <t>TRABAJOS TOPOGRAFICOS PARA EL DISEÑO TÉCNICO DEL PROYECTO Y REPLANTEO DE OBRA</t>
  </si>
  <si>
    <t>B1</t>
  </si>
  <si>
    <t>LEVANTAMIENTO TOPOGRAFIO DE LINEAS DE MEDIA TENSION (INCLUYE TRABAJOS DE GABINETE)</t>
  </si>
  <si>
    <t>SUBTOTAL</t>
  </si>
  <si>
    <t>COSTO POR km DE LINEA DE M.T.</t>
  </si>
  <si>
    <t>LONGITUD DE LINEA DE MEDIA TENSIÓN</t>
  </si>
  <si>
    <t>SUB TOTAL B1</t>
  </si>
  <si>
    <t>B2</t>
  </si>
  <si>
    <t xml:space="preserve">LEVANTAMIENTO TOPOGRAFICO PARA ELABORACION DE PLANOS CATASTRALES (INCLUYE TRABAJOS DE GABINETE) </t>
  </si>
  <si>
    <t>COSTO POR LOC.</t>
  </si>
  <si>
    <t>NÚMERO DE  LOCALIDADES</t>
  </si>
  <si>
    <t>LOCALIDADES</t>
  </si>
  <si>
    <t xml:space="preserve">COSTO TOTAL DE LEVANTAMIENTO Y ELABORACIÓN DE PLANOS PLANOS CATASTRALES </t>
  </si>
  <si>
    <t>TOTAL TOPOGRAFIA PARA DISEÑO TÉCNICO DEL PROYECTO (B1 + B2)</t>
  </si>
  <si>
    <t>P.Unit.</t>
  </si>
  <si>
    <t>GASTOS PRINCIPALES PARA DESARROLLO DE LOS ESTUDIOS</t>
  </si>
  <si>
    <t>C1</t>
  </si>
  <si>
    <t>VIATICOS Y ALOJAMIENTO DE PROFESIONALES</t>
  </si>
  <si>
    <t>ASIGN./DIA</t>
  </si>
  <si>
    <t>NUMERO</t>
  </si>
  <si>
    <t>DIAS</t>
  </si>
  <si>
    <t>Alimentación</t>
  </si>
  <si>
    <t>Alojamiento</t>
  </si>
  <si>
    <t>SUB TOTAL C1</t>
  </si>
  <si>
    <t>C2</t>
  </si>
  <si>
    <t>VEHICULO, COMBUSTIBLE y OTROS ASIGNADOS A PROFESIONALES EN CAMPO</t>
  </si>
  <si>
    <t xml:space="preserve">DIAS </t>
  </si>
  <si>
    <t>Alquiler de vehiculo 4x4, incluye chofer</t>
  </si>
  <si>
    <t>Combustibe y lubricante</t>
  </si>
  <si>
    <t>Otros equipos y materiales de campo ( 2 % de A1)</t>
  </si>
  <si>
    <t>SUB TOTAL  C2</t>
  </si>
  <si>
    <t>C3</t>
  </si>
  <si>
    <t>OTROS GASTOS</t>
  </si>
  <si>
    <t>Sub Total</t>
  </si>
  <si>
    <t>Movilidad y Equipos -Incluye Operador (1)</t>
  </si>
  <si>
    <t xml:space="preserve">Movilidad local (1 Und.)  </t>
  </si>
  <si>
    <t xml:space="preserve">Equipos GPS Navegadores  de Alta Precisión </t>
  </si>
  <si>
    <t>Calicatas,Analisis de Muestras y otros</t>
  </si>
  <si>
    <t xml:space="preserve"> - Comprende desplazamiento toma de muestras y </t>
  </si>
  <si>
    <t xml:space="preserve">    Análisis en Laboratorio: Capacidad Portante, angulo de fricción, granulometría, </t>
  </si>
  <si>
    <t xml:space="preserve">    peso volumen, contenido de sales y sulfatos. (Según requerimiento de los TDR)</t>
  </si>
  <si>
    <t xml:space="preserve"> -  Construcción y monumentación de hitos de acuerdo a requerimientos </t>
  </si>
  <si>
    <t xml:space="preserve">     de especicifación técnica de la DGE/MEM </t>
  </si>
  <si>
    <t>¨- Padron Final de Usuarios</t>
  </si>
  <si>
    <t>Pasajes a la Lima - Obra - Lima</t>
  </si>
  <si>
    <t xml:space="preserve">Viajes vía terrestre </t>
  </si>
  <si>
    <t>Documentaciones y Utiles</t>
  </si>
  <si>
    <t>Bases, notaría,etc</t>
  </si>
  <si>
    <t xml:space="preserve">Papel para textos </t>
  </si>
  <si>
    <t>Fotocopia de textos,  planos y láminas</t>
  </si>
  <si>
    <t>Registros fotográficos digitalizado e impreso</t>
  </si>
  <si>
    <t>Cartas IGN 1/100 000 (Incluye juego de copias)</t>
  </si>
  <si>
    <t>Cartas IGN 1/25 000 (Incluye juego de copias)</t>
  </si>
  <si>
    <t>Otros utiles  (5 % Documentos y Utiles)</t>
  </si>
  <si>
    <t xml:space="preserve">% </t>
  </si>
  <si>
    <t>SUB TOTAL  C3</t>
  </si>
  <si>
    <t>NOTAS</t>
  </si>
  <si>
    <t xml:space="preserve"> (1) INCLUYE EL COSTO DEL OPERADOR</t>
  </si>
  <si>
    <t>TOTAL GASTOS PRINCIPALES PARA DESARROLLO DEL ESTUDIO (D1 +D2 + D3)</t>
  </si>
  <si>
    <t>COSTOS</t>
  </si>
  <si>
    <t>COSTOS DE TOPOGRAFIA PARA EL DISEÑO TÉCNICO DEL PROYECTO</t>
  </si>
  <si>
    <t>GASTOS PRINCIPALES PARA  DESARROLLO DEL ESTUDIO</t>
  </si>
  <si>
    <t xml:space="preserve">GASTOS GENERALES  </t>
  </si>
  <si>
    <t>DE C.D.</t>
  </si>
  <si>
    <t>TOTAL SIN IMPUESTOS</t>
  </si>
  <si>
    <t>IMPUESTOS</t>
  </si>
  <si>
    <t>IMPUESTO GENERAL A LAS VENTAS (18 %)</t>
  </si>
  <si>
    <t>TOTAL  COSTO DE LOS ESTUDIOS</t>
  </si>
  <si>
    <t>Alambre de Acero N° 14 para Entorchado</t>
  </si>
  <si>
    <t>Ingeniero Especialista en Análisis y Diseño de Líneas Primarias</t>
  </si>
  <si>
    <t>Ingeniero Especialista en Sistemas Fotovoltaicos</t>
  </si>
  <si>
    <t>Concreto ciclópeo 1:8 C,H+30% P.G.</t>
  </si>
  <si>
    <t>RESUMEN GENERAL FOTOVOLTAICO</t>
  </si>
  <si>
    <t>Topógrafo Operador de GPS</t>
  </si>
  <si>
    <t>Cruceta de madera tratada de 90 mm x 115 mm x 2,00 m</t>
  </si>
  <si>
    <t>Cruceta de madera tratada de 90 mm x 115 mm x 2,40 m</t>
  </si>
  <si>
    <t>- Aislador Polimérico de 36 kV, Tipo Line Post con Espárrago de 19 mm Ø, 200 mm longitud (Alternativa a Conjunto Aislador-Espiga en Cruceta)</t>
  </si>
  <si>
    <t>Fusible Tipo Expulsion de 6 A, Tipo K</t>
  </si>
  <si>
    <t>Transformador Monofásico Fase - Fase de 5 kVA; 13,8 / 0,46-0,23 kV</t>
  </si>
  <si>
    <t>Transformador Monofásico Fase - Fase de 10 kVA; 13,8 / 0,46-0,23 kV</t>
  </si>
  <si>
    <t>Conductor de Cobre Concéntrico,  2 x 6 mm2, con aislamiento y cubierta de PVC</t>
  </si>
  <si>
    <t>Despeje de Árboles Dentro de la Franja de Servidumbre</t>
  </si>
  <si>
    <t>Transporte de cable de acero con recubrimiento metalurgico de Cu de 4AWG  de Almacen a Punto de Intalaciòn en Terreno con Acceso Carrozable</t>
  </si>
  <si>
    <t>Relleno y Compactación para cimentación de Poste 12m, en Terreno Tipo II (Rocoso)</t>
  </si>
  <si>
    <t>Instalación de Retenida Inclinada</t>
  </si>
  <si>
    <t>Instalación de Retenida Inclinada en Y</t>
  </si>
  <si>
    <t>Instalación de Retenida Vertical</t>
  </si>
  <si>
    <t>Instalación de Retenida Vertical en Y</t>
  </si>
  <si>
    <t>Instalación de ductos de 2 Vias</t>
  </si>
  <si>
    <t>Excavacion de Zanja en Terreno Tipo II (Rocoso)</t>
  </si>
  <si>
    <t>Pruebas y Puesta en Servicio de Lineas Primarias</t>
  </si>
  <si>
    <t>Instalación de Pastoral de A° G°</t>
  </si>
  <si>
    <t>Módulo Fotovoltaico 160 Wp, 12Vdc, silicio cristalino</t>
  </si>
  <si>
    <t>Modulo Soporte de F°G° para SFV 160 Wp según lámina de detalle. Incluye accesorios</t>
  </si>
  <si>
    <t>Tablero de protección adosable de PVC, con puerta, 12 Vdc, 0 2 polos,  IP 54, con riel DIN y  accesorios de fijación</t>
  </si>
  <si>
    <t>Interruptor termomagnético 12 Vdc, 16 A</t>
  </si>
  <si>
    <t xml:space="preserve">Conector rectangular hermético tipo CONDUIT, de A°G° para tubería flexible de 3/4" </t>
  </si>
  <si>
    <t>Caja de control de carga adosable de PVC, con puerta, IP54, con riel DIN, borne de puesta a tierra  y accesorios de fijación</t>
  </si>
  <si>
    <t>Controlador de carga tipo PWM 12/24 Vdc, 20A</t>
  </si>
  <si>
    <t>Tubería  eléctrica tipo CONDUIT flexible corrugada de F°G°, con forro corrugado de PVC y 3/4" de diámetro</t>
  </si>
  <si>
    <t>Abrazadera de F°G° de dos orejas para tubo de PVC de 3/4" diámetro con accesorios de fijación</t>
  </si>
  <si>
    <t>Caja estanca de PVC con tapa atornillable, IP 65, de 100x100x70 mm</t>
  </si>
  <si>
    <t>Bornera de línea a tierra para 8 conductores  de 16 mm2 Cu</t>
  </si>
  <si>
    <t>Interruptor termomagnético 12 Vdc, 16 A (De requerirse)</t>
  </si>
  <si>
    <t>Interruptor termomagnético 12 Vdc, 40 A (De requerirse)</t>
  </si>
  <si>
    <t>Bateria de electrolito gelificado, 150 Ah, 12 Vdc</t>
  </si>
  <si>
    <t>Rack para bateria gelificada,  150 Ah, 12 Vdc, incluye accesorios de fijación y protección</t>
  </si>
  <si>
    <t>Conductor THW de 6 mm2, Cu</t>
  </si>
  <si>
    <t xml:space="preserve">Conector rectangular hermético de PVC  para tubería eléctrica flexible de PVC corrugada de 3/4" </t>
  </si>
  <si>
    <t>Conector de puesta a tierra para conductor de cobre de 10mm2</t>
  </si>
  <si>
    <t>Tubería  eléctrica flexible de PVC corrugada de 3/4" de diámetro</t>
  </si>
  <si>
    <t>Cinta autofundente para bornes de baterías</t>
  </si>
  <si>
    <t xml:space="preserve">UNIDAD DE INVERSOR DC/AC </t>
  </si>
  <si>
    <t>Inversor de 300W continuos 12Vdc/220Vac, 60 Hz</t>
  </si>
  <si>
    <t>Caja para el inversor adosable de PVC, con puerta, IP54, con riel DIN, borne de puesta a tierra  y accesorios de fijación</t>
  </si>
  <si>
    <t>Conductor THW de 16mm2, Cu</t>
  </si>
  <si>
    <t>UNIDAD DE PROTECCION 220 V AC</t>
  </si>
  <si>
    <t>Tablero de protección adosable de PVC, con puerta, 220 V ac, 6 polos,  IP 54, con riel DIN , accesorios de fijación y bornera de pat</t>
  </si>
  <si>
    <t>Interruptor termomagnético 220Vac, 6A, 6KA</t>
  </si>
  <si>
    <t>Interruptor automático y diferencial 220Vac, 25A, 30mA</t>
  </si>
  <si>
    <t>Conductor  THW, 6 mm2, Cu, color rojo y negro</t>
  </si>
  <si>
    <t>Tubo PVC de 1/2" diámetro x 3 m longitud, clase pesada (SAP)</t>
  </si>
  <si>
    <t>Curva de PVC  de 1/2" de diámetro, clase pesada (SAP)</t>
  </si>
  <si>
    <t>Conector de PVC, roscado con tuerca de ajuste  de 1/2" SAP</t>
  </si>
  <si>
    <t>Abrazadera de F°G° de dos orejas para tubo de PVC de 1/2" diámetro con accesorios de fijación</t>
  </si>
  <si>
    <t>UNIDAD DE CARGAS 220V AC</t>
  </si>
  <si>
    <t>Conductor para alumbrado THW, 2,5mm2, Cu, color rojo y negro</t>
  </si>
  <si>
    <t>Conductor para tomacorriente THW, 4mm2, Cu, color rojo y negro</t>
  </si>
  <si>
    <t>Conductor para tierra de protección THW 4mm2, Cu, color verde amarillo</t>
  </si>
  <si>
    <t>Caja de pase metálica octogonal pesada para salida de alumbrado</t>
  </si>
  <si>
    <t>Portalampara de material aislante con casquillo E27 con accesorios de fijación</t>
  </si>
  <si>
    <t>Lampara tipo LED 7W, 220Vac, color cálido</t>
  </si>
  <si>
    <t>Caja de pase rectangular de PVC de 2x4" para instalación  adosada de interruptor. Incluye accesorios de fijación</t>
  </si>
  <si>
    <t>Interruptor unipolar de 10 A y 250 V  y accesorios de sujeción</t>
  </si>
  <si>
    <t>Caja de pase rectangualr de PVC, minimo IP54, de 80 mm x 80 mm x 35 mm</t>
  </si>
  <si>
    <t>Bornera de PVC de 15 A,  para empalme de conductores (linea de 12 conectores)</t>
  </si>
  <si>
    <t>Caja de pase rectangular de PVC de 2x4" para instalación  adosada de tomacorriente. Incluye accesorios de fijación</t>
  </si>
  <si>
    <t>Tomacorriente doble, bipolar, tipo universal 2x15A+T, con toma a tierra, de 250V</t>
  </si>
  <si>
    <t>Conector hembra roscado de PVC  de 1/2" con tuerca de ajuste, para fijación de tubo SAP a cajas</t>
  </si>
  <si>
    <t>Abrazadera de F°G° de una oreja para tubo de PVC de 1/2" diámetro con accesorios de fijación</t>
  </si>
  <si>
    <t>Unión de  PVC de 1/2" SAP</t>
  </si>
  <si>
    <t>RED EQUIPOTENCIAL</t>
  </si>
  <si>
    <t>Conductor de conexión a tierra de equipo a barra de tierra, conductor 1x4mm2 THW, Cu</t>
  </si>
  <si>
    <t>Cemento conductivo en bolsa de 25 kg</t>
  </si>
  <si>
    <t>ACOMETIDA PARA SFV</t>
  </si>
  <si>
    <t>Curva y sección de tubo PVC  de 3/4" de diámetro, clase pesada (SAP)</t>
  </si>
  <si>
    <t>Transporte de Modulo Soporte de F°G° para SFV 160 Wp, de Almacén a Punto de Instalación, en Terreno con acceso Carrozable</t>
  </si>
  <si>
    <t>Transporte de Módulo Fotovoltaico de 160 Wp, de Almacén a Punto de Instalación, en Terreno con acceso Carrozable</t>
  </si>
  <si>
    <t>Transporte de Unidad de Control para SFV 160 Wp, de Almacén a Punto de Instalación, en Terreno con acceso Carrozable</t>
  </si>
  <si>
    <t>Transporte de Unidad de Almacenamiento para SFV 160 Wp, de Almacén a Punto de Instalación, en Terreno con acceso Carrozable</t>
  </si>
  <si>
    <t>Transporte de Unidad de Inversor para SFV 160 Wp, de Almacén a Punto de Instalación, en Terreno con acceso Carrozable</t>
  </si>
  <si>
    <t>Transporte de Unidades de Protección, Cargas y Acometidas, de Almacén a Punto de Instalación, en Terreno con acceso Carrozable</t>
  </si>
  <si>
    <t>Transporte de Red Equipotencial y Puesta a Tierra, de Almacén a Punto de Instalación, en Terreno con acceso Carrozable</t>
  </si>
  <si>
    <t>MONTAJE DE LA UNIDAD DE GENERACIÓN y ACOMETIDA</t>
  </si>
  <si>
    <t>Montaje del Soporte Metálico, Izaje y Fijación del Poste Metálico para SFV de 160 Wp</t>
  </si>
  <si>
    <t>Relleno, compactación y cimentacion de postes de fierro galvanizado de 4 m x 2,5 pulgadas en terreno tipo I (Arcilloso y conglomerado)</t>
  </si>
  <si>
    <t>Relleno, compactación y cimentacion de postes de fierro galvanizado de 4 m x 2,5 pulgadas en terreno Tipo II (Rocoso)</t>
  </si>
  <si>
    <t>Montaje y Conexionado de Módulo Fotovoltaico en Unidad de Generación para SFV de 160 Wp</t>
  </si>
  <si>
    <t>Conexionado de Acometida para SFV</t>
  </si>
  <si>
    <t>MONTAJE DE UNIDAD DE CONTROL Y UNIDAD DE ALMACENAMIENTO</t>
  </si>
  <si>
    <t>Montaje de Unidad de Control (incluye Gabinete, Controlador y Conexiones), para SFV de 160 Wp</t>
  </si>
  <si>
    <t>Montaje de Unidad de Almacenamiento (incluye Soporte Metálico, Baterías y Conexiones), para SFV de 160 Wp</t>
  </si>
  <si>
    <t>MONTAJE DE LA UNIDADES EN CORRIENTE ALTERNA 220 AC</t>
  </si>
  <si>
    <t>Montaje Unidad de Inversor (incluye Gabinete, Inversor y Conexiones), para SFV de 160 Wp</t>
  </si>
  <si>
    <t>Montaje Unidad de Protección (incluye Tablero, Interruptores y Conexiones) para SFV</t>
  </si>
  <si>
    <t>Montaje de Unidades de Carga  (incluye sistema de alumbrado, tomacorrientes y protecciones) para SFV</t>
  </si>
  <si>
    <t>Conductor Autoportante de Aluminio 2X25+16/25 mm²</t>
  </si>
  <si>
    <t>Tarugo de cedro de 13 mm x 50 mm</t>
  </si>
  <si>
    <t>Tendido y Puesta en Flecha de Conductor Autoportante de Aluminio de 2x25+16/25 mm²</t>
  </si>
  <si>
    <t>Transporte de Conductor Autoportante de Aluminio de 2x25+16/25 mm² de Almacen a Punto de Instalación en terreno con acceso carrozable</t>
  </si>
  <si>
    <t>Transporte de Conductor Autoportante de Aluminio de 2x16+16/25 mm² de Almacen a Punto de Instalación en terreno con acceso carrozable</t>
  </si>
  <si>
    <t>Transporte de Conductor Autoportante de Aluminio de 2x25/25 mm² de Almacen a Punto de Instalación en terreno con acceso carrozable</t>
  </si>
  <si>
    <t>Transporte de Conductor Autoportante de Aluminio de 1x16+16/25 mm² de Almacen a Punto de Instalación en terreno con acceso carrozable</t>
  </si>
  <si>
    <t>Transporte de Conductor Autoportante de Aluminio de 1x16/25 mm² de Almacen a Punto de Instalación en terreno con acceso carrozable</t>
  </si>
  <si>
    <t>Izaje, Identificación y/o codificación, y Señalización de Poste de madera importado de 8 m, Clase 7</t>
  </si>
  <si>
    <t>Cimentación con Concreto Ciclópeo de Poste de 8m en Terreno Tipo I (Arcilloso y Conglomerado)</t>
  </si>
  <si>
    <t>Cimentación con Concreto Ciclópeo de Poste de 8m en Terreno Tipo II (Rocoso)</t>
  </si>
  <si>
    <t>Relleno y Compactación para cimentación de Poste 8m, en Terreno Tipo I (Arcilloso y Conglomerado)</t>
  </si>
  <si>
    <t>Desmontaje de la ferreteria de los armados (E1, E2, E3, E4, E5 Y E6)</t>
  </si>
  <si>
    <t>Transporte de Accesorios de Ferreteria de desmontaje (Para Postes , conductores, Retenidas y PAT) a almacen de propietario</t>
  </si>
  <si>
    <t>Transporte de Cable de Acero con Recubrimiento Metalurgico de Cu de 4AWG  de Almacen a Punto de Intalaciòn en Terreno con Acceso Carrozable</t>
  </si>
  <si>
    <t>Transporte de Transformador Monofásico Fase - Neutro de 5 kVA; 13,2 / 0,46-0,23 kV y Tablero de Distribucion, de Almacen a Punto de Instalaciòn en Terreno con Acceso Carrozable</t>
  </si>
  <si>
    <t>Transporte de Plataforma de Concreto Soporte de Transformador, de Almacen a Punto de Instalaciòn en Terreno con Acceso Carrozable</t>
  </si>
  <si>
    <t>Ménsula de C.A.V. M / 0,8 / 250 / 150 / 150 daN (M / L / T / F / V)</t>
  </si>
  <si>
    <t>Conjunto Aislador Line Post Polimérico en Mesula y Cruceta:</t>
  </si>
  <si>
    <t>Terminacion Autocontraible N2XSY 8,7/15kV 1x50 mm2. Exterior</t>
  </si>
  <si>
    <t>Cable de Energía N2XSY 1x50 mm2  8,7/15kV</t>
  </si>
  <si>
    <t>Perfil "U" de A° G° de 150 x 75 x 4.5 mm y 3.00m de Longitud</t>
  </si>
  <si>
    <t>Transporte de Poste de 13 m/400 daN de Almacen a Punto de Izaje, en Terreno con Acceso Carrozable</t>
  </si>
  <si>
    <t>Transporte de Cruceta de madera tratada de 90 mm x 115 mm x 2,40 m y 2,00 m, de Almacen a Punto de Instalaciòn en Terreno con Acceso Carrozable</t>
  </si>
  <si>
    <t>Transporte de Ductos de concretos de 2 Vias de almacen a punto de Instalacion en Terreno con Acceso Carrozable</t>
  </si>
  <si>
    <t>Transporte de Terminacion Autocontraible de Almacen a Punto de Instalacion en Terreno con Acceso Carrozable</t>
  </si>
  <si>
    <t>Tendido de Cable de Energía N2XSY 1x50 mm2 8,7/15 KV (Incluye  conexionado)</t>
  </si>
  <si>
    <t>Instalacion de Terminales Autocontraibles Exterior</t>
  </si>
  <si>
    <t>Tubo Plastico de PVC SAP de 19 mm ø x 0,5 m ( incluye curva de plastico de 19 mm ø x 90º)</t>
  </si>
  <si>
    <t>UNIDAD DE ALMACENAMIENTO, INVERSOR Y PROTECCION</t>
  </si>
  <si>
    <t>UNIDAD DE CARGAS Y ACOMETIDAS</t>
  </si>
  <si>
    <t>PUESTA A TIERRA Y RED EQUIPOTENCIAL</t>
  </si>
  <si>
    <t>Izaje, Identificación y/o codificación, y Señalización de Poste de madera importada de 12 m, Clase 5 (*)</t>
  </si>
  <si>
    <t>Ing. de Seguridad e Higiene Ocupacional</t>
  </si>
  <si>
    <t>Ing. Especialista en Redes de Distribución</t>
  </si>
  <si>
    <t>Ing. Especialista en Sistemas Fotovoltaicos</t>
  </si>
  <si>
    <t>TS</t>
  </si>
  <si>
    <t>Instalación de Puesta a Tierra Tipo PAT-1 con un Electrodo Vertical. Instalación en Poste de Madera.</t>
  </si>
  <si>
    <t>bols.</t>
  </si>
  <si>
    <t>Epecialista en  Análisis y Diseños de Líneas y Redes Primarias</t>
  </si>
  <si>
    <t>Especialista en Analisis de Sistemas Electricos y Estudio de Coordinación de la Protección</t>
  </si>
  <si>
    <t>Especialista en Analisis y Diseños de Redes Secundarias</t>
  </si>
  <si>
    <t>Especialista en Energias Renovables - Sistemas Fotovoltaicos</t>
  </si>
  <si>
    <t>Ing. Asistente de Obra</t>
  </si>
  <si>
    <t xml:space="preserve">Ingeniero Especialista en Redes Primarias </t>
  </si>
  <si>
    <t>Asistente de Ingeniería</t>
  </si>
  <si>
    <t>Ing. Asistente, experiencia en LP</t>
  </si>
  <si>
    <t>Ing. Asistente, experiencia en RP</t>
  </si>
  <si>
    <t>Ing. Asistente, experiencia en RS</t>
  </si>
  <si>
    <t>Técnico Especialista en Dibujo por Computadora</t>
  </si>
  <si>
    <t>Especialista en Gestion de Riesgos</t>
  </si>
  <si>
    <t>Izaje, Identificación y/o codificación, y Señalización de Poste de madera importada de 12 m, Clase 6 (*)</t>
  </si>
  <si>
    <t>IU</t>
  </si>
  <si>
    <t>Transporte de Poste de 12 m/200 daN de Almacen a Punto de Izaje, en Terreno  sin Acceso Carrozable (&lt; 1000 m)</t>
  </si>
  <si>
    <t>Transporte de Poste de 12 m/300 daN de Almacen a Punto de Izaje, en Terreno sin Acceso Carrozable (&lt; 1000 m)</t>
  </si>
  <si>
    <t>Transporte de Cruceta de madera tratada de 90 mm x 115 mm x 1,20 m, de Almacen a Punto de Instalaciòn en Terreno sin Acceso  Carrozable (&lt; 1000 m)</t>
  </si>
  <si>
    <t>Transporte de Aislador de Porcelana Tipo Pin, Clase ANSI 56-3 de Almacén a Punto de Instalaciòn en Terreno sin Acceso Carrozable (&lt; 1000 m)</t>
  </si>
  <si>
    <t>Transporte de Aislador Polimerico con Conexión Horquilla (Estructura) y Lengüeta (Linea), de 36 Kv y según Especificacion Técnica. de Almacen a Punto de Intalaciòn en Terreno sin Acceso Carrozable (&lt; 1000 m)</t>
  </si>
  <si>
    <t>Transporte de Conductor de Aleacion de Aluminio de 35 mm²  de Almacen a Punto de Intalaciòn en Terreno sin Acceso Carrozable (&lt; 1000 m)</t>
  </si>
  <si>
    <t>Transporte de Conductor de Aleacion de Aluminio de 70 mm²  de Almacen a Punto de Instalaciòn en Terreno sin Acceso Carrozable (&lt; 1000 m)</t>
  </si>
  <si>
    <t>Transporte de Seccionador Fusible Unipolar Tipo Expulsion (Cut-Out) de 27/38 kV, 100A, 150 kV-BIL. de Almacen a Punto de Instalaciòn en Terreno sin Acceso Carrozable (&lt; 1000 m)</t>
  </si>
  <si>
    <t>Transporte de Bloque de Concreto de 0,40 x 0,40 x 0,15 m, de Almacen a Punto de Instalaciòn en Terreno sin Acceso Carrozable (&lt; 1000 m)</t>
  </si>
  <si>
    <t>Transporte de Caja Registro de Concreto para Puesta a Tierra 0,50 x 0,50 x 0,45 m, de Almacen a Punto de Montaje en Terreno sin Acceso Carrozable (&lt; 1000 m)</t>
  </si>
  <si>
    <t>Transporte de Accesorios de Ferreteria (Para Postes , conductores, Retenidas y PAT) de Almacen a Punto de Instalaciòn sin Acceso Carrozable (&lt; 1000 m)</t>
  </si>
  <si>
    <t>Transporte de Poste de madera importado de 12 m, Clase 5 de Almacen a Punto de Izaje, en Terreno  sin Acceso Carrozable (&lt; 1000 m)</t>
  </si>
  <si>
    <t>Transporte de Poste de madera importado de 8 m, Clase 7 de Almacen a Punto de Izaje, en Terreno sin Acceso Carrozable (&lt; 1000 m)</t>
  </si>
  <si>
    <t>Transporte de Conductor Autoportante de Aluminio de 1x16/25 mm² de Almacen a Punto de Instalación en terreno sin acceso carrozable (&lt; 1000 m)</t>
  </si>
  <si>
    <t>Transporte de Cable de Acero con Recubrimiento Metalurgico de Cu de 4AWG  de Almacen a Punto de Intalaciòn en Terreno sin Acceso Carrozable  (&lt; 1000 m)</t>
  </si>
  <si>
    <t>Transporte de Transformador Monofásico Fase - Neutro de 5 kVA; 13,2 / 0,46-0,23 kV y Tablero de Distribucion, de Almacen a Punto de Instalaciòn en Terreno sin Acceso Carrozable  (&lt; 1000 m)</t>
  </si>
  <si>
    <t>Transporte de cable de acero con recubrimiento metalurgico de Cu de 4AWG  de Almacen a Punto de Intalaciòn en Terreno sin Acceso Carrozable  (&lt; 1000 m)</t>
  </si>
  <si>
    <t>Transporte de Modulo Soporte de F°G° para SFV 160 Wp, de Almacén a Punto de Instalación, en Terreno sin acceso Carrozable (&gt; 3000 m)</t>
  </si>
  <si>
    <t>Transporte de Módulo Fotovoltaico de 160 Wp, de Almacén a Punto de Instalación, en Terreno sin acceso Carrozable (&gt; 3000 m)</t>
  </si>
  <si>
    <t>Transporte de Unidad de Control para SFV 160 Wp, de Almacén a Punto de Instalación, en Terreno sin acceso Carrozable (&gt; 3000 m)</t>
  </si>
  <si>
    <t>Transporte de Unidad de Almacenamiento para SFV 160 Wp, de Almacén a Punto de Instalación, en Terreno sin acceso Carrozable (&gt; 3000 m)</t>
  </si>
  <si>
    <t>Transporte de Unidad de Inversor para SFV 160 Wp, de Almacén a Punto de Instalación, en Terreno sin acceso Carrozable (&gt; 3000 m)</t>
  </si>
  <si>
    <t>Transporte de Unidades de Protección, Cargas y Acometidas, de Almacén a Punto de Instalación, en Terreno sin acceso Carrozable (&gt; 3000 m)</t>
  </si>
  <si>
    <t>Transporte de Red Equipotencial y Puesta a Tierra, de Almacén a Punto de Instalación, en Terreno sin acceso Carrozable (&gt; 3000 m)</t>
  </si>
  <si>
    <t>MES 8</t>
  </si>
  <si>
    <t>MES 9</t>
  </si>
  <si>
    <t>SECCION I, II y III</t>
  </si>
  <si>
    <t>PROVINCIA</t>
  </si>
  <si>
    <t>DISTRITO</t>
  </si>
  <si>
    <t>Transporte de Pararrayos de Oxido Metalico, 21 kV, 10 KA Clase 1 de Almacen a Punto de Montaje en Terreno con Acceso Carrozable</t>
  </si>
  <si>
    <t>Transporte de Pararrayos de Oxido Metalico, 21 kV, 10 KA Clase 1 de Almacen a Punto de Montaje en Terreno sin Acceso Carrozable (&lt; 1000 m)</t>
  </si>
  <si>
    <t>Armado PS1-0 (0°-5°) Monofasico retorno por tierra</t>
  </si>
  <si>
    <t xml:space="preserve">Armado PA2-0 (30°-60°) Monofásico retorno por tierra </t>
  </si>
  <si>
    <t xml:space="preserve">Armado PR3-0 Anclaje Monofásico retorno por tierra   </t>
  </si>
  <si>
    <t>Armado TS-0  Soporte de Retención, monofásico, retorno por tierra</t>
  </si>
  <si>
    <t>Armado Tipo PSVE-3M Soporte de suspensión vertical 0° a 10° trifásico</t>
  </si>
  <si>
    <t>Armado DS-0  Soporte derivación  no tensada monofásico sin neutro</t>
  </si>
  <si>
    <t>Armado DS-2  Soporte derivación  no tensada bifásico sin neutro</t>
  </si>
  <si>
    <t>Armado DS-3  Soporte derivación  tensada trifásico sin neutro</t>
  </si>
  <si>
    <t>Armado PSVE-2 Soporte de suspensión vertical 0° a 10° bifásico sin neutro</t>
  </si>
  <si>
    <t>Armado TSVE-2M  Sopte. Retención, susp. vertical, bifasico</t>
  </si>
  <si>
    <t>Armado TSECVE-3PM Soporte Secc. 3ø,retorno p/ tierra c</t>
  </si>
  <si>
    <t>Armado TSEC-0P Soporte Secc. 1ø,retorno p/ tierra c/ Pararrayos</t>
  </si>
  <si>
    <t xml:space="preserve">Armado PA2VE-3M Trifásico sin neutro  </t>
  </si>
  <si>
    <t>Armado DS-3V  Soporte derivación  tensada trifásico sin neutro</t>
  </si>
  <si>
    <t xml:space="preserve">Armado PTVE-3SEC Soporte Terminal Vert. Trifásico sin neutro </t>
  </si>
  <si>
    <t>Armado PRVE-3M Soporte de retención vertical, trifásico sin neutro</t>
  </si>
  <si>
    <t>Armado PRVE-2M Soporte de retención vertical, Bifásico sin neutro</t>
  </si>
  <si>
    <t>Armado PRVE-3Mp Soporte de retención vertical, trifásico sin neutro</t>
  </si>
  <si>
    <t>Armado TSVE-2SEC Soporte Secc. 2ø,retorno p/ tierra c</t>
  </si>
  <si>
    <t>Armado PTVE-3B Soporte . 3ø,retorno p/ tierra c</t>
  </si>
  <si>
    <t xml:space="preserve">Armado PA2VE-2M bifásico sin neutro  </t>
  </si>
  <si>
    <t>Armado TSVE-3M Soporte . 3ø,retorno p/ tierra c</t>
  </si>
  <si>
    <t>Instalacion de Puesta a Tierra Tipo PAT-1C (Contrapeso). Instalación en Poste de Madera.</t>
  </si>
  <si>
    <t>Instalación de Puesta a Tierra Tipo PAT-1 con un Electrodo Vertical. Instalación en Poste de Madera (Incluye instalación de una Caja de Registro).</t>
  </si>
  <si>
    <t>Transporte de Transformador Monofásico Fase - Fase de 5 kVA; 13,8 / 0,46-0,23 kV y Tablero de Distribucion, de Almacen a Punto de Instalaciòn en Terreno con Acceso Carrozable</t>
  </si>
  <si>
    <t>Transporte de Transformador Monofásico Fase - Fase de 10 kVA; 13,8 / 0,46-0,23 kV y Tablero de Distribucion, de Almacen a Punto de Instalaciòn en Terreno con Acceso Carrozable</t>
  </si>
  <si>
    <t>Solado para poste de concreto (e=0.10 m. C:H, 1:8)</t>
  </si>
  <si>
    <t>Poste de madera importada (Pino Amarillo del Sur) de 12 m, Clase 6</t>
  </si>
  <si>
    <t>Transporte de Poste de madera importada (Pino Amarillo del Sur) de 12m, Clase 6 de Almacen a Punto de Izaje, en Terreno con Acceso Carrozable</t>
  </si>
  <si>
    <t>Transporte de Poste de madera importada (Pino Amarillo del Sur) de 12m, Clase 6 de Almacen a Punto de Izaje, en Terreno  sin Acceso Carrozable (&lt; 1000 m)</t>
  </si>
  <si>
    <t>Poste de madera importada (Pino Amarillo del Sur) de 12 m, Clase 5</t>
  </si>
  <si>
    <t xml:space="preserve">Armado DT-0  Soporte derivación  tensada monofásico retorno por tierra </t>
  </si>
  <si>
    <t xml:space="preserve">Armado DS-2V  Soporte derivación   monofásico </t>
  </si>
  <si>
    <t>Armado TSVE-2  Sopte. Retención, susp. vertical, bifasico</t>
  </si>
  <si>
    <t>Armado PA1VE-2 Soporte de ángulo vertical 10° a 30° bifásico sin neutro</t>
  </si>
  <si>
    <t>Armado SMM-2P S.E. 1ø, Monoposte en alineamiento, con pararrayos.</t>
  </si>
  <si>
    <t>Armado SBM-2V S.E. 2ø, Monoposte en alineamiento, con pararrayos.</t>
  </si>
  <si>
    <t>Instalación de Puesta a Tierra Tipo PAT-2 con dos Electrodos Verticales. Instalación en Poste de Concreto Armado Centrifugado (Incluye instalación de dos Cajas de Registro)</t>
  </si>
  <si>
    <t>Instalación de Puesta a Tierra Tipo PAT-3 con tres Electrodos Verticales. Instalación en Poste de Concreto Armado Centrifugado (Incluye instalación de tres Cajas de Registro).</t>
  </si>
  <si>
    <t>Instalación de Puesta a Tierra Tipo PAT-3 con tres Electrodos Verticales. Instalación en Poste de Madera (Incluye instalación de tres Cajas de Registro)</t>
  </si>
  <si>
    <t>Grapa en "U" para fijar conductor de PAT a Madera</t>
  </si>
  <si>
    <t>Armado Tipo E1/S, E'1/S Alineamiento y Angulo - Conductor Autoportante sin Caja de Derivación para Acometida</t>
  </si>
  <si>
    <t>Armado Tipo E2/S, E'2/S Anclaje y Cambio de Sección - Conductor Autoportante sin Caja de Derivación para Acometida</t>
  </si>
  <si>
    <t>Armado Tipo E3/S, E'3/S Extremo de Línea - Conductor Autoportante sin Caja de Derivación para Acometida</t>
  </si>
  <si>
    <t>Armado Tipo E4, E'4 Extremo de Línea con Derivación - Conductor Autoportante con Caja de Derivación para Acometida</t>
  </si>
  <si>
    <t>Armado Tipo E4/S, E'4/S Extremo de Línea con Derivación - Conductor Autoportante sin Caja de Derivación para Acometida</t>
  </si>
  <si>
    <t>Armado Tipo E5/S, E'5/S Alineamiento con Derivación - Conductor Autoportante sin Caja de Derivación para Acometida</t>
  </si>
  <si>
    <t>Armado Tipo E6/S, E'6/S Anclaje con Derivación - Conductor Autoportante sin Caja de Derivación para Acometida</t>
  </si>
  <si>
    <t>Desmontaje de Poste para Baja Tension (incluye resane de terreno y Transporte a Almacen de propietario)</t>
  </si>
  <si>
    <t>Desmontaje de Retenida (incluye Varilla y Bloque de Anclaje, y accesorios y Traslado a Almacén de propietario)</t>
  </si>
  <si>
    <t>Desmontaje de pastoral de de A°G° y luminarias con lámparas de vapor ( Incluye Traslado a almacén de propietario)</t>
  </si>
  <si>
    <t>Desmontaje de Conductor en Baja Tensión( Incluye Traslado a Almacén de Propietario)</t>
  </si>
  <si>
    <t>Desmontaje de Medidor de Energia y Conexión Domiciliaria ( Incluye Traslado a Almacén de Propietario)</t>
  </si>
  <si>
    <t>Expediente Técnico Final Conforme a Obra y de Concesión Rural de Sistema Fotovoltaico (1 Original + 3 Copias), incluye la presentacion digitalizada de textos y planos en CD.</t>
  </si>
  <si>
    <t>Descripción de Partidas</t>
  </si>
  <si>
    <t>Item</t>
  </si>
  <si>
    <t>Metrado
Cant.</t>
  </si>
  <si>
    <t>Costo 
Unitario</t>
  </si>
  <si>
    <t/>
  </si>
  <si>
    <t>MONTAJE ELECTROMECÁNICO DE LÍNEAS PRIMARIAS</t>
  </si>
  <si>
    <t>B: MONTAJE ELECTROMECÁNICO</t>
  </si>
  <si>
    <t>MONTAJE ELECTROMECÁNICO DE REDES PRIMARIAS</t>
  </si>
  <si>
    <t>MONTAJE ELECTROMECÁNICO DE REDES SECUNDARIAS</t>
  </si>
  <si>
    <t>TRANSPORTE DE MATERIALES DE REDES SECUNDARIAS</t>
  </si>
  <si>
    <t>SISTEMAS FOTOVOLTAICOS</t>
  </si>
  <si>
    <t>SUMINISTRO DE MATERIALES DE SISTEMAS FOTOVOLTAICOS</t>
  </si>
  <si>
    <t>TRANSPORTE DE MATERIALES DE REDES PRIMARIAS</t>
  </si>
  <si>
    <t>Arandela Cuadrada Curva de A° G°, 57 x 57 x 5 mm, Agujero de 14 mm Ø</t>
  </si>
  <si>
    <t>POSTES DE CONCRETO</t>
  </si>
  <si>
    <t>CRUCETAS DE MADERA</t>
  </si>
  <si>
    <t>CM</t>
  </si>
  <si>
    <t>042</t>
  </si>
  <si>
    <t>062</t>
  </si>
  <si>
    <t>049</t>
  </si>
  <si>
    <t>POSTE DE MADERA IMPORTADA</t>
  </si>
  <si>
    <t>Indice Unificado</t>
  </si>
  <si>
    <t>Incremento</t>
  </si>
  <si>
    <t>Mediciones de Parametros Ambientales Basicos para DIA</t>
  </si>
  <si>
    <t>Parametros de calidad de aire</t>
  </si>
  <si>
    <t>Niveles de Ruido</t>
  </si>
  <si>
    <t>Radiaciones Electromagneticas</t>
  </si>
  <si>
    <t>Calidad de Agua Superficial</t>
  </si>
  <si>
    <t>Materiales menores (5% de Mediciones de Parametros)</t>
  </si>
  <si>
    <t>D1</t>
  </si>
  <si>
    <t>Gastos Generales</t>
  </si>
  <si>
    <t>% Costo Directo</t>
  </si>
  <si>
    <t xml:space="preserve">S/ </t>
  </si>
  <si>
    <t>SUB TOTAL D1</t>
  </si>
  <si>
    <t>TOTAL GASTOS GENERALES (D1 + D2)</t>
  </si>
  <si>
    <t>MES 10</t>
  </si>
  <si>
    <t>Total Sin I.G.V. (S/)</t>
  </si>
  <si>
    <t>Total
S/</t>
  </si>
  <si>
    <t>TOTAL  S/</t>
  </si>
  <si>
    <t>S/ (d)</t>
  </si>
  <si>
    <t>S/ (f)=(b)*(d)*(e)</t>
  </si>
  <si>
    <t>S/</t>
  </si>
  <si>
    <t>(S/)</t>
  </si>
  <si>
    <t>Obra (S/)</t>
  </si>
  <si>
    <t>TOTAL
S/</t>
  </si>
  <si>
    <t>COSTO TOTAL S/ (No incluye I.G.V.)</t>
  </si>
  <si>
    <t>SubTotal
S/</t>
  </si>
  <si>
    <t>PRESUPUESTO BASE                                        S/</t>
  </si>
  <si>
    <t>Fecha: 30-Mayo-2022</t>
  </si>
  <si>
    <t>Camioneta pick up (*)</t>
  </si>
  <si>
    <t xml:space="preserve">         (*) El desgaste de las camionetas ha sido calculado considerando una depreciación líneal en 60 meses de vida útil. - Fuente: SUNAT</t>
  </si>
  <si>
    <t>Cartas Fianzas (incluye Comisión y costos por elaboración de cartas fianzas)</t>
  </si>
  <si>
    <t/>
  </si>
  <si>
    <t>-</t>
  </si>
  <si>
    <t>0.23.</t>
  </si>
  <si>
    <t>CANTU</t>
  </si>
  <si>
    <t>COCHANAN</t>
  </si>
  <si>
    <t>IRCAN</t>
  </si>
  <si>
    <t>PALMADERA HURAN</t>
  </si>
  <si>
    <t>PINQUEY</t>
  </si>
  <si>
    <t>ICHIC MARCA</t>
  </si>
  <si>
    <t>POCHCOS</t>
  </si>
  <si>
    <t>LA CUCHILLA</t>
  </si>
  <si>
    <t>CAYHUAMARCA</t>
  </si>
  <si>
    <t>MESITA (NAHUIN)</t>
  </si>
  <si>
    <t>ALIZO</t>
  </si>
  <si>
    <t>COTOHUAIN</t>
  </si>
  <si>
    <t>Ñ</t>
  </si>
  <si>
    <t>METRADO ESTUDIO DEFINITIVO</t>
  </si>
  <si>
    <t>Metrado</t>
  </si>
  <si>
    <t>MONTAJE ELECTROMECÁNICO</t>
  </si>
  <si>
    <t>Supresor de pico protección de sobretensión  tipo II, Uoc 275V, In(8/20 us) 5kA</t>
  </si>
  <si>
    <t>Bateria de electrolito gelificado, 100 Ah, 12 Vdc</t>
  </si>
  <si>
    <t>Rack para bateria gelificada,  100 Ah, 12 Vdc, incluye accesorios de fijación y protección</t>
  </si>
  <si>
    <t>Inversor de 250VA continuos 12Vdc/220Vac, 60 Hz</t>
  </si>
  <si>
    <t>Bentonita sódica saco de 30 kg</t>
  </si>
  <si>
    <t>Perno de 1/4"∅ X 1" Longitud, de FoGo para aterramiento</t>
  </si>
  <si>
    <t>Perno Bronce de 13mm∅ roscado, con tuerca y arandela</t>
  </si>
  <si>
    <t>PLANILLA DE SISTEMA FOTOVOLTAICO INDIVIDUAL</t>
  </si>
  <si>
    <t>PROYECTO:</t>
  </si>
  <si>
    <t>“AMPLIACIÓN DEL SERVICIO DE ENERGIA ELECTRICA EN LA PROVINCIA DEL SANTA Y EN EL DISTRITO DE PAMPAROMAS – DEPARTAMENTO DE ANCASH”</t>
  </si>
  <si>
    <t>SECCION :</t>
  </si>
  <si>
    <t>SISTEMA FOTOVOLTAICO INDIVIDUAL</t>
  </si>
  <si>
    <t>DEPARTAMENTO :</t>
  </si>
  <si>
    <t>N°</t>
  </si>
  <si>
    <t>Localidad</t>
  </si>
  <si>
    <t>Nro Viv.</t>
  </si>
  <si>
    <t>UNIDAD GENERACION</t>
  </si>
  <si>
    <t>Inversor de 300W  12Vdc/220Vac</t>
  </si>
  <si>
    <t>Módulo Fotovoltaico 160 Wp</t>
  </si>
  <si>
    <t>Modulo Soporte de F°G° para SFV 160 Wp.</t>
  </si>
  <si>
    <t>Controlador de carga tipo PWM 12/24 Vdc</t>
  </si>
  <si>
    <t>Interruptor termomagnético 12 Vdc</t>
  </si>
  <si>
    <t>Tablero de protección adosable de PVC,</t>
  </si>
  <si>
    <t>Rack para bateria gelificada,  150 Ah, 12 Vdc</t>
  </si>
  <si>
    <t>Lampara tipo LED 7W, 220Vac</t>
  </si>
  <si>
    <t>Interruptor unipolar de 10 A y 250 V</t>
  </si>
  <si>
    <t>Tomacorriente doble, bipolar</t>
  </si>
  <si>
    <t xml:space="preserve">TOTAL :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</si>
</sst>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1">
    <numFmt numFmtId="164" formatCode="_(* #,##0_);_(* \(#,##0\);_(* &quot;-&quot;_);_(@_)"/>
    <numFmt numFmtId="165" formatCode="_(* #,##0.00_);_(* \(#,##0.00\);_(* &quot;-&quot;??_);_(@_)"/>
    <numFmt numFmtId="166" formatCode="&quot;S/.&quot;#,##0.00;[Red]\-&quot;S/.&quot;#,##0.00"/>
    <numFmt numFmtId="167" formatCode="_ * #,##0.00_ ;_ * \-#,##0.00_ ;_ * &quot;-&quot;??_ ;_ @_ "/>
    <numFmt numFmtId="168" formatCode="&quot;S/.&quot;#,##0;[Red]&quot;S/.&quot;\-#,##0"/>
    <numFmt numFmtId="169" formatCode="&quot;S/.&quot;\ #,##0_);\(&quot;S/.&quot;\ #,##0\)"/>
    <numFmt numFmtId="170" formatCode="0.0"/>
    <numFmt numFmtId="171" formatCode="0.0000"/>
    <numFmt numFmtId="172" formatCode="0.000"/>
    <numFmt numFmtId="173" formatCode="0.0%"/>
    <numFmt numFmtId="174" formatCode="&quot;$&quot;#,##0.00\ ;\(&quot;$&quot;#,##0.00\)"/>
    <numFmt numFmtId="175" formatCode="#,##0.000"/>
    <numFmt numFmtId="176" formatCode="#,##0.0000"/>
    <numFmt numFmtId="177" formatCode="0_);\(0\)"/>
    <numFmt numFmtId="178" formatCode="_ [$€]* #,##0.00_ ;_ [$€]* \-#,##0.00_ ;_ [$€]* &quot;-&quot;??_ ;_ @_ "/>
    <numFmt numFmtId="179" formatCode="#,"/>
    <numFmt numFmtId="180" formatCode="\(#\)"/>
    <numFmt numFmtId="181" formatCode="#,##0.0_);\(#,##0.0\)"/>
    <numFmt numFmtId="182" formatCode="_-* #,##0\ &quot;F&quot;_-;\-* #,##0\ &quot;F&quot;_-;_-* &quot;-&quot;\ &quot;F&quot;_-;_-@_-"/>
    <numFmt numFmtId="183" formatCode="_-* #,##0\ _F_-;\-* #,##0\ _F_-;_-* &quot;-&quot;\ _F_-;_-@_-"/>
    <numFmt numFmtId="184" formatCode="_-* #,##0.00\ &quot;F&quot;_-;\-* #,##0.00\ &quot;F&quot;_-;_-* &quot;-&quot;??\ &quot;F&quot;_-;_-@_-"/>
    <numFmt numFmtId="185" formatCode="_-* #,##0.00\ _F_-;\-* #,##0.00\ _F_-;_-* &quot;-&quot;??\ _F_-;_-@_-"/>
    <numFmt numFmtId="186" formatCode="0.000000000000"/>
    <numFmt numFmtId="187" formatCode="#\ ##0.00"/>
    <numFmt numFmtId="188" formatCode="_-* #,##0.00\ _P_t_a_-;\-* #,##0.00\ _P_t_a_-;_-* &quot;-&quot;??\ _P_t_a_-;_-@_-"/>
    <numFmt numFmtId="189" formatCode="#,###,##0.00"/>
    <numFmt numFmtId="190" formatCode="#,##0.000000"/>
    <numFmt numFmtId="191" formatCode="#,##0.0000000"/>
    <numFmt numFmtId="192" formatCode="0.000000000"/>
    <numFmt numFmtId="193" formatCode="#,###,##0.000000"/>
    <numFmt numFmtId="194" formatCode="#\ ###\ ##0.00"/>
    <numFmt numFmtId="195" formatCode="#,##0.0"/>
    <numFmt numFmtId="196" formatCode="#,##0.000000000000000"/>
    <numFmt numFmtId="197" formatCode="\ #\ ##0.00"/>
    <numFmt numFmtId="198" formatCode="0.000%"/>
    <numFmt numFmtId="199" formatCode="0.00000"/>
    <numFmt numFmtId="200" formatCode="00"/>
    <numFmt numFmtId="201" formatCode="#,##0.00000"/>
    <numFmt numFmtId="202" formatCode="###\ ##0.00"/>
    <numFmt numFmtId="203" formatCode="##\ ###\ ##0.00"/>
    <numFmt numFmtId="204" formatCode="0.000000"/>
    <numFmt numFmtId="205" formatCode="#####\ ##0.00"/>
    <numFmt numFmtId="206" formatCode="mmmm\-yy"/>
    <numFmt numFmtId="207" formatCode="&quot;S/.&quot;\ #,##0.00"/>
    <numFmt numFmtId="208" formatCode="[$$-409]#,##0.00_);\([$$-409]#,##0.00\)"/>
    <numFmt numFmtId="209" formatCode="0.00000%"/>
    <numFmt numFmtId="210" formatCode="0.0000000"/>
    <numFmt numFmtId="211" formatCode="_-* #,##0.000_-;\-* #,##0.000_-;_-* &quot;-&quot;??_-;_-@_-"/>
    <numFmt numFmtId="212" formatCode="_-* #,##0\ _P_t_s_-;\-* #,##0\ _P_t_s_-;_-* &quot;-&quot;??\ _P_t_s_-;_-@_-"/>
    <numFmt numFmtId="213" formatCode="_-* #,##0.00\ _P_t_s_-;\-* #,##0.00\ _P_t_s_-;_-* &quot;-&quot;??\ _P_t_s_-;_-@_-"/>
    <numFmt numFmtId="214" formatCode="_ * #,##0.00_ ;_ * \-#,##0.00_ ;_ * &quot;-&quot;_ ;_ @_ "/>
    <numFmt numFmtId="215" formatCode="#,##0_ ;\-#,##0\ "/>
    <numFmt numFmtId="216" formatCode="_([$€-2]\ * #,##0.00_);_([$€-2]\ * \(#,##0.00\);_([$€-2]\ * &quot;-&quot;??_)"/>
    <numFmt numFmtId="217" formatCode="#.##000"/>
    <numFmt numFmtId="218" formatCode="\$#,#00"/>
    <numFmt numFmtId="219" formatCode="#,#00"/>
    <numFmt numFmtId="220" formatCode="&quot;S/.&quot;#,##0.00\ ;\(&quot;S/.&quot;#,##0.00\)"/>
    <numFmt numFmtId="221" formatCode="######\ ##0.00"/>
    <numFmt numFmtId="222" formatCode="0;\-0;&quot;-&quot;"/>
    <numFmt numFmtId="223" formatCode="0.000000;\-0.000000;&quot;-&quot;"/>
    <numFmt numFmtId="224" formatCode="0.00000;\-0.00000;&quot;-&quot;"/>
  </numFmts>
  <fonts count="149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1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u/>
      <sz val="11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sz val="10"/>
      <color indexed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u/>
      <sz val="12"/>
      <name val="Arial"/>
      <family val="2"/>
    </font>
    <font>
      <sz val="14"/>
      <name val="Arial Narrow"/>
      <family val="2"/>
    </font>
    <font>
      <b/>
      <sz val="14"/>
      <name val="Arial Narrow"/>
      <family val="2"/>
    </font>
    <font>
      <sz val="22"/>
      <name val="Arial"/>
      <family val="2"/>
    </font>
    <font>
      <b/>
      <sz val="22"/>
      <name val="Arial"/>
      <family val="2"/>
    </font>
    <font>
      <sz val="16"/>
      <name val="Arial Narrow"/>
      <family val="2"/>
    </font>
    <font>
      <sz val="17"/>
      <name val="Arial"/>
      <family val="2"/>
    </font>
    <font>
      <b/>
      <sz val="17"/>
      <name val="Arial"/>
      <family val="2"/>
    </font>
    <font>
      <sz val="11"/>
      <name val="Arial Narrow"/>
      <family val="2"/>
    </font>
    <font>
      <u/>
      <sz val="11"/>
      <name val="Arial"/>
      <family val="2"/>
    </font>
    <font>
      <sz val="10"/>
      <name val="Times New Roman"/>
      <family val="1"/>
    </font>
    <font>
      <b/>
      <u/>
      <sz val="20"/>
      <name val="Arial"/>
      <family val="2"/>
    </font>
    <font>
      <sz val="1"/>
      <color indexed="16"/>
      <name val="Courier"/>
      <family val="3"/>
    </font>
    <font>
      <sz val="1"/>
      <color indexed="8"/>
      <name val="Courier"/>
      <family val="3"/>
    </font>
    <font>
      <sz val="14"/>
      <name val="Arial"/>
      <family val="2"/>
    </font>
    <font>
      <b/>
      <sz val="10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2"/>
      <name val="BERNHARD"/>
    </font>
    <font>
      <sz val="10"/>
      <name val="BERNHARD"/>
    </font>
    <font>
      <sz val="10"/>
      <name val="Helv"/>
    </font>
    <font>
      <sz val="10"/>
      <name val="MS Serif"/>
      <family val="1"/>
    </font>
    <font>
      <sz val="10"/>
      <name val="Courier"/>
      <family val="3"/>
    </font>
    <font>
      <b/>
      <sz val="11"/>
      <color indexed="56"/>
      <name val="Calibri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2"/>
      <name val="Helv"/>
    </font>
    <font>
      <sz val="12"/>
      <color indexed="9"/>
      <name val="Helv"/>
    </font>
    <font>
      <sz val="11"/>
      <color indexed="60"/>
      <name val="Calibri"/>
      <family val="2"/>
    </font>
    <font>
      <sz val="11"/>
      <name val="‚l‚r –¾’©"/>
      <charset val="128"/>
    </font>
    <font>
      <sz val="1"/>
      <color indexed="16"/>
      <name val="Courier"/>
      <family val="3"/>
    </font>
    <font>
      <sz val="10"/>
      <name val="MS Sans Serif"/>
      <family val="2"/>
    </font>
    <font>
      <sz val="1"/>
      <color indexed="8"/>
      <name val="Courier"/>
      <family val="3"/>
    </font>
    <font>
      <sz val="1"/>
      <color indexed="8"/>
      <name val="Courier"/>
      <family val="3"/>
    </font>
    <font>
      <sz val="1"/>
      <color indexed="8"/>
      <name val="Courier New"/>
      <family val="3"/>
    </font>
    <font>
      <sz val="8"/>
      <name val="Helv"/>
    </font>
    <font>
      <b/>
      <sz val="11"/>
      <color indexed="63"/>
      <name val="Calibri"/>
      <family val="2"/>
    </font>
    <font>
      <b/>
      <sz val="8"/>
      <color indexed="8"/>
      <name val="Helv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b/>
      <sz val="24"/>
      <name val="Arial"/>
      <family val="2"/>
    </font>
    <font>
      <sz val="12"/>
      <name val="Times New Roman"/>
      <family val="1"/>
    </font>
    <font>
      <sz val="14"/>
      <name val="Times New Roman"/>
      <family val="1"/>
    </font>
    <font>
      <sz val="12"/>
      <color indexed="8"/>
      <name val="Arial"/>
      <family val="2"/>
    </font>
    <font>
      <sz val="8"/>
      <name val="Times New Roman"/>
      <family val="1"/>
    </font>
    <font>
      <sz val="17"/>
      <name val="Times New Roman"/>
      <family val="1"/>
    </font>
    <font>
      <sz val="10"/>
      <name val="Times New Roman"/>
      <family val="1"/>
    </font>
    <font>
      <b/>
      <sz val="7"/>
      <name val="Arial"/>
      <family val="2"/>
    </font>
    <font>
      <b/>
      <sz val="11"/>
      <name val="Arial Narrow"/>
      <family val="2"/>
    </font>
    <font>
      <sz val="10"/>
      <color indexed="9"/>
      <name val="Arial"/>
      <family val="2"/>
    </font>
    <font>
      <b/>
      <u/>
      <sz val="10"/>
      <name val="Arial"/>
      <family val="2"/>
    </font>
    <font>
      <i/>
      <sz val="11"/>
      <name val="Arial"/>
      <family val="2"/>
    </font>
    <font>
      <i/>
      <sz val="9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0"/>
      <color rgb="FFFF0000"/>
      <name val="Arial"/>
      <family val="2"/>
    </font>
    <font>
      <b/>
      <sz val="10"/>
      <color theme="4" tint="-0.499984740745262"/>
      <name val="Arial"/>
      <family val="2"/>
    </font>
    <font>
      <sz val="9"/>
      <color theme="4" tint="-0.499984740745262"/>
      <name val="Arial"/>
      <family val="2"/>
    </font>
    <font>
      <b/>
      <sz val="9"/>
      <color theme="4" tint="-0.499984740745262"/>
      <name val="Arial"/>
      <family val="2"/>
    </font>
    <font>
      <b/>
      <sz val="13"/>
      <name val="Arial"/>
      <family val="2"/>
    </font>
    <font>
      <b/>
      <sz val="16"/>
      <color rgb="FF0000FF"/>
      <name val="Arial"/>
      <family val="2"/>
    </font>
    <font>
      <sz val="11"/>
      <color indexed="9"/>
      <name val="Arial"/>
      <family val="2"/>
    </font>
    <font>
      <sz val="11"/>
      <color theme="0" tint="-0.14999847407452621"/>
      <name val="Arial"/>
      <family val="2"/>
    </font>
    <font>
      <sz val="10"/>
      <color indexed="17"/>
      <name val="Arial"/>
      <family val="2"/>
    </font>
    <font>
      <sz val="14"/>
      <color theme="0"/>
      <name val="Arial"/>
      <family val="2"/>
    </font>
    <font>
      <b/>
      <sz val="9"/>
      <name val="Arial Narrow"/>
      <family val="2"/>
    </font>
    <font>
      <i/>
      <sz val="11"/>
      <name val="Arial Narrow"/>
      <family val="2"/>
    </font>
    <font>
      <sz val="10"/>
      <name val="Arial Narrow"/>
      <family val="2"/>
    </font>
    <font>
      <b/>
      <u/>
      <sz val="10"/>
      <name val="Arial Narrow"/>
      <family val="2"/>
    </font>
    <font>
      <sz val="1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sz val="13"/>
      <name val="Arial Narrow"/>
      <family val="2"/>
    </font>
    <font>
      <sz val="8"/>
      <color indexed="10"/>
      <name val="Arial"/>
      <family val="2"/>
    </font>
    <font>
      <b/>
      <i/>
      <sz val="11"/>
      <name val="Arial Narrow"/>
      <family val="2"/>
    </font>
    <font>
      <b/>
      <i/>
      <sz val="11"/>
      <name val="Arial"/>
      <family val="2"/>
    </font>
    <font>
      <sz val="12"/>
      <color theme="0"/>
      <name val="Arial"/>
      <family val="2"/>
    </font>
    <font>
      <sz val="10"/>
      <name val="Times New Roman"/>
      <family val="1"/>
    </font>
    <font>
      <b/>
      <sz val="10"/>
      <color indexed="48"/>
      <name val="Arial"/>
      <family val="2"/>
    </font>
    <font>
      <sz val="10"/>
      <color indexed="8"/>
      <name val="Arial"/>
      <family val="2"/>
    </font>
    <font>
      <b/>
      <sz val="11"/>
      <color rgb="FF0000FF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sz val="9"/>
      <color rgb="FF000000"/>
      <name val="Arial Narrow"/>
      <family val="2"/>
    </font>
    <font>
      <sz val="10"/>
      <color rgb="FF000000"/>
      <name val="Arial"/>
      <family val="2"/>
    </font>
    <font>
      <b/>
      <sz val="10"/>
      <color rgb="FF0000FF"/>
      <name val="Arial Narrow"/>
      <family val="2"/>
    </font>
    <font>
      <b/>
      <u/>
      <sz val="11"/>
      <name val="Arial Narrow"/>
      <family val="2"/>
    </font>
    <font>
      <b/>
      <u/>
      <sz val="14"/>
      <name val="Arial Narrow"/>
      <family val="2"/>
    </font>
    <font>
      <sz val="11"/>
      <color rgb="FF000000"/>
      <name val="Arial Narrow"/>
      <family val="2"/>
    </font>
    <font>
      <sz val="11"/>
      <color rgb="FF0000FF"/>
      <name val="Arial Narrow"/>
      <family val="2"/>
    </font>
    <font>
      <sz val="11"/>
      <color rgb="FFFF0000"/>
      <name val="Arial Narrow"/>
      <family val="2"/>
    </font>
    <font>
      <b/>
      <sz val="10"/>
      <name val="Times New Roman"/>
      <family val="1"/>
    </font>
    <font>
      <b/>
      <sz val="8"/>
      <name val="Arial Narrow"/>
      <family val="2"/>
    </font>
    <font>
      <sz val="8"/>
      <name val="Arial Narrow"/>
      <family val="2"/>
    </font>
    <font>
      <b/>
      <sz val="12"/>
      <color theme="1"/>
      <name val="Arial"/>
      <family val="2"/>
    </font>
    <font>
      <b/>
      <sz val="10"/>
      <color theme="1"/>
      <name val="Arial"/>
      <family val="2"/>
    </font>
    <font>
      <sz val="11"/>
      <color indexed="17"/>
      <name val="Calibri"/>
      <family val="2"/>
    </font>
    <font>
      <b/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15"/>
      <color indexed="56"/>
      <name val="Calibri"/>
      <family val="2"/>
    </font>
    <font>
      <b/>
      <sz val="9"/>
      <color rgb="FFFF0000"/>
      <name val="Arial"/>
      <family val="2"/>
    </font>
    <font>
      <sz val="7"/>
      <name val="Arial"/>
      <family val="2"/>
    </font>
    <font>
      <sz val="9"/>
      <color theme="1"/>
      <name val="Arial"/>
      <family val="2"/>
    </font>
    <font>
      <b/>
      <sz val="11"/>
      <color rgb="FFFF0000"/>
      <name val="Arial Narrow"/>
      <family val="2"/>
    </font>
    <font>
      <sz val="10"/>
      <color rgb="FFFF0000"/>
      <name val="Arial Narrow"/>
      <family val="2"/>
    </font>
    <font>
      <sz val="10"/>
      <color rgb="FF0070C0"/>
      <name val="Arial Narrow"/>
      <family val="2"/>
    </font>
    <font>
      <sz val="10"/>
      <color rgb="FFFF0000"/>
      <name val="Arial"/>
      <family val="2"/>
    </font>
    <font>
      <b/>
      <sz val="10"/>
      <color rgb="FF0000CC"/>
      <name val="Arial"/>
      <family val="2"/>
    </font>
    <font>
      <sz val="10"/>
      <color rgb="FF0070C0"/>
      <name val="Arial"/>
      <family val="2"/>
    </font>
    <font>
      <sz val="10"/>
      <color theme="1"/>
      <name val="Arial"/>
      <family val="2"/>
    </font>
    <font>
      <u/>
      <sz val="10"/>
      <name val="Arial"/>
      <family val="2"/>
    </font>
    <font>
      <b/>
      <u/>
      <sz val="14"/>
      <name val="Times New Roman"/>
      <family val="1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</fills>
  <borders count="15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8"/>
      </right>
      <top style="hair">
        <color indexed="64"/>
      </top>
      <bottom style="hair">
        <color indexed="64"/>
      </bottom>
      <diagonal/>
    </border>
    <border>
      <left style="thin">
        <color indexed="8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353">
    <xf numFmtId="0" fontId="0" fillId="0" borderId="0"/>
    <xf numFmtId="0" fontId="0" fillId="0" borderId="0"/>
    <xf numFmtId="0" fontId="39" fillId="2" borderId="0" applyNumberFormat="0" applyBorder="0" applyAlignment="0" applyProtection="0"/>
    <xf numFmtId="0" fontId="39" fillId="3" borderId="0" applyNumberFormat="0" applyBorder="0" applyAlignment="0" applyProtection="0"/>
    <xf numFmtId="0" fontId="39" fillId="4" borderId="0" applyNumberFormat="0" applyBorder="0" applyAlignment="0" applyProtection="0"/>
    <xf numFmtId="0" fontId="39" fillId="5" borderId="0" applyNumberFormat="0" applyBorder="0" applyAlignment="0" applyProtection="0"/>
    <xf numFmtId="0" fontId="39" fillId="6" borderId="0" applyNumberFormat="0" applyBorder="0" applyAlignment="0" applyProtection="0"/>
    <xf numFmtId="0" fontId="39" fillId="7" borderId="0" applyNumberFormat="0" applyBorder="0" applyAlignment="0" applyProtection="0"/>
    <xf numFmtId="0" fontId="39" fillId="8" borderId="0" applyNumberFormat="0" applyBorder="0" applyAlignment="0" applyProtection="0"/>
    <xf numFmtId="0" fontId="39" fillId="9" borderId="0" applyNumberFormat="0" applyBorder="0" applyAlignment="0" applyProtection="0"/>
    <xf numFmtId="0" fontId="39" fillId="10" borderId="0" applyNumberFormat="0" applyBorder="0" applyAlignment="0" applyProtection="0"/>
    <xf numFmtId="0" fontId="39" fillId="5" borderId="0" applyNumberFormat="0" applyBorder="0" applyAlignment="0" applyProtection="0"/>
    <xf numFmtId="0" fontId="39" fillId="8" borderId="0" applyNumberFormat="0" applyBorder="0" applyAlignment="0" applyProtection="0"/>
    <xf numFmtId="0" fontId="39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9" borderId="0" applyNumberFormat="0" applyBorder="0" applyAlignment="0" applyProtection="0"/>
    <xf numFmtId="0" fontId="40" fillId="10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15" borderId="0" applyNumberFormat="0" applyBorder="0" applyAlignment="0" applyProtection="0"/>
    <xf numFmtId="0" fontId="4" fillId="0" borderId="0">
      <alignment horizontal="center" wrapText="1"/>
      <protection locked="0"/>
    </xf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3" fillId="0" borderId="0" applyProtection="0"/>
    <xf numFmtId="0" fontId="3" fillId="0" borderId="0" applyProtection="0"/>
    <xf numFmtId="0" fontId="33" fillId="0" borderId="0" applyProtection="0"/>
    <xf numFmtId="0" fontId="6" fillId="0" borderId="0" applyFill="0" applyBorder="0" applyAlignment="0"/>
    <xf numFmtId="0" fontId="41" fillId="16" borderId="1" applyNumberFormat="0" applyAlignment="0" applyProtection="0"/>
    <xf numFmtId="0" fontId="77" fillId="0" borderId="0"/>
    <xf numFmtId="0" fontId="33" fillId="0" borderId="0"/>
    <xf numFmtId="0" fontId="33" fillId="0" borderId="0"/>
    <xf numFmtId="0" fontId="3" fillId="0" borderId="0"/>
    <xf numFmtId="0" fontId="42" fillId="17" borderId="2" applyNumberFormat="0" applyAlignment="0" applyProtection="0"/>
    <xf numFmtId="0" fontId="43" fillId="0" borderId="3" applyNumberFormat="0" applyFill="0" applyAlignment="0" applyProtection="0"/>
    <xf numFmtId="0" fontId="44" fillId="0" borderId="0"/>
    <xf numFmtId="0" fontId="45" fillId="0" borderId="0"/>
    <xf numFmtId="0" fontId="46" fillId="0" borderId="0"/>
    <xf numFmtId="0" fontId="45" fillId="0" borderId="0"/>
    <xf numFmtId="0" fontId="46" fillId="0" borderId="0"/>
    <xf numFmtId="0" fontId="47" fillId="0" borderId="0" applyNumberFormat="0" applyAlignment="0">
      <alignment horizontal="left"/>
    </xf>
    <xf numFmtId="0" fontId="48" fillId="0" borderId="0" applyNumberFormat="0" applyAlignment="0"/>
    <xf numFmtId="179" fontId="35" fillId="0" borderId="0">
      <protection locked="0"/>
    </xf>
    <xf numFmtId="179" fontId="35" fillId="0" borderId="0">
      <protection locked="0"/>
    </xf>
    <xf numFmtId="0" fontId="21" fillId="0" borderId="0" applyProtection="0"/>
    <xf numFmtId="0" fontId="22" fillId="0" borderId="0" applyProtection="0"/>
    <xf numFmtId="0" fontId="5" fillId="0" borderId="0" applyProtection="0"/>
    <xf numFmtId="0" fontId="49" fillId="0" borderId="0" applyNumberFormat="0" applyFill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0" fillId="20" borderId="0" applyNumberFormat="0" applyBorder="0" applyAlignment="0" applyProtection="0"/>
    <xf numFmtId="0" fontId="40" fillId="13" borderId="0" applyNumberFormat="0" applyBorder="0" applyAlignment="0" applyProtection="0"/>
    <xf numFmtId="0" fontId="40" fillId="14" borderId="0" applyNumberFormat="0" applyBorder="0" applyAlignment="0" applyProtection="0"/>
    <xf numFmtId="0" fontId="40" fillId="21" borderId="0" applyNumberFormat="0" applyBorder="0" applyAlignment="0" applyProtection="0"/>
    <xf numFmtId="0" fontId="50" fillId="0" borderId="0" applyNumberFormat="0" applyAlignment="0">
      <alignment horizontal="left"/>
    </xf>
    <xf numFmtId="0" fontId="51" fillId="7" borderId="1" applyNumberFormat="0" applyAlignment="0" applyProtection="0"/>
    <xf numFmtId="0" fontId="20" fillId="22" borderId="4">
      <alignment horizontal="center"/>
    </xf>
    <xf numFmtId="178" fontId="3" fillId="0" borderId="0" applyFont="0" applyFill="0" applyBorder="0" applyAlignment="0" applyProtection="0"/>
    <xf numFmtId="0" fontId="21" fillId="0" borderId="0" applyProtection="0"/>
    <xf numFmtId="0" fontId="33" fillId="0" borderId="0"/>
    <xf numFmtId="0" fontId="14" fillId="0" borderId="0" applyProtection="0"/>
    <xf numFmtId="0" fontId="21" fillId="0" borderId="0" applyProtection="0"/>
    <xf numFmtId="0" fontId="33" fillId="0" borderId="0"/>
    <xf numFmtId="0" fontId="14" fillId="0" borderId="0" applyProtection="0"/>
    <xf numFmtId="0" fontId="21" fillId="0" borderId="0" applyProtection="0"/>
    <xf numFmtId="0" fontId="33" fillId="0" borderId="0"/>
    <xf numFmtId="0" fontId="14" fillId="0" borderId="0" applyProtection="0"/>
    <xf numFmtId="0" fontId="21" fillId="0" borderId="0" applyProtection="0"/>
    <xf numFmtId="0" fontId="33" fillId="0" borderId="0"/>
    <xf numFmtId="0" fontId="14" fillId="0" borderId="0" applyProtection="0"/>
    <xf numFmtId="0" fontId="21" fillId="0" borderId="0" applyProtection="0"/>
    <xf numFmtId="0" fontId="33" fillId="0" borderId="0"/>
    <xf numFmtId="0" fontId="14" fillId="0" borderId="0" applyProtection="0"/>
    <xf numFmtId="0" fontId="21" fillId="0" borderId="0" applyProtection="0"/>
    <xf numFmtId="0" fontId="33" fillId="0" borderId="0"/>
    <xf numFmtId="0" fontId="14" fillId="0" borderId="0" applyProtection="0"/>
    <xf numFmtId="0" fontId="21" fillId="0" borderId="0" applyProtection="0"/>
    <xf numFmtId="2" fontId="21" fillId="0" borderId="0" applyProtection="0"/>
    <xf numFmtId="4" fontId="21" fillId="0" borderId="0" applyProtection="0"/>
    <xf numFmtId="179" fontId="35" fillId="0" borderId="0">
      <protection locked="0"/>
    </xf>
    <xf numFmtId="38" fontId="7" fillId="23" borderId="0" applyNumberFormat="0" applyBorder="0" applyAlignment="0" applyProtection="0"/>
    <xf numFmtId="0" fontId="15" fillId="0" borderId="5" applyNumberFormat="0" applyAlignment="0" applyProtection="0">
      <alignment horizontal="left" vertical="center"/>
    </xf>
    <xf numFmtId="0" fontId="15" fillId="0" borderId="6">
      <alignment horizontal="left" vertical="center"/>
    </xf>
    <xf numFmtId="179" fontId="35" fillId="0" borderId="0">
      <protection locked="0"/>
    </xf>
    <xf numFmtId="179" fontId="35" fillId="0" borderId="0">
      <protection locked="0"/>
    </xf>
    <xf numFmtId="0" fontId="52" fillId="3" borderId="0" applyNumberFormat="0" applyBorder="0" applyAlignment="0" applyProtection="0"/>
    <xf numFmtId="10" fontId="7" fillId="24" borderId="7" applyNumberFormat="0" applyBorder="0" applyAlignment="0" applyProtection="0"/>
    <xf numFmtId="181" fontId="53" fillId="25" borderId="0"/>
    <xf numFmtId="181" fontId="54" fillId="26" borderId="0"/>
    <xf numFmtId="169" fontId="9" fillId="0" borderId="0" applyFont="0" applyFill="0" applyBorder="0" applyAlignment="0" applyProtection="0"/>
    <xf numFmtId="188" fontId="9" fillId="0" borderId="0" applyFont="0" applyFill="0" applyBorder="0" applyAlignment="0" applyProtection="0"/>
    <xf numFmtId="183" fontId="6" fillId="0" borderId="0" applyFont="0" applyFill="0" applyBorder="0" applyAlignment="0" applyProtection="0"/>
    <xf numFmtId="185" fontId="6" fillId="0" borderId="0" applyFont="0" applyFill="0" applyBorder="0" applyAlignment="0" applyProtection="0"/>
    <xf numFmtId="182" fontId="6" fillId="0" borderId="0" applyFont="0" applyFill="0" applyBorder="0" applyAlignment="0" applyProtection="0"/>
    <xf numFmtId="184" fontId="6" fillId="0" borderId="0" applyFont="0" applyFill="0" applyBorder="0" applyAlignment="0" applyProtection="0"/>
    <xf numFmtId="174" fontId="21" fillId="0" borderId="0" applyProtection="0"/>
    <xf numFmtId="0" fontId="55" fillId="27" borderId="0" applyNumberFormat="0" applyBorder="0" applyAlignment="0" applyProtection="0"/>
    <xf numFmtId="171" fontId="6" fillId="0" borderId="0"/>
    <xf numFmtId="0" fontId="6" fillId="0" borderId="0"/>
    <xf numFmtId="0" fontId="33" fillId="0" borderId="0"/>
    <xf numFmtId="0" fontId="9" fillId="0" borderId="0"/>
    <xf numFmtId="0" fontId="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7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3" fillId="28" borderId="8" applyNumberFormat="0" applyFont="0" applyAlignment="0" applyProtection="0"/>
    <xf numFmtId="40" fontId="56" fillId="0" borderId="0" applyFont="0" applyFill="0" applyBorder="0" applyAlignment="0" applyProtection="0"/>
    <xf numFmtId="38" fontId="56" fillId="0" borderId="0" applyFont="0" applyFill="0" applyBorder="0" applyAlignment="0" applyProtection="0"/>
    <xf numFmtId="14" fontId="4" fillId="0" borderId="0">
      <alignment horizontal="center" wrapText="1"/>
      <protection locked="0"/>
    </xf>
    <xf numFmtId="10" fontId="6" fillId="0" borderId="0" applyFont="0" applyFill="0" applyBorder="0" applyAlignment="0" applyProtection="0"/>
    <xf numFmtId="179" fontId="57" fillId="0" borderId="0">
      <protection locked="0"/>
    </xf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166" fontId="6" fillId="0" borderId="0"/>
    <xf numFmtId="0" fontId="58" fillId="0" borderId="0" applyNumberFormat="0" applyFont="0" applyFill="0" applyBorder="0" applyAlignment="0" applyProtection="0">
      <alignment horizontal="left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60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61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60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60" fillId="0" borderId="0">
      <protection locked="0"/>
    </xf>
    <xf numFmtId="0" fontId="36" fillId="0" borderId="0">
      <protection locked="0"/>
    </xf>
    <xf numFmtId="0" fontId="60" fillId="0" borderId="0">
      <protection locked="0"/>
    </xf>
    <xf numFmtId="0" fontId="36" fillId="0" borderId="0">
      <protection locked="0"/>
    </xf>
    <xf numFmtId="0" fontId="60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60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61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59" fillId="0" borderId="0">
      <protection locked="0"/>
    </xf>
    <xf numFmtId="0" fontId="36" fillId="0" borderId="0">
      <protection locked="0"/>
    </xf>
    <xf numFmtId="0" fontId="60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168" fontId="6" fillId="0" borderId="0" applyNumberFormat="0" applyFill="0" applyBorder="0" applyAlignment="0" applyProtection="0">
      <alignment horizontal="left"/>
    </xf>
    <xf numFmtId="38" fontId="62" fillId="0" borderId="0"/>
    <xf numFmtId="0" fontId="63" fillId="16" borderId="9" applyNumberFormat="0" applyAlignment="0" applyProtection="0"/>
    <xf numFmtId="40" fontId="64" fillId="0" borderId="0" applyBorder="0">
      <alignment horizontal="right"/>
    </xf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10" applyNumberFormat="0" applyFill="0" applyAlignment="0" applyProtection="0"/>
    <xf numFmtId="0" fontId="49" fillId="0" borderId="11" applyNumberFormat="0" applyFill="0" applyAlignment="0" applyProtection="0"/>
    <xf numFmtId="0" fontId="21" fillId="0" borderId="12" applyProtection="0"/>
    <xf numFmtId="0" fontId="3" fillId="0" borderId="0"/>
    <xf numFmtId="0" fontId="2" fillId="0" borderId="0"/>
    <xf numFmtId="0" fontId="6" fillId="0" borderId="0"/>
    <xf numFmtId="9" fontId="3" fillId="0" borderId="0" applyFont="0" applyFill="0" applyBorder="0" applyAlignment="0" applyProtection="0"/>
    <xf numFmtId="0" fontId="1" fillId="0" borderId="0"/>
    <xf numFmtId="0" fontId="6" fillId="0" borderId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 applyProtection="0"/>
    <xf numFmtId="0" fontId="3" fillId="0" borderId="0"/>
    <xf numFmtId="0" fontId="14" fillId="0" borderId="0" applyProtection="0"/>
    <xf numFmtId="0" fontId="14" fillId="0" borderId="0" applyProtection="0"/>
    <xf numFmtId="0" fontId="3" fillId="0" borderId="0"/>
    <xf numFmtId="0" fontId="14" fillId="0" borderId="0" applyProtection="0"/>
    <xf numFmtId="0" fontId="3" fillId="0" borderId="0"/>
    <xf numFmtId="0" fontId="14" fillId="0" borderId="0" applyProtection="0"/>
    <xf numFmtId="0" fontId="3" fillId="0" borderId="0"/>
    <xf numFmtId="0" fontId="14" fillId="0" borderId="0" applyProtection="0"/>
    <xf numFmtId="0" fontId="3" fillId="0" borderId="0"/>
    <xf numFmtId="0" fontId="14" fillId="0" borderId="0" applyProtection="0"/>
    <xf numFmtId="0" fontId="3" fillId="0" borderId="0"/>
    <xf numFmtId="0" fontId="14" fillId="0" borderId="0" applyProtection="0"/>
    <xf numFmtId="0" fontId="3" fillId="0" borderId="0"/>
    <xf numFmtId="0" fontId="14" fillId="0" borderId="0" applyProtection="0"/>
    <xf numFmtId="2" fontId="14" fillId="0" borderId="0" applyProtection="0"/>
    <xf numFmtId="4" fontId="14" fillId="0" borderId="0" applyProtection="0"/>
    <xf numFmtId="0" fontId="5" fillId="0" borderId="5" applyNumberFormat="0" applyAlignment="0" applyProtection="0">
      <alignment horizontal="left" vertical="center"/>
    </xf>
    <xf numFmtId="0" fontId="5" fillId="0" borderId="6">
      <alignment horizontal="left" vertical="center"/>
    </xf>
    <xf numFmtId="188" fontId="6" fillId="0" borderId="0" applyFont="0" applyFill="0" applyBorder="0" applyAlignment="0" applyProtection="0"/>
    <xf numFmtId="0" fontId="14" fillId="0" borderId="0" applyProtection="0"/>
    <xf numFmtId="174" fontId="14" fillId="0" borderId="0" applyProtection="0"/>
    <xf numFmtId="0" fontId="14" fillId="0" borderId="0" applyProtection="0"/>
    <xf numFmtId="0" fontId="3" fillId="0" borderId="0"/>
    <xf numFmtId="0" fontId="1" fillId="0" borderId="0"/>
    <xf numFmtId="0" fontId="6" fillId="0" borderId="0"/>
    <xf numFmtId="0" fontId="14" fillId="0" borderId="0" applyProtection="0"/>
    <xf numFmtId="0" fontId="14" fillId="0" borderId="0" applyProtection="0"/>
    <xf numFmtId="0" fontId="14" fillId="0" borderId="0" applyProtection="0"/>
    <xf numFmtId="0" fontId="14" fillId="0" borderId="0" applyProtection="0"/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6" fillId="0" borderId="0"/>
    <xf numFmtId="0" fontId="6" fillId="0" borderId="0"/>
    <xf numFmtId="0" fontId="14" fillId="0" borderId="0"/>
    <xf numFmtId="0" fontId="103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165" fontId="111" fillId="0" borderId="0" applyFont="0" applyFill="0" applyBorder="0" applyAlignment="0" applyProtection="0"/>
    <xf numFmtId="164" fontId="111" fillId="0" borderId="0" applyFont="0" applyFill="0" applyBorder="0" applyAlignment="0" applyProtection="0"/>
    <xf numFmtId="0" fontId="6" fillId="0" borderId="0"/>
    <xf numFmtId="0" fontId="131" fillId="4" borderId="0" applyNumberFormat="0" applyBorder="0" applyAlignment="0" applyProtection="0"/>
    <xf numFmtId="220" fontId="6" fillId="0" borderId="0">
      <protection locked="0"/>
    </xf>
    <xf numFmtId="220" fontId="6" fillId="0" borderId="0">
      <protection locked="0"/>
    </xf>
    <xf numFmtId="220" fontId="6" fillId="0" borderId="0">
      <protection locked="0"/>
    </xf>
    <xf numFmtId="0" fontId="36" fillId="0" borderId="0">
      <protection locked="0"/>
    </xf>
    <xf numFmtId="0" fontId="132" fillId="0" borderId="0">
      <protection locked="0"/>
    </xf>
    <xf numFmtId="0" fontId="132" fillId="0" borderId="0">
      <protection locked="0"/>
    </xf>
    <xf numFmtId="216" fontId="6" fillId="0" borderId="0" applyFont="0" applyFill="0" applyBorder="0" applyAlignment="0" applyProtection="0"/>
    <xf numFmtId="0" fontId="36" fillId="0" borderId="0">
      <protection locked="0"/>
    </xf>
    <xf numFmtId="0" fontId="36" fillId="0" borderId="0">
      <protection locked="0"/>
    </xf>
    <xf numFmtId="0" fontId="133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133" fillId="0" borderId="0">
      <protection locked="0"/>
    </xf>
    <xf numFmtId="219" fontId="36" fillId="0" borderId="0">
      <protection locked="0"/>
    </xf>
    <xf numFmtId="217" fontId="36" fillId="0" borderId="0">
      <protection locked="0"/>
    </xf>
    <xf numFmtId="220" fontId="6" fillId="0" borderId="0">
      <protection locked="0"/>
    </xf>
    <xf numFmtId="220" fontId="6" fillId="0" borderId="0">
      <protection locked="0"/>
    </xf>
    <xf numFmtId="220" fontId="6" fillId="0" borderId="0">
      <protection locked="0"/>
    </xf>
    <xf numFmtId="167" fontId="6" fillId="0" borderId="0" applyFont="0" applyFill="0" applyBorder="0" applyAlignment="0" applyProtection="0"/>
    <xf numFmtId="218" fontId="36" fillId="0" borderId="0">
      <protection locked="0"/>
    </xf>
    <xf numFmtId="0" fontId="6" fillId="28" borderId="8" applyNumberFormat="0" applyFont="0" applyAlignment="0" applyProtection="0"/>
    <xf numFmtId="220" fontId="6" fillId="0" borderId="0">
      <protection locked="0"/>
    </xf>
    <xf numFmtId="0" fontId="36" fillId="0" borderId="0">
      <protection locked="0"/>
    </xf>
    <xf numFmtId="0" fontId="134" fillId="0" borderId="128" applyNumberFormat="0" applyFill="0" applyAlignment="0" applyProtection="0"/>
    <xf numFmtId="0" fontId="36" fillId="0" borderId="12">
      <protection locked="0"/>
    </xf>
    <xf numFmtId="0" fontId="6" fillId="0" borderId="0"/>
    <xf numFmtId="0" fontId="6" fillId="0" borderId="0"/>
    <xf numFmtId="220" fontId="6" fillId="0" borderId="0">
      <protection locked="0"/>
    </xf>
    <xf numFmtId="220" fontId="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133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219" fontId="36" fillId="0" borderId="0">
      <protection locked="0"/>
    </xf>
    <xf numFmtId="217" fontId="36" fillId="0" borderId="0">
      <protection locked="0"/>
    </xf>
    <xf numFmtId="167" fontId="6" fillId="0" borderId="0" applyFont="0" applyFill="0" applyBorder="0" applyAlignment="0" applyProtection="0"/>
    <xf numFmtId="218" fontId="36" fillId="0" borderId="0">
      <protection locked="0"/>
    </xf>
    <xf numFmtId="220" fontId="6" fillId="0" borderId="0">
      <protection locked="0"/>
    </xf>
    <xf numFmtId="220" fontId="6" fillId="0" borderId="0">
      <protection locked="0"/>
    </xf>
    <xf numFmtId="220" fontId="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133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0" fontId="36" fillId="0" borderId="0">
      <protection locked="0"/>
    </xf>
    <xf numFmtId="219" fontId="36" fillId="0" borderId="0">
      <protection locked="0"/>
    </xf>
    <xf numFmtId="217" fontId="36" fillId="0" borderId="0">
      <protection locked="0"/>
    </xf>
    <xf numFmtId="167" fontId="6" fillId="0" borderId="0" applyFont="0" applyFill="0" applyBorder="0" applyAlignment="0" applyProtection="0"/>
    <xf numFmtId="218" fontId="36" fillId="0" borderId="0">
      <protection locked="0"/>
    </xf>
    <xf numFmtId="220" fontId="6" fillId="0" borderId="0">
      <protection locked="0"/>
    </xf>
  </cellStyleXfs>
  <cellXfs count="2099">
    <xf numFmtId="0" fontId="0" fillId="0" borderId="0" xfId="0"/>
    <xf numFmtId="4" fontId="13" fillId="0" borderId="0" xfId="37" applyNumberFormat="1" applyFont="1" applyAlignment="1">
      <alignment horizontal="center" vertical="center"/>
    </xf>
    <xf numFmtId="0" fontId="16" fillId="0" borderId="0" xfId="127" applyNumberFormat="1" applyFont="1" applyFill="1" applyBorder="1" applyAlignment="1">
      <alignment horizontal="center" vertical="center"/>
    </xf>
    <xf numFmtId="0" fontId="13" fillId="0" borderId="0" xfId="112" quotePrefix="1" applyFont="1" applyAlignment="1">
      <alignment horizontal="center" vertical="center"/>
    </xf>
    <xf numFmtId="0" fontId="11" fillId="23" borderId="43" xfId="112" applyFont="1" applyFill="1" applyBorder="1" applyAlignment="1">
      <alignment horizontal="center" vertical="center" wrapText="1"/>
    </xf>
    <xf numFmtId="0" fontId="69" fillId="0" borderId="0" xfId="114" applyFont="1" applyAlignment="1">
      <alignment vertical="center"/>
    </xf>
    <xf numFmtId="0" fontId="69" fillId="0" borderId="0" xfId="114" applyFont="1" applyAlignment="1">
      <alignment horizontal="center" vertical="center"/>
    </xf>
    <xf numFmtId="0" fontId="8" fillId="0" borderId="0" xfId="114" applyFont="1" applyAlignment="1">
      <alignment horizontal="center" vertical="center"/>
    </xf>
    <xf numFmtId="0" fontId="8" fillId="0" borderId="0" xfId="114" applyFont="1" applyAlignment="1">
      <alignment vertical="center"/>
    </xf>
    <xf numFmtId="0" fontId="70" fillId="23" borderId="20" xfId="114" applyFont="1" applyFill="1" applyBorder="1" applyAlignment="1">
      <alignment horizontal="centerContinuous" vertical="center"/>
    </xf>
    <xf numFmtId="0" fontId="70" fillId="23" borderId="56" xfId="114" applyFont="1" applyFill="1" applyBorder="1" applyAlignment="1">
      <alignment horizontal="center" vertical="center"/>
    </xf>
    <xf numFmtId="0" fontId="70" fillId="23" borderId="18" xfId="114" applyFont="1" applyFill="1" applyBorder="1" applyAlignment="1">
      <alignment horizontal="center" vertical="center"/>
    </xf>
    <xf numFmtId="0" fontId="69" fillId="23" borderId="26" xfId="114" applyFont="1" applyFill="1" applyBorder="1" applyAlignment="1">
      <alignment vertical="center"/>
    </xf>
    <xf numFmtId="0" fontId="70" fillId="23" borderId="42" xfId="114" applyFont="1" applyFill="1" applyBorder="1" applyAlignment="1">
      <alignment horizontal="center" vertical="center"/>
    </xf>
    <xf numFmtId="0" fontId="70" fillId="23" borderId="34" xfId="114" applyFont="1" applyFill="1" applyBorder="1" applyAlignment="1">
      <alignment horizontal="center" vertical="center"/>
    </xf>
    <xf numFmtId="0" fontId="69" fillId="0" borderId="13" xfId="114" applyFont="1" applyBorder="1" applyAlignment="1">
      <alignment vertical="center"/>
    </xf>
    <xf numFmtId="0" fontId="69" fillId="0" borderId="41" xfId="114" applyFont="1" applyBorder="1" applyAlignment="1">
      <alignment horizontal="center" vertical="center"/>
    </xf>
    <xf numFmtId="0" fontId="69" fillId="0" borderId="26" xfId="114" applyFont="1" applyBorder="1" applyAlignment="1">
      <alignment vertical="center"/>
    </xf>
    <xf numFmtId="0" fontId="69" fillId="0" borderId="42" xfId="114" applyFont="1" applyBorder="1" applyAlignment="1">
      <alignment horizontal="center" vertical="center"/>
    </xf>
    <xf numFmtId="0" fontId="70" fillId="0" borderId="29" xfId="114" applyFont="1" applyBorder="1" applyAlignment="1">
      <alignment horizontal="right" vertical="center"/>
    </xf>
    <xf numFmtId="0" fontId="69" fillId="0" borderId="36" xfId="114" applyFont="1" applyBorder="1" applyAlignment="1">
      <alignment vertical="center"/>
    </xf>
    <xf numFmtId="10" fontId="69" fillId="0" borderId="0" xfId="114" applyNumberFormat="1" applyFont="1" applyAlignment="1">
      <alignment vertical="center"/>
    </xf>
    <xf numFmtId="187" fontId="69" fillId="0" borderId="0" xfId="114" applyNumberFormat="1" applyFont="1" applyAlignment="1">
      <alignment vertical="center"/>
    </xf>
    <xf numFmtId="0" fontId="70" fillId="23" borderId="57" xfId="114" applyFont="1" applyFill="1" applyBorder="1" applyAlignment="1">
      <alignment horizontal="center" vertical="center"/>
    </xf>
    <xf numFmtId="10" fontId="70" fillId="23" borderId="56" xfId="114" applyNumberFormat="1" applyFont="1" applyFill="1" applyBorder="1" applyAlignment="1">
      <alignment horizontal="center" vertical="center"/>
    </xf>
    <xf numFmtId="187" fontId="70" fillId="23" borderId="56" xfId="114" applyNumberFormat="1" applyFont="1" applyFill="1" applyBorder="1" applyAlignment="1">
      <alignment horizontal="center" vertical="center"/>
    </xf>
    <xf numFmtId="0" fontId="69" fillId="23" borderId="13" xfId="114" applyFont="1" applyFill="1" applyBorder="1" applyAlignment="1">
      <alignment vertical="center"/>
    </xf>
    <xf numFmtId="10" fontId="70" fillId="23" borderId="42" xfId="114" applyNumberFormat="1" applyFont="1" applyFill="1" applyBorder="1" applyAlignment="1">
      <alignment horizontal="center" vertical="center"/>
    </xf>
    <xf numFmtId="187" fontId="70" fillId="23" borderId="59" xfId="114" applyNumberFormat="1" applyFont="1" applyFill="1" applyBorder="1" applyAlignment="1">
      <alignment horizontal="center" vertical="center"/>
    </xf>
    <xf numFmtId="0" fontId="69" fillId="0" borderId="27" xfId="114" applyFont="1" applyBorder="1" applyAlignment="1">
      <alignment vertical="center"/>
    </xf>
    <xf numFmtId="0" fontId="69" fillId="0" borderId="32" xfId="114" applyFont="1" applyBorder="1" applyAlignment="1">
      <alignment horizontal="center" vertical="center"/>
    </xf>
    <xf numFmtId="187" fontId="70" fillId="23" borderId="57" xfId="114" applyNumberFormat="1" applyFont="1" applyFill="1" applyBorder="1" applyAlignment="1">
      <alignment horizontal="center" vertical="center"/>
    </xf>
    <xf numFmtId="0" fontId="69" fillId="23" borderId="44" xfId="114" applyFont="1" applyFill="1" applyBorder="1" applyAlignment="1">
      <alignment vertical="center"/>
    </xf>
    <xf numFmtId="187" fontId="70" fillId="23" borderId="62" xfId="114" applyNumberFormat="1" applyFont="1" applyFill="1" applyBorder="1" applyAlignment="1">
      <alignment horizontal="center" vertical="center"/>
    </xf>
    <xf numFmtId="10" fontId="69" fillId="0" borderId="42" xfId="114" applyNumberFormat="1" applyFont="1" applyBorder="1" applyAlignment="1">
      <alignment horizontal="center" vertical="center"/>
    </xf>
    <xf numFmtId="0" fontId="69" fillId="0" borderId="63" xfId="114" applyFont="1" applyBorder="1" applyAlignment="1">
      <alignment horizontal="center" vertical="center"/>
    </xf>
    <xf numFmtId="187" fontId="70" fillId="23" borderId="42" xfId="114" applyNumberFormat="1" applyFont="1" applyFill="1" applyBorder="1" applyAlignment="1">
      <alignment horizontal="center" vertical="center"/>
    </xf>
    <xf numFmtId="187" fontId="38" fillId="23" borderId="42" xfId="113" applyNumberFormat="1" applyFont="1" applyFill="1" applyBorder="1" applyAlignment="1">
      <alignment horizontal="center" vertical="center"/>
    </xf>
    <xf numFmtId="10" fontId="69" fillId="0" borderId="41" xfId="114" applyNumberFormat="1" applyFont="1" applyBorder="1" applyAlignment="1">
      <alignment horizontal="center" vertical="center"/>
    </xf>
    <xf numFmtId="187" fontId="69" fillId="0" borderId="0" xfId="114" applyNumberFormat="1" applyFont="1" applyAlignment="1">
      <alignment horizontal="center" vertical="center"/>
    </xf>
    <xf numFmtId="0" fontId="16" fillId="0" borderId="22" xfId="114" applyFont="1" applyBorder="1" applyAlignment="1">
      <alignment vertical="center"/>
    </xf>
    <xf numFmtId="0" fontId="16" fillId="0" borderId="5" xfId="114" applyFont="1" applyBorder="1" applyAlignment="1">
      <alignment vertical="center"/>
    </xf>
    <xf numFmtId="0" fontId="16" fillId="0" borderId="5" xfId="114" applyFont="1" applyBorder="1" applyAlignment="1">
      <alignment horizontal="center" vertical="center"/>
    </xf>
    <xf numFmtId="10" fontId="16" fillId="0" borderId="5" xfId="114" applyNumberFormat="1" applyFont="1" applyBorder="1" applyAlignment="1">
      <alignment horizontal="center" vertical="center"/>
    </xf>
    <xf numFmtId="187" fontId="16" fillId="0" borderId="5" xfId="114" applyNumberFormat="1" applyFont="1" applyBorder="1" applyAlignment="1">
      <alignment horizontal="center" vertical="center"/>
    </xf>
    <xf numFmtId="0" fontId="70" fillId="0" borderId="0" xfId="113" applyFont="1" applyAlignment="1">
      <alignment horizontal="center" vertical="center"/>
    </xf>
    <xf numFmtId="0" fontId="70" fillId="0" borderId="0" xfId="113" applyFont="1" applyAlignment="1">
      <alignment vertical="center"/>
    </xf>
    <xf numFmtId="0" fontId="8" fillId="23" borderId="20" xfId="114" applyFont="1" applyFill="1" applyBorder="1" applyAlignment="1">
      <alignment horizontal="centerContinuous" vertical="center"/>
    </xf>
    <xf numFmtId="0" fontId="8" fillId="23" borderId="56" xfId="114" applyFont="1" applyFill="1" applyBorder="1" applyAlignment="1">
      <alignment horizontal="center" vertical="center"/>
    </xf>
    <xf numFmtId="0" fontId="8" fillId="23" borderId="18" xfId="114" applyFont="1" applyFill="1" applyBorder="1" applyAlignment="1">
      <alignment horizontal="center" vertical="center"/>
    </xf>
    <xf numFmtId="10" fontId="70" fillId="23" borderId="56" xfId="114" applyNumberFormat="1" applyFont="1" applyFill="1" applyBorder="1" applyAlignment="1">
      <alignment horizontal="left" vertical="center"/>
    </xf>
    <xf numFmtId="187" fontId="8" fillId="23" borderId="18" xfId="114" applyNumberFormat="1" applyFont="1" applyFill="1" applyBorder="1" applyAlignment="1">
      <alignment horizontal="left" vertical="center"/>
    </xf>
    <xf numFmtId="187" fontId="38" fillId="23" borderId="56" xfId="113" applyNumberFormat="1" applyFont="1" applyFill="1" applyBorder="1" applyAlignment="1">
      <alignment horizontal="left" vertical="center"/>
    </xf>
    <xf numFmtId="0" fontId="8" fillId="23" borderId="13" xfId="114" applyFont="1" applyFill="1" applyBorder="1" applyAlignment="1">
      <alignment vertical="center"/>
    </xf>
    <xf numFmtId="0" fontId="8" fillId="23" borderId="41" xfId="114" applyFont="1" applyFill="1" applyBorder="1" applyAlignment="1">
      <alignment horizontal="center" vertical="center"/>
    </xf>
    <xf numFmtId="0" fontId="8" fillId="23" borderId="62" xfId="114" applyFont="1" applyFill="1" applyBorder="1" applyAlignment="1">
      <alignment horizontal="center" vertical="center"/>
    </xf>
    <xf numFmtId="10" fontId="8" fillId="23" borderId="42" xfId="114" applyNumberFormat="1" applyFont="1" applyFill="1" applyBorder="1" applyAlignment="1">
      <alignment horizontal="center" vertical="center"/>
    </xf>
    <xf numFmtId="0" fontId="70" fillId="0" borderId="15" xfId="114" applyFont="1" applyBorder="1" applyAlignment="1">
      <alignment vertical="center"/>
    </xf>
    <xf numFmtId="0" fontId="70" fillId="0" borderId="36" xfId="114" applyFont="1" applyBorder="1" applyAlignment="1">
      <alignment vertical="center"/>
    </xf>
    <xf numFmtId="10" fontId="70" fillId="0" borderId="36" xfId="114" applyNumberFormat="1" applyFont="1" applyBorder="1" applyAlignment="1">
      <alignment vertical="center"/>
    </xf>
    <xf numFmtId="187" fontId="70" fillId="0" borderId="36" xfId="114" applyNumberFormat="1" applyFont="1" applyBorder="1" applyAlignment="1">
      <alignment vertical="center"/>
    </xf>
    <xf numFmtId="187" fontId="70" fillId="0" borderId="64" xfId="114" applyNumberFormat="1" applyFont="1" applyBorder="1" applyAlignment="1">
      <alignment vertical="center"/>
    </xf>
    <xf numFmtId="0" fontId="8" fillId="23" borderId="65" xfId="114" applyFont="1" applyFill="1" applyBorder="1" applyAlignment="1">
      <alignment horizontal="centerContinuous" vertical="center"/>
    </xf>
    <xf numFmtId="0" fontId="8" fillId="23" borderId="44" xfId="114" applyFont="1" applyFill="1" applyBorder="1" applyAlignment="1">
      <alignment vertical="center"/>
    </xf>
    <xf numFmtId="0" fontId="8" fillId="23" borderId="42" xfId="114" applyFont="1" applyFill="1" applyBorder="1" applyAlignment="1">
      <alignment horizontal="center" vertical="center"/>
    </xf>
    <xf numFmtId="187" fontId="70" fillId="23" borderId="18" xfId="114" applyNumberFormat="1" applyFont="1" applyFill="1" applyBorder="1" applyAlignment="1">
      <alignment horizontal="left" vertical="center"/>
    </xf>
    <xf numFmtId="0" fontId="69" fillId="0" borderId="40" xfId="114" applyFont="1" applyBorder="1" applyAlignment="1">
      <alignment horizontal="center" vertical="center"/>
    </xf>
    <xf numFmtId="4" fontId="69" fillId="0" borderId="40" xfId="94" applyNumberFormat="1" applyFont="1" applyBorder="1" applyAlignment="1">
      <alignment horizontal="center" vertical="center"/>
    </xf>
    <xf numFmtId="4" fontId="69" fillId="0" borderId="42" xfId="94" applyNumberFormat="1" applyFont="1" applyBorder="1" applyAlignment="1">
      <alignment horizontal="center" vertical="center"/>
    </xf>
    <xf numFmtId="0" fontId="69" fillId="0" borderId="6" xfId="114" applyFont="1" applyBorder="1" applyAlignment="1">
      <alignment vertical="center"/>
    </xf>
    <xf numFmtId="187" fontId="69" fillId="0" borderId="6" xfId="114" applyNumberFormat="1" applyFont="1" applyBorder="1" applyAlignment="1">
      <alignment vertical="center"/>
    </xf>
    <xf numFmtId="0" fontId="69" fillId="0" borderId="66" xfId="114" applyFont="1" applyBorder="1" applyAlignment="1">
      <alignment vertical="center"/>
    </xf>
    <xf numFmtId="0" fontId="16" fillId="0" borderId="66" xfId="114" applyFont="1" applyBorder="1" applyAlignment="1">
      <alignment vertical="center"/>
    </xf>
    <xf numFmtId="0" fontId="15" fillId="0" borderId="0" xfId="115" applyFont="1" applyAlignment="1">
      <alignment horizontal="left" vertical="center"/>
    </xf>
    <xf numFmtId="4" fontId="9" fillId="0" borderId="0" xfId="37" applyNumberFormat="1" applyFont="1" applyAlignment="1">
      <alignment vertical="center"/>
    </xf>
    <xf numFmtId="4" fontId="13" fillId="0" borderId="0" xfId="37" applyNumberFormat="1" applyFont="1" applyAlignment="1">
      <alignment vertical="center"/>
    </xf>
    <xf numFmtId="0" fontId="15" fillId="0" borderId="18" xfId="115" applyFont="1" applyBorder="1" applyAlignment="1">
      <alignment horizontal="left" vertical="center"/>
    </xf>
    <xf numFmtId="0" fontId="15" fillId="0" borderId="67" xfId="37" applyFont="1" applyBorder="1" applyAlignment="1">
      <alignment vertical="center"/>
    </xf>
    <xf numFmtId="0" fontId="15" fillId="0" borderId="15" xfId="37" applyFont="1" applyBorder="1" applyAlignment="1">
      <alignment vertical="center"/>
    </xf>
    <xf numFmtId="0" fontId="15" fillId="0" borderId="15" xfId="115" applyFont="1" applyBorder="1" applyAlignment="1">
      <alignment horizontal="left" vertical="center"/>
    </xf>
    <xf numFmtId="0" fontId="19" fillId="0" borderId="0" xfId="34" applyFont="1" applyAlignment="1">
      <alignment horizontal="left" vertical="center"/>
    </xf>
    <xf numFmtId="0" fontId="9" fillId="0" borderId="37" xfId="37" applyFont="1" applyBorder="1" applyAlignment="1">
      <alignment vertical="center"/>
    </xf>
    <xf numFmtId="0" fontId="14" fillId="0" borderId="68" xfId="37" applyFont="1" applyBorder="1" applyAlignment="1">
      <alignment horizontal="center" vertical="center"/>
    </xf>
    <xf numFmtId="0" fontId="14" fillId="0" borderId="63" xfId="115" applyFont="1" applyBorder="1" applyAlignment="1">
      <alignment horizontal="left" vertical="center"/>
    </xf>
    <xf numFmtId="191" fontId="9" fillId="0" borderId="0" xfId="37" applyNumberFormat="1" applyFont="1" applyAlignment="1">
      <alignment vertical="center"/>
    </xf>
    <xf numFmtId="190" fontId="11" fillId="0" borderId="0" xfId="115" applyNumberFormat="1" applyFont="1" applyAlignment="1">
      <alignment horizontal="center" vertical="center"/>
    </xf>
    <xf numFmtId="189" fontId="69" fillId="0" borderId="0" xfId="114" applyNumberFormat="1" applyFont="1" applyAlignment="1">
      <alignment vertical="center"/>
    </xf>
    <xf numFmtId="189" fontId="70" fillId="23" borderId="70" xfId="114" applyNumberFormat="1" applyFont="1" applyFill="1" applyBorder="1" applyAlignment="1">
      <alignment horizontal="center" vertical="center"/>
    </xf>
    <xf numFmtId="189" fontId="70" fillId="23" borderId="55" xfId="114" applyNumberFormat="1" applyFont="1" applyFill="1" applyBorder="1" applyAlignment="1">
      <alignment horizontal="center" vertical="center"/>
    </xf>
    <xf numFmtId="189" fontId="70" fillId="0" borderId="50" xfId="114" applyNumberFormat="1" applyFont="1" applyBorder="1" applyAlignment="1">
      <alignment horizontal="center" vertical="center"/>
    </xf>
    <xf numFmtId="189" fontId="69" fillId="0" borderId="0" xfId="114" applyNumberFormat="1" applyFont="1" applyAlignment="1">
      <alignment horizontal="center" vertical="center"/>
    </xf>
    <xf numFmtId="189" fontId="16" fillId="0" borderId="74" xfId="114" applyNumberFormat="1" applyFont="1" applyBorder="1" applyAlignment="1">
      <alignment horizontal="center" vertical="center"/>
    </xf>
    <xf numFmtId="189" fontId="8" fillId="23" borderId="70" xfId="113" applyNumberFormat="1" applyFont="1" applyFill="1" applyBorder="1" applyAlignment="1">
      <alignment horizontal="center" vertical="center"/>
    </xf>
    <xf numFmtId="189" fontId="70" fillId="0" borderId="7" xfId="114" applyNumberFormat="1" applyFont="1" applyBorder="1" applyAlignment="1">
      <alignment horizontal="center" vertical="center"/>
    </xf>
    <xf numFmtId="189" fontId="8" fillId="0" borderId="7" xfId="114" applyNumberFormat="1" applyFont="1" applyBorder="1" applyAlignment="1">
      <alignment horizontal="center" vertical="center"/>
    </xf>
    <xf numFmtId="189" fontId="16" fillId="0" borderId="0" xfId="127" applyNumberFormat="1" applyFont="1" applyFill="1" applyBorder="1" applyAlignment="1">
      <alignment horizontal="center" vertical="center"/>
    </xf>
    <xf numFmtId="189" fontId="8" fillId="0" borderId="0" xfId="127" applyNumberFormat="1" applyFont="1" applyBorder="1" applyAlignment="1">
      <alignment horizontal="center" vertical="center"/>
    </xf>
    <xf numFmtId="0" fontId="31" fillId="0" borderId="0" xfId="34" quotePrefix="1" applyFont="1" applyAlignment="1">
      <alignment horizontal="left" vertical="center"/>
    </xf>
    <xf numFmtId="0" fontId="16" fillId="0" borderId="0" xfId="115" applyFont="1" applyAlignment="1">
      <alignment horizontal="centerContinuous" vertical="center"/>
    </xf>
    <xf numFmtId="0" fontId="78" fillId="0" borderId="0" xfId="37" applyFont="1" applyAlignment="1">
      <alignment horizontal="centerContinuous" vertical="center"/>
    </xf>
    <xf numFmtId="0" fontId="77" fillId="0" borderId="18" xfId="119" applyFont="1" applyBorder="1" applyAlignment="1">
      <alignment vertical="center"/>
    </xf>
    <xf numFmtId="0" fontId="77" fillId="0" borderId="0" xfId="119" applyFont="1" applyAlignment="1">
      <alignment vertical="center"/>
    </xf>
    <xf numFmtId="189" fontId="37" fillId="0" borderId="16" xfId="127" applyNumberFormat="1" applyFont="1" applyFill="1" applyBorder="1" applyAlignment="1">
      <alignment horizontal="center" vertical="center"/>
    </xf>
    <xf numFmtId="0" fontId="11" fillId="0" borderId="0" xfId="115" applyFont="1" applyAlignment="1">
      <alignment horizontal="centerContinuous" vertical="center"/>
    </xf>
    <xf numFmtId="0" fontId="15" fillId="0" borderId="0" xfId="115" applyFont="1" applyAlignment="1">
      <alignment horizontal="centerContinuous" vertical="center"/>
    </xf>
    <xf numFmtId="0" fontId="9" fillId="0" borderId="0" xfId="37" applyFont="1" applyAlignment="1">
      <alignment horizontal="centerContinuous" vertical="center"/>
    </xf>
    <xf numFmtId="0" fontId="15" fillId="0" borderId="0" xfId="115" applyFont="1" applyAlignment="1">
      <alignment horizontal="centerContinuous" vertical="center" wrapText="1"/>
    </xf>
    <xf numFmtId="0" fontId="31" fillId="0" borderId="0" xfId="37" applyFont="1" applyAlignment="1">
      <alignment horizontal="left" vertical="center"/>
    </xf>
    <xf numFmtId="0" fontId="9" fillId="0" borderId="0" xfId="37" applyFont="1" applyAlignment="1">
      <alignment horizontal="left" vertical="center"/>
    </xf>
    <xf numFmtId="0" fontId="79" fillId="0" borderId="0" xfId="37" applyFont="1" applyAlignment="1">
      <alignment horizontal="left" vertical="center"/>
    </xf>
    <xf numFmtId="0" fontId="8" fillId="0" borderId="0" xfId="37" applyFont="1" applyAlignment="1">
      <alignment horizontal="right" vertical="center"/>
    </xf>
    <xf numFmtId="0" fontId="8" fillId="0" borderId="0" xfId="37" applyFont="1" applyAlignment="1">
      <alignment horizontal="left" vertical="center"/>
    </xf>
    <xf numFmtId="0" fontId="13" fillId="0" borderId="0" xfId="112" applyFont="1" applyAlignment="1">
      <alignment horizontal="center" vertical="center"/>
    </xf>
    <xf numFmtId="0" fontId="13" fillId="0" borderId="0" xfId="37" applyFont="1" applyAlignment="1">
      <alignment horizontal="left" vertical="center"/>
    </xf>
    <xf numFmtId="0" fontId="13" fillId="0" borderId="0" xfId="37" applyFont="1" applyAlignment="1">
      <alignment vertical="center"/>
    </xf>
    <xf numFmtId="0" fontId="79" fillId="0" borderId="77" xfId="37" applyFont="1" applyBorder="1" applyAlignment="1">
      <alignment horizontal="center" vertical="center"/>
    </xf>
    <xf numFmtId="0" fontId="79" fillId="0" borderId="78" xfId="37" applyFont="1" applyBorder="1" applyAlignment="1">
      <alignment horizontal="centerContinuous" vertical="center"/>
    </xf>
    <xf numFmtId="0" fontId="79" fillId="0" borderId="5" xfId="37" applyFont="1" applyBorder="1" applyAlignment="1">
      <alignment horizontal="centerContinuous" vertical="center"/>
    </xf>
    <xf numFmtId="0" fontId="79" fillId="0" borderId="43" xfId="112" applyFont="1" applyBorder="1" applyAlignment="1">
      <alignment horizontal="center" vertical="center" wrapText="1"/>
    </xf>
    <xf numFmtId="0" fontId="14" fillId="0" borderId="76" xfId="37" applyFont="1" applyBorder="1" applyAlignment="1">
      <alignment vertical="center"/>
    </xf>
    <xf numFmtId="0" fontId="14" fillId="0" borderId="0" xfId="37" applyFont="1" applyAlignment="1">
      <alignment vertical="center"/>
    </xf>
    <xf numFmtId="0" fontId="14" fillId="0" borderId="0" xfId="37" applyFont="1" applyAlignment="1">
      <alignment horizontal="centerContinuous" vertical="center"/>
    </xf>
    <xf numFmtId="173" fontId="14" fillId="0" borderId="38" xfId="127" applyNumberFormat="1" applyFont="1" applyFill="1" applyBorder="1" applyAlignment="1">
      <alignment horizontal="center" vertical="center"/>
    </xf>
    <xf numFmtId="2" fontId="13" fillId="0" borderId="76" xfId="37" applyNumberFormat="1" applyFont="1" applyBorder="1" applyAlignment="1">
      <alignment horizontal="center" vertical="center"/>
    </xf>
    <xf numFmtId="0" fontId="13" fillId="0" borderId="0" xfId="115" applyFont="1" applyAlignment="1">
      <alignment horizontal="left" vertical="center"/>
    </xf>
    <xf numFmtId="4" fontId="13" fillId="0" borderId="16" xfId="127" applyNumberFormat="1" applyFont="1" applyFill="1" applyBorder="1" applyAlignment="1">
      <alignment horizontal="center" vertical="center"/>
    </xf>
    <xf numFmtId="0" fontId="17" fillId="0" borderId="0" xfId="37" applyFont="1" applyAlignment="1">
      <alignment vertical="center"/>
    </xf>
    <xf numFmtId="4" fontId="13" fillId="0" borderId="37" xfId="127" applyNumberFormat="1" applyFont="1" applyFill="1" applyBorder="1" applyAlignment="1">
      <alignment horizontal="center" vertical="center"/>
    </xf>
    <xf numFmtId="2" fontId="13" fillId="0" borderId="77" xfId="37" applyNumberFormat="1" applyFont="1" applyBorder="1" applyAlignment="1">
      <alignment horizontal="center" vertical="center"/>
    </xf>
    <xf numFmtId="0" fontId="15" fillId="0" borderId="78" xfId="37" applyFont="1" applyBorder="1" applyAlignment="1">
      <alignment vertical="center"/>
    </xf>
    <xf numFmtId="0" fontId="16" fillId="0" borderId="5" xfId="37" applyFont="1" applyBorder="1" applyAlignment="1">
      <alignment vertical="center"/>
    </xf>
    <xf numFmtId="4" fontId="16" fillId="0" borderId="43" xfId="34" quotePrefix="1" applyNumberFormat="1" applyFont="1" applyBorder="1" applyAlignment="1">
      <alignment horizontal="center" vertical="center"/>
    </xf>
    <xf numFmtId="2" fontId="13" fillId="0" borderId="65" xfId="37" applyNumberFormat="1" applyFont="1" applyBorder="1" applyAlignment="1">
      <alignment horizontal="center" vertical="center"/>
    </xf>
    <xf numFmtId="0" fontId="15" fillId="0" borderId="18" xfId="37" applyFont="1" applyBorder="1" applyAlignment="1">
      <alignment vertical="center"/>
    </xf>
    <xf numFmtId="0" fontId="16" fillId="0" borderId="18" xfId="37" applyFont="1" applyBorder="1" applyAlignment="1">
      <alignment vertical="center"/>
    </xf>
    <xf numFmtId="0" fontId="13" fillId="0" borderId="76" xfId="37" applyFont="1" applyBorder="1" applyAlignment="1">
      <alignment horizontal="center" vertical="center"/>
    </xf>
    <xf numFmtId="0" fontId="13" fillId="0" borderId="0" xfId="37" applyFont="1" applyAlignment="1">
      <alignment horizontal="center" vertical="center"/>
    </xf>
    <xf numFmtId="0" fontId="13" fillId="0" borderId="65" xfId="37" applyFont="1" applyBorder="1" applyAlignment="1">
      <alignment horizontal="center" vertical="center"/>
    </xf>
    <xf numFmtId="4" fontId="16" fillId="0" borderId="38" xfId="115" applyNumberFormat="1" applyFont="1" applyBorder="1" applyAlignment="1">
      <alignment horizontal="center" vertical="center"/>
    </xf>
    <xf numFmtId="2" fontId="16" fillId="0" borderId="76" xfId="37" applyNumberFormat="1" applyFont="1" applyBorder="1" applyAlignment="1">
      <alignment horizontal="center" vertical="center"/>
    </xf>
    <xf numFmtId="0" fontId="15" fillId="0" borderId="0" xfId="37" applyFont="1" applyAlignment="1">
      <alignment vertical="center"/>
    </xf>
    <xf numFmtId="0" fontId="16" fillId="0" borderId="0" xfId="37" applyFont="1" applyAlignment="1">
      <alignment vertical="center"/>
    </xf>
    <xf numFmtId="4" fontId="16" fillId="0" borderId="16" xfId="115" applyNumberFormat="1" applyFont="1" applyBorder="1" applyAlignment="1">
      <alignment horizontal="center" vertical="center"/>
    </xf>
    <xf numFmtId="0" fontId="13" fillId="0" borderId="0" xfId="37" applyFont="1" applyAlignment="1">
      <alignment horizontal="right" vertical="center"/>
    </xf>
    <xf numFmtId="0" fontId="69" fillId="0" borderId="27" xfId="113" applyFont="1" applyBorder="1" applyAlignment="1">
      <alignment vertical="center"/>
    </xf>
    <xf numFmtId="187" fontId="69" fillId="0" borderId="40" xfId="113" applyNumberFormat="1" applyFont="1" applyBorder="1" applyAlignment="1">
      <alignment horizontal="center" vertical="center"/>
    </xf>
    <xf numFmtId="189" fontId="69" fillId="0" borderId="53" xfId="113" applyNumberFormat="1" applyFont="1" applyBorder="1" applyAlignment="1">
      <alignment horizontal="center" vertical="center"/>
    </xf>
    <xf numFmtId="0" fontId="69" fillId="0" borderId="13" xfId="113" applyFont="1" applyBorder="1" applyAlignment="1">
      <alignment vertical="center"/>
    </xf>
    <xf numFmtId="189" fontId="69" fillId="0" borderId="71" xfId="113" applyNumberFormat="1" applyFont="1" applyBorder="1" applyAlignment="1">
      <alignment horizontal="center" vertical="center"/>
    </xf>
    <xf numFmtId="0" fontId="69" fillId="0" borderId="13" xfId="113" quotePrefix="1" applyFont="1" applyBorder="1" applyAlignment="1">
      <alignment horizontal="left" vertical="center"/>
    </xf>
    <xf numFmtId="187" fontId="69" fillId="0" borderId="42" xfId="113" applyNumberFormat="1" applyFont="1" applyBorder="1" applyAlignment="1">
      <alignment horizontal="center" vertical="center"/>
    </xf>
    <xf numFmtId="189" fontId="69" fillId="0" borderId="55" xfId="113" applyNumberFormat="1" applyFont="1" applyBorder="1" applyAlignment="1">
      <alignment horizontal="center" vertical="center"/>
    </xf>
    <xf numFmtId="0" fontId="69" fillId="0" borderId="76" xfId="113" applyFont="1" applyBorder="1" applyAlignment="1">
      <alignment vertical="center"/>
    </xf>
    <xf numFmtId="0" fontId="69" fillId="0" borderId="92" xfId="114" applyFont="1" applyBorder="1" applyAlignment="1">
      <alignment horizontal="center" vertical="center"/>
    </xf>
    <xf numFmtId="0" fontId="69" fillId="0" borderId="63" xfId="113" applyFont="1" applyBorder="1" applyAlignment="1">
      <alignment horizontal="center" vertical="center"/>
    </xf>
    <xf numFmtId="0" fontId="69" fillId="0" borderId="76" xfId="113" applyFont="1" applyBorder="1" applyAlignment="1">
      <alignment horizontal="left" vertical="center"/>
    </xf>
    <xf numFmtId="0" fontId="69" fillId="0" borderId="62" xfId="113" applyFont="1" applyBorder="1" applyAlignment="1">
      <alignment horizontal="center" vertical="center"/>
    </xf>
    <xf numFmtId="0" fontId="5" fillId="0" borderId="0" xfId="114" applyFont="1" applyAlignment="1">
      <alignment vertical="center"/>
    </xf>
    <xf numFmtId="189" fontId="6" fillId="0" borderId="0" xfId="114" applyNumberFormat="1" applyFont="1" applyAlignment="1">
      <alignment vertical="center"/>
    </xf>
    <xf numFmtId="170" fontId="5" fillId="0" borderId="0" xfId="114" quotePrefix="1" applyNumberFormat="1" applyFont="1" applyAlignment="1">
      <alignment horizontal="center" vertical="center"/>
    </xf>
    <xf numFmtId="10" fontId="69" fillId="0" borderId="0" xfId="127" applyNumberFormat="1" applyFont="1" applyFill="1" applyBorder="1" applyAlignment="1">
      <alignment horizontal="center" vertical="center"/>
    </xf>
    <xf numFmtId="187" fontId="69" fillId="0" borderId="41" xfId="114" applyNumberFormat="1" applyFont="1" applyBorder="1" applyAlignment="1">
      <alignment horizontal="center" vertical="center"/>
    </xf>
    <xf numFmtId="189" fontId="69" fillId="0" borderId="71" xfId="114" applyNumberFormat="1" applyFont="1" applyBorder="1" applyAlignment="1">
      <alignment horizontal="center" vertical="center"/>
    </xf>
    <xf numFmtId="0" fontId="70" fillId="0" borderId="36" xfId="114" applyFont="1" applyBorder="1" applyAlignment="1">
      <alignment horizontal="center" vertical="center"/>
    </xf>
    <xf numFmtId="0" fontId="5" fillId="0" borderId="22" xfId="114" applyFont="1" applyBorder="1" applyAlignment="1">
      <alignment vertical="center"/>
    </xf>
    <xf numFmtId="0" fontId="5" fillId="0" borderId="5" xfId="114" applyFont="1" applyBorder="1" applyAlignment="1">
      <alignment vertical="center"/>
    </xf>
    <xf numFmtId="187" fontId="5" fillId="0" borderId="5" xfId="114" applyNumberFormat="1" applyFont="1" applyBorder="1" applyAlignment="1">
      <alignment vertical="center"/>
    </xf>
    <xf numFmtId="189" fontId="5" fillId="0" borderId="74" xfId="114" applyNumberFormat="1" applyFont="1" applyBorder="1" applyAlignment="1">
      <alignment horizontal="center" vertical="center"/>
    </xf>
    <xf numFmtId="187" fontId="6" fillId="0" borderId="0" xfId="114" applyNumberFormat="1" applyFont="1" applyAlignment="1">
      <alignment vertical="center"/>
    </xf>
    <xf numFmtId="189" fontId="6" fillId="0" borderId="0" xfId="127" applyNumberFormat="1" applyFont="1" applyBorder="1" applyAlignment="1">
      <alignment vertical="center"/>
    </xf>
    <xf numFmtId="0" fontId="5" fillId="0" borderId="18" xfId="115" applyFont="1" applyBorder="1" applyAlignment="1">
      <alignment horizontal="left" vertical="center"/>
    </xf>
    <xf numFmtId="0" fontId="5" fillId="0" borderId="0" xfId="115" applyFont="1" applyAlignment="1">
      <alignment horizontal="left" vertical="center"/>
    </xf>
    <xf numFmtId="189" fontId="11" fillId="0" borderId="41" xfId="115" applyNumberFormat="1" applyFont="1" applyBorder="1" applyAlignment="1">
      <alignment horizontal="center" vertical="center"/>
    </xf>
    <xf numFmtId="0" fontId="5" fillId="0" borderId="15" xfId="115" applyFont="1" applyBorder="1" applyAlignment="1">
      <alignment horizontal="left" vertical="center"/>
    </xf>
    <xf numFmtId="189" fontId="11" fillId="0" borderId="83" xfId="115" applyNumberFormat="1" applyFont="1" applyBorder="1" applyAlignment="1">
      <alignment horizontal="center" vertical="center"/>
    </xf>
    <xf numFmtId="173" fontId="14" fillId="0" borderId="16" xfId="127" applyNumberFormat="1" applyFont="1" applyBorder="1" applyAlignment="1">
      <alignment horizontal="centerContinuous" vertical="center"/>
    </xf>
    <xf numFmtId="10" fontId="86" fillId="0" borderId="0" xfId="127" applyNumberFormat="1" applyFont="1" applyFill="1" applyAlignment="1">
      <alignment vertical="center"/>
    </xf>
    <xf numFmtId="0" fontId="6" fillId="0" borderId="0" xfId="37" applyFont="1" applyAlignment="1">
      <alignment vertical="center"/>
    </xf>
    <xf numFmtId="2" fontId="72" fillId="0" borderId="0" xfId="35" applyNumberFormat="1" applyFont="1" applyAlignment="1">
      <alignment horizontal="center" vertical="center"/>
    </xf>
    <xf numFmtId="0" fontId="11" fillId="23" borderId="77" xfId="35" applyFont="1" applyFill="1" applyBorder="1" applyAlignment="1">
      <alignment horizontal="center" vertical="center"/>
    </xf>
    <xf numFmtId="189" fontId="73" fillId="0" borderId="41" xfId="35" applyNumberFormat="1" applyFont="1" applyBorder="1" applyAlignment="1">
      <alignment horizontal="center" vertical="center"/>
    </xf>
    <xf numFmtId="189" fontId="37" fillId="0" borderId="41" xfId="35" applyNumberFormat="1" applyFont="1" applyBorder="1" applyAlignment="1">
      <alignment horizontal="center" vertical="center"/>
    </xf>
    <xf numFmtId="189" fontId="73" fillId="0" borderId="82" xfId="35" applyNumberFormat="1" applyFont="1" applyBorder="1" applyAlignment="1">
      <alignment horizontal="center" vertical="center"/>
    </xf>
    <xf numFmtId="4" fontId="73" fillId="0" borderId="41" xfId="35" applyNumberFormat="1" applyFont="1" applyBorder="1" applyAlignment="1">
      <alignment horizontal="center" vertical="center"/>
    </xf>
    <xf numFmtId="4" fontId="37" fillId="0" borderId="41" xfId="35" applyNumberFormat="1" applyFont="1" applyBorder="1" applyAlignment="1">
      <alignment horizontal="center" vertical="center"/>
    </xf>
    <xf numFmtId="0" fontId="73" fillId="0" borderId="41" xfId="35" applyFont="1" applyBorder="1" applyAlignment="1">
      <alignment horizontal="center" vertical="center"/>
    </xf>
    <xf numFmtId="189" fontId="11" fillId="0" borderId="83" xfId="35" quotePrefix="1" applyNumberFormat="1" applyFont="1" applyBorder="1" applyAlignment="1">
      <alignment horizontal="center" vertical="center"/>
    </xf>
    <xf numFmtId="189" fontId="73" fillId="0" borderId="56" xfId="35" applyNumberFormat="1" applyFont="1" applyBorder="1" applyAlignment="1">
      <alignment horizontal="center" vertical="center"/>
    </xf>
    <xf numFmtId="4" fontId="73" fillId="0" borderId="0" xfId="35" applyNumberFormat="1" applyFont="1" applyAlignment="1">
      <alignment horizontal="center" vertical="center"/>
    </xf>
    <xf numFmtId="4" fontId="37" fillId="0" borderId="0" xfId="35" applyNumberFormat="1" applyFont="1" applyAlignment="1">
      <alignment horizontal="center" vertical="center"/>
    </xf>
    <xf numFmtId="0" fontId="73" fillId="0" borderId="0" xfId="35" applyFont="1" applyAlignment="1">
      <alignment horizontal="center" vertical="center"/>
    </xf>
    <xf numFmtId="189" fontId="18" fillId="0" borderId="0" xfId="35" applyNumberFormat="1" applyFont="1" applyAlignment="1">
      <alignment vertical="center"/>
    </xf>
    <xf numFmtId="189" fontId="6" fillId="0" borderId="0" xfId="35" applyNumberFormat="1" applyFont="1" applyAlignment="1">
      <alignment vertical="center"/>
    </xf>
    <xf numFmtId="2" fontId="6" fillId="0" borderId="0" xfId="35" applyNumberFormat="1" applyFont="1" applyAlignment="1">
      <alignment vertical="center"/>
    </xf>
    <xf numFmtId="0" fontId="14" fillId="0" borderId="0" xfId="35" applyFont="1" applyAlignment="1">
      <alignment vertical="center"/>
    </xf>
    <xf numFmtId="49" fontId="5" fillId="0" borderId="0" xfId="35" applyNumberFormat="1" applyFont="1" applyAlignment="1">
      <alignment vertical="center"/>
    </xf>
    <xf numFmtId="189" fontId="14" fillId="0" borderId="0" xfId="35" applyNumberFormat="1" applyFont="1" applyAlignment="1">
      <alignment vertical="center"/>
    </xf>
    <xf numFmtId="2" fontId="14" fillId="0" borderId="0" xfId="35" applyNumberFormat="1" applyFont="1" applyAlignment="1">
      <alignment vertical="center"/>
    </xf>
    <xf numFmtId="0" fontId="5" fillId="0" borderId="0" xfId="116" quotePrefix="1" applyFont="1" applyAlignment="1">
      <alignment horizontal="left" vertical="top"/>
    </xf>
    <xf numFmtId="0" fontId="5" fillId="0" borderId="0" xfId="116" applyFont="1" applyAlignment="1">
      <alignment vertical="top"/>
    </xf>
    <xf numFmtId="49" fontId="5" fillId="0" borderId="0" xfId="116" applyNumberFormat="1" applyFont="1" applyAlignment="1">
      <alignment vertical="top"/>
    </xf>
    <xf numFmtId="0" fontId="14" fillId="0" borderId="0" xfId="35" applyFont="1" applyAlignment="1">
      <alignment vertical="top"/>
    </xf>
    <xf numFmtId="0" fontId="5" fillId="0" borderId="0" xfId="116" quotePrefix="1" applyFont="1" applyAlignment="1">
      <alignment horizontal="left"/>
    </xf>
    <xf numFmtId="0" fontId="5" fillId="0" borderId="0" xfId="116" applyFont="1"/>
    <xf numFmtId="0" fontId="5" fillId="0" borderId="0" xfId="106" applyFont="1" applyAlignment="1">
      <alignment vertical="center"/>
    </xf>
    <xf numFmtId="49" fontId="5" fillId="0" borderId="0" xfId="116" quotePrefix="1" applyNumberFormat="1" applyFont="1" applyAlignment="1">
      <alignment horizontal="left"/>
    </xf>
    <xf numFmtId="49" fontId="5" fillId="0" borderId="0" xfId="35" applyNumberFormat="1" applyFont="1" applyAlignment="1">
      <alignment horizontal="center" vertical="center"/>
    </xf>
    <xf numFmtId="49" fontId="5" fillId="0" borderId="0" xfId="116" applyNumberFormat="1" applyFont="1"/>
    <xf numFmtId="4" fontId="5" fillId="0" borderId="0" xfId="35" applyNumberFormat="1" applyFont="1" applyAlignment="1">
      <alignment horizontal="left" vertical="center"/>
    </xf>
    <xf numFmtId="0" fontId="14" fillId="0" borderId="0" xfId="35" applyFont="1" applyAlignment="1">
      <alignment horizontal="center" vertical="center"/>
    </xf>
    <xf numFmtId="0" fontId="5" fillId="0" borderId="0" xfId="116" applyFont="1" applyAlignment="1">
      <alignment horizontal="left" vertical="center" wrapText="1"/>
    </xf>
    <xf numFmtId="189" fontId="5" fillId="0" borderId="0" xfId="116" applyNumberFormat="1" applyFont="1" applyAlignment="1">
      <alignment horizontal="left" vertical="center" wrapText="1"/>
    </xf>
    <xf numFmtId="0" fontId="13" fillId="0" borderId="0" xfId="35" applyFont="1" applyAlignment="1">
      <alignment horizontal="left" vertical="center"/>
    </xf>
    <xf numFmtId="0" fontId="13" fillId="0" borderId="0" xfId="35" applyFont="1" applyAlignment="1">
      <alignment vertical="center"/>
    </xf>
    <xf numFmtId="0" fontId="14" fillId="0" borderId="76" xfId="35" applyFont="1" applyBorder="1" applyAlignment="1">
      <alignment vertical="center"/>
    </xf>
    <xf numFmtId="0" fontId="14" fillId="0" borderId="0" xfId="35" applyFont="1" applyAlignment="1">
      <alignment horizontal="centerContinuous" vertical="center"/>
    </xf>
    <xf numFmtId="0" fontId="14" fillId="0" borderId="17" xfId="35" applyFont="1" applyBorder="1" applyAlignment="1">
      <alignment horizontal="centerContinuous" vertical="center"/>
    </xf>
    <xf numFmtId="4" fontId="37" fillId="0" borderId="16" xfId="127" applyNumberFormat="1" applyFont="1" applyFill="1" applyBorder="1" applyAlignment="1">
      <alignment horizontal="center" vertical="center"/>
    </xf>
    <xf numFmtId="4" fontId="14" fillId="0" borderId="0" xfId="35" applyNumberFormat="1" applyFont="1" applyAlignment="1">
      <alignment vertical="center"/>
    </xf>
    <xf numFmtId="189" fontId="11" fillId="0" borderId="0" xfId="115" applyNumberFormat="1" applyFont="1" applyAlignment="1">
      <alignment horizontal="left" vertical="center"/>
    </xf>
    <xf numFmtId="2" fontId="14" fillId="0" borderId="76" xfId="35" applyNumberFormat="1" applyFont="1" applyBorder="1" applyAlignment="1">
      <alignment horizontal="center" vertical="center"/>
    </xf>
    <xf numFmtId="0" fontId="23" fillId="0" borderId="0" xfId="35" applyFont="1" applyAlignment="1">
      <alignment vertical="center"/>
    </xf>
    <xf numFmtId="192" fontId="18" fillId="0" borderId="0" xfId="35" applyNumberFormat="1" applyFont="1" applyAlignment="1">
      <alignment vertical="center"/>
    </xf>
    <xf numFmtId="2" fontId="18" fillId="0" borderId="0" xfId="35" applyNumberFormat="1" applyFont="1" applyAlignment="1">
      <alignment vertical="center"/>
    </xf>
    <xf numFmtId="0" fontId="14" fillId="0" borderId="17" xfId="35" quotePrefix="1" applyFont="1" applyBorder="1" applyAlignment="1">
      <alignment horizontal="left" vertical="center"/>
    </xf>
    <xf numFmtId="0" fontId="14" fillId="0" borderId="17" xfId="35" applyFont="1" applyBorder="1" applyAlignment="1">
      <alignment vertical="center"/>
    </xf>
    <xf numFmtId="0" fontId="14" fillId="0" borderId="77" xfId="35" applyFont="1" applyBorder="1" applyAlignment="1">
      <alignment horizontal="center" vertical="center"/>
    </xf>
    <xf numFmtId="0" fontId="5" fillId="0" borderId="78" xfId="35" applyFont="1" applyBorder="1" applyAlignment="1">
      <alignment vertical="center"/>
    </xf>
    <xf numFmtId="0" fontId="5" fillId="0" borderId="5" xfId="35" applyFont="1" applyBorder="1" applyAlignment="1">
      <alignment vertical="center"/>
    </xf>
    <xf numFmtId="0" fontId="14" fillId="0" borderId="24" xfId="35" applyFont="1" applyBorder="1" applyAlignment="1">
      <alignment vertical="center"/>
    </xf>
    <xf numFmtId="189" fontId="11" fillId="0" borderId="43" xfId="35" quotePrefix="1" applyNumberFormat="1" applyFont="1" applyBorder="1" applyAlignment="1">
      <alignment horizontal="center" vertical="center"/>
    </xf>
    <xf numFmtId="0" fontId="14" fillId="0" borderId="76" xfId="35" applyFont="1" applyBorder="1" applyAlignment="1">
      <alignment horizontal="center" vertical="center"/>
    </xf>
    <xf numFmtId="0" fontId="14" fillId="0" borderId="17" xfId="35" applyFont="1" applyBorder="1" applyAlignment="1">
      <alignment horizontal="right" vertical="center"/>
    </xf>
    <xf numFmtId="0" fontId="14" fillId="0" borderId="63" xfId="35" applyFont="1" applyBorder="1" applyAlignment="1">
      <alignment vertical="center"/>
    </xf>
    <xf numFmtId="0" fontId="14" fillId="0" borderId="17" xfId="35" applyFont="1" applyBorder="1" applyAlignment="1">
      <alignment horizontal="left" vertical="center"/>
    </xf>
    <xf numFmtId="189" fontId="37" fillId="0" borderId="16" xfId="35" quotePrefix="1" applyNumberFormat="1" applyFont="1" applyBorder="1" applyAlignment="1">
      <alignment horizontal="center" vertical="center"/>
    </xf>
    <xf numFmtId="0" fontId="14" fillId="0" borderId="20" xfId="35" applyFont="1" applyBorder="1" applyAlignment="1">
      <alignment horizontal="center" vertical="center"/>
    </xf>
    <xf numFmtId="0" fontId="5" fillId="0" borderId="57" xfId="35" applyFont="1" applyBorder="1" applyAlignment="1">
      <alignment vertical="center"/>
    </xf>
    <xf numFmtId="0" fontId="5" fillId="0" borderId="18" xfId="35" applyFont="1" applyBorder="1" applyAlignment="1">
      <alignment vertical="center"/>
    </xf>
    <xf numFmtId="189" fontId="11" fillId="0" borderId="38" xfId="115" applyNumberFormat="1" applyFont="1" applyBorder="1" applyAlignment="1">
      <alignment horizontal="center" vertical="center"/>
    </xf>
    <xf numFmtId="0" fontId="14" fillId="0" borderId="13" xfId="35" applyFont="1" applyBorder="1" applyAlignment="1">
      <alignment horizontal="center" vertical="center"/>
    </xf>
    <xf numFmtId="0" fontId="5" fillId="0" borderId="63" xfId="35" applyFont="1" applyBorder="1" applyAlignment="1">
      <alignment vertical="center"/>
    </xf>
    <xf numFmtId="0" fontId="5" fillId="0" borderId="0" xfId="35" applyFont="1" applyAlignment="1">
      <alignment vertical="center"/>
    </xf>
    <xf numFmtId="189" fontId="11" fillId="0" borderId="16" xfId="115" applyNumberFormat="1" applyFont="1" applyBorder="1" applyAlignment="1">
      <alignment horizontal="center" vertical="center"/>
    </xf>
    <xf numFmtId="0" fontId="14" fillId="0" borderId="14" xfId="35" applyFont="1" applyBorder="1" applyAlignment="1">
      <alignment horizontal="center" vertical="center"/>
    </xf>
    <xf numFmtId="0" fontId="5" fillId="0" borderId="67" xfId="35" applyFont="1" applyBorder="1" applyAlignment="1">
      <alignment vertical="center"/>
    </xf>
    <xf numFmtId="0" fontId="5" fillId="0" borderId="15" xfId="35" applyFont="1" applyBorder="1" applyAlignment="1">
      <alignment vertical="center"/>
    </xf>
    <xf numFmtId="189" fontId="11" fillId="0" borderId="37" xfId="115" applyNumberFormat="1" applyFont="1" applyBorder="1" applyAlignment="1">
      <alignment horizontal="center" vertical="center"/>
    </xf>
    <xf numFmtId="0" fontId="72" fillId="0" borderId="22" xfId="35" applyFont="1" applyBorder="1" applyAlignment="1">
      <alignment vertical="center"/>
    </xf>
    <xf numFmtId="0" fontId="72" fillId="0" borderId="78" xfId="35" applyFont="1" applyBorder="1" applyAlignment="1">
      <alignment vertical="center"/>
    </xf>
    <xf numFmtId="0" fontId="14" fillId="0" borderId="5" xfId="35" applyFont="1" applyBorder="1" applyAlignment="1">
      <alignment vertical="center"/>
    </xf>
    <xf numFmtId="0" fontId="72" fillId="0" borderId="5" xfId="35" applyFont="1" applyBorder="1" applyAlignment="1">
      <alignment vertical="center"/>
    </xf>
    <xf numFmtId="189" fontId="37" fillId="0" borderId="16" xfId="115" applyNumberFormat="1" applyFont="1" applyBorder="1" applyAlignment="1">
      <alignment horizontal="center" vertical="center"/>
    </xf>
    <xf numFmtId="189" fontId="11" fillId="0" borderId="43" xfId="115" applyNumberFormat="1" applyFont="1" applyBorder="1" applyAlignment="1">
      <alignment horizontal="center" vertical="center"/>
    </xf>
    <xf numFmtId="0" fontId="37" fillId="0" borderId="0" xfId="35" applyFont="1" applyAlignment="1">
      <alignment vertical="center"/>
    </xf>
    <xf numFmtId="10" fontId="11" fillId="0" borderId="0" xfId="127" applyNumberFormat="1" applyFont="1" applyFill="1" applyBorder="1" applyAlignment="1">
      <alignment horizontal="center" vertical="center"/>
    </xf>
    <xf numFmtId="0" fontId="13" fillId="33" borderId="15" xfId="35" applyFont="1" applyFill="1" applyBorder="1" applyAlignment="1">
      <alignment vertical="center"/>
    </xf>
    <xf numFmtId="0" fontId="6" fillId="33" borderId="20" xfId="35" applyFont="1" applyFill="1" applyBorder="1" applyAlignment="1">
      <alignment vertical="center"/>
    </xf>
    <xf numFmtId="0" fontId="6" fillId="33" borderId="18" xfId="35" applyFont="1" applyFill="1" applyBorder="1" applyAlignment="1">
      <alignment vertical="center"/>
    </xf>
    <xf numFmtId="0" fontId="6" fillId="33" borderId="13" xfId="35" applyFont="1" applyFill="1" applyBorder="1" applyAlignment="1">
      <alignment vertical="center"/>
    </xf>
    <xf numFmtId="0" fontId="6" fillId="33" borderId="14" xfId="35" applyFont="1" applyFill="1" applyBorder="1" applyAlignment="1">
      <alignment vertical="center"/>
    </xf>
    <xf numFmtId="0" fontId="6" fillId="33" borderId="15" xfId="35" applyFont="1" applyFill="1" applyBorder="1" applyAlignment="1">
      <alignment vertical="center"/>
    </xf>
    <xf numFmtId="187" fontId="69" fillId="0" borderId="36" xfId="114" applyNumberFormat="1" applyFont="1" applyBorder="1" applyAlignment="1">
      <alignment vertical="center"/>
    </xf>
    <xf numFmtId="187" fontId="16" fillId="0" borderId="5" xfId="114" applyNumberFormat="1" applyFont="1" applyBorder="1" applyAlignment="1">
      <alignment vertical="center"/>
    </xf>
    <xf numFmtId="0" fontId="90" fillId="0" borderId="0" xfId="114" applyFont="1" applyAlignment="1">
      <alignment horizontal="center" vertical="center"/>
    </xf>
    <xf numFmtId="0" fontId="91" fillId="0" borderId="0" xfId="103" applyFont="1" applyAlignment="1">
      <alignment vertical="center"/>
    </xf>
    <xf numFmtId="10" fontId="91" fillId="0" borderId="0" xfId="103" applyNumberFormat="1" applyFont="1" applyAlignment="1">
      <alignment vertical="center"/>
    </xf>
    <xf numFmtId="187" fontId="91" fillId="0" borderId="0" xfId="103" applyNumberFormat="1" applyFont="1" applyAlignment="1">
      <alignment vertical="center"/>
    </xf>
    <xf numFmtId="189" fontId="91" fillId="0" borderId="0" xfId="103" applyNumberFormat="1" applyFont="1" applyAlignment="1">
      <alignment vertical="center"/>
    </xf>
    <xf numFmtId="0" fontId="91" fillId="0" borderId="0" xfId="103" applyFont="1" applyAlignment="1">
      <alignment horizontal="right" vertical="center"/>
    </xf>
    <xf numFmtId="0" fontId="92" fillId="31" borderId="20" xfId="103" applyFont="1" applyFill="1" applyBorder="1" applyAlignment="1">
      <alignment horizontal="centerContinuous" vertical="center"/>
    </xf>
    <xf numFmtId="0" fontId="92" fillId="31" borderId="56" xfId="103" applyFont="1" applyFill="1" applyBorder="1" applyAlignment="1">
      <alignment horizontal="center" vertical="center"/>
    </xf>
    <xf numFmtId="0" fontId="92" fillId="31" borderId="18" xfId="103" applyFont="1" applyFill="1" applyBorder="1" applyAlignment="1">
      <alignment horizontal="center" vertical="center"/>
    </xf>
    <xf numFmtId="189" fontId="92" fillId="31" borderId="70" xfId="103" applyNumberFormat="1" applyFont="1" applyFill="1" applyBorder="1" applyAlignment="1">
      <alignment horizontal="center" vertical="center"/>
    </xf>
    <xf numFmtId="0" fontId="92" fillId="31" borderId="26" xfId="103" applyFont="1" applyFill="1" applyBorder="1" applyAlignment="1">
      <alignment vertical="center"/>
    </xf>
    <xf numFmtId="0" fontId="92" fillId="31" borderId="42" xfId="103" applyFont="1" applyFill="1" applyBorder="1" applyAlignment="1">
      <alignment horizontal="center" vertical="center"/>
    </xf>
    <xf numFmtId="0" fontId="92" fillId="31" borderId="34" xfId="103" applyFont="1" applyFill="1" applyBorder="1" applyAlignment="1">
      <alignment horizontal="center" vertical="center"/>
    </xf>
    <xf numFmtId="189" fontId="92" fillId="31" borderId="55" xfId="103" applyNumberFormat="1" applyFont="1" applyFill="1" applyBorder="1" applyAlignment="1">
      <alignment horizontal="center" vertical="center"/>
    </xf>
    <xf numFmtId="0" fontId="69" fillId="33" borderId="27" xfId="103" applyFont="1" applyFill="1" applyBorder="1" applyAlignment="1">
      <alignment vertical="center"/>
    </xf>
    <xf numFmtId="0" fontId="69" fillId="33" borderId="41" xfId="103" applyFont="1" applyFill="1" applyBorder="1" applyAlignment="1">
      <alignment horizontal="center" vertical="center"/>
    </xf>
    <xf numFmtId="4" fontId="69" fillId="33" borderId="41" xfId="103" applyNumberFormat="1" applyFont="1" applyFill="1" applyBorder="1" applyAlignment="1">
      <alignment horizontal="center" vertical="center"/>
    </xf>
    <xf numFmtId="10" fontId="69" fillId="33" borderId="41" xfId="103" applyNumberFormat="1" applyFont="1" applyFill="1" applyBorder="1" applyAlignment="1">
      <alignment horizontal="center" vertical="center"/>
    </xf>
    <xf numFmtId="187" fontId="69" fillId="33" borderId="41" xfId="103" applyNumberFormat="1" applyFont="1" applyFill="1" applyBorder="1" applyAlignment="1">
      <alignment horizontal="center" vertical="center"/>
    </xf>
    <xf numFmtId="189" fontId="69" fillId="33" borderId="71" xfId="103" applyNumberFormat="1" applyFont="1" applyFill="1" applyBorder="1" applyAlignment="1">
      <alignment horizontal="center" vertical="center"/>
    </xf>
    <xf numFmtId="0" fontId="69" fillId="33" borderId="13" xfId="103" applyFont="1" applyFill="1" applyBorder="1" applyAlignment="1">
      <alignment vertical="center"/>
    </xf>
    <xf numFmtId="0" fontId="91" fillId="0" borderId="63" xfId="114" applyFont="1" applyBorder="1" applyAlignment="1">
      <alignment horizontal="center" vertical="center"/>
    </xf>
    <xf numFmtId="189" fontId="37" fillId="0" borderId="41" xfId="115" applyNumberFormat="1" applyFont="1" applyBorder="1" applyAlignment="1">
      <alignment horizontal="center" vertical="center"/>
    </xf>
    <xf numFmtId="10" fontId="8" fillId="30" borderId="0" xfId="127" applyNumberFormat="1" applyFont="1" applyFill="1" applyAlignment="1">
      <alignment horizontal="center" vertical="center"/>
    </xf>
    <xf numFmtId="190" fontId="8" fillId="0" borderId="0" xfId="114" applyNumberFormat="1" applyFont="1" applyAlignment="1">
      <alignment horizontal="center" vertical="center"/>
    </xf>
    <xf numFmtId="14" fontId="16" fillId="0" borderId="0" xfId="34" applyNumberFormat="1" applyFont="1" applyAlignment="1">
      <alignment horizontal="right" vertical="center"/>
    </xf>
    <xf numFmtId="4" fontId="9" fillId="0" borderId="0" xfId="37" applyNumberFormat="1" applyFont="1" applyAlignment="1">
      <alignment horizontal="center" vertical="center"/>
    </xf>
    <xf numFmtId="4" fontId="73" fillId="0" borderId="63" xfId="35" applyNumberFormat="1" applyFont="1" applyBorder="1" applyAlignment="1">
      <alignment horizontal="center" vertical="center"/>
    </xf>
    <xf numFmtId="0" fontId="73" fillId="0" borderId="63" xfId="35" applyFont="1" applyBorder="1" applyAlignment="1">
      <alignment horizontal="center" vertical="center"/>
    </xf>
    <xf numFmtId="189" fontId="73" fillId="0" borderId="63" xfId="35" applyNumberFormat="1" applyFont="1" applyBorder="1" applyAlignment="1">
      <alignment horizontal="center" vertical="center"/>
    </xf>
    <xf numFmtId="189" fontId="73" fillId="0" borderId="57" xfId="35" applyNumberFormat="1" applyFont="1" applyBorder="1" applyAlignment="1">
      <alignment horizontal="center" vertical="center"/>
    </xf>
    <xf numFmtId="189" fontId="73" fillId="0" borderId="67" xfId="35" applyNumberFormat="1" applyFont="1" applyBorder="1" applyAlignment="1">
      <alignment horizontal="center" vertical="center"/>
    </xf>
    <xf numFmtId="0" fontId="26" fillId="0" borderId="0" xfId="207" applyFont="1" applyAlignment="1">
      <alignment horizontal="centerContinuous" vertical="center"/>
    </xf>
    <xf numFmtId="0" fontId="27" fillId="0" borderId="0" xfId="207" quotePrefix="1" applyFont="1" applyAlignment="1">
      <alignment horizontal="centerContinuous" vertical="center"/>
    </xf>
    <xf numFmtId="0" fontId="26" fillId="0" borderId="0" xfId="112" quotePrefix="1" applyFont="1" applyAlignment="1">
      <alignment horizontal="centerContinuous" vertical="center"/>
    </xf>
    <xf numFmtId="0" fontId="76" fillId="0" borderId="0" xfId="207" applyFont="1" applyAlignment="1">
      <alignment vertical="center"/>
    </xf>
    <xf numFmtId="0" fontId="29" fillId="0" borderId="0" xfId="207" applyFont="1" applyAlignment="1">
      <alignment horizontal="centerContinuous" vertical="center"/>
    </xf>
    <xf numFmtId="0" fontId="30" fillId="0" borderId="0" xfId="207" quotePrefix="1" applyFont="1" applyAlignment="1">
      <alignment horizontal="centerContinuous" vertical="center"/>
    </xf>
    <xf numFmtId="0" fontId="28" fillId="0" borderId="0" xfId="207" applyFont="1" applyAlignment="1">
      <alignment horizontal="centerContinuous" vertical="center"/>
    </xf>
    <xf numFmtId="0" fontId="24" fillId="0" borderId="0" xfId="207" applyFont="1" applyAlignment="1">
      <alignment vertical="center"/>
    </xf>
    <xf numFmtId="0" fontId="25" fillId="0" borderId="0" xfId="207" applyFont="1" applyAlignment="1">
      <alignment vertical="center"/>
    </xf>
    <xf numFmtId="0" fontId="6" fillId="0" borderId="0" xfId="104" applyFont="1" applyAlignment="1">
      <alignment horizontal="center" vertical="center"/>
    </xf>
    <xf numFmtId="0" fontId="6" fillId="33" borderId="0" xfId="104" applyFont="1" applyFill="1" applyAlignment="1">
      <alignment vertical="center"/>
    </xf>
    <xf numFmtId="2" fontId="8" fillId="0" borderId="0" xfId="104" applyNumberFormat="1" applyFont="1" applyAlignment="1">
      <alignment horizontal="center" vertical="center"/>
    </xf>
    <xf numFmtId="0" fontId="6" fillId="0" borderId="0" xfId="207" applyFont="1" applyAlignment="1">
      <alignment vertical="center"/>
    </xf>
    <xf numFmtId="0" fontId="26" fillId="0" borderId="0" xfId="207" applyFont="1" applyAlignment="1">
      <alignment horizontal="center" vertical="center"/>
    </xf>
    <xf numFmtId="0" fontId="29" fillId="0" borderId="0" xfId="207" applyFont="1" applyAlignment="1">
      <alignment horizontal="center" vertical="center"/>
    </xf>
    <xf numFmtId="0" fontId="29" fillId="0" borderId="0" xfId="112" quotePrefix="1" applyFont="1" applyAlignment="1">
      <alignment horizontal="centerContinuous" vertical="center"/>
    </xf>
    <xf numFmtId="0" fontId="28" fillId="0" borderId="0" xfId="207" applyFont="1" applyAlignment="1">
      <alignment horizontal="center" vertical="center"/>
    </xf>
    <xf numFmtId="0" fontId="18" fillId="0" borderId="0" xfId="207" applyFont="1" applyAlignment="1">
      <alignment horizontal="center" vertical="center"/>
    </xf>
    <xf numFmtId="0" fontId="18" fillId="0" borderId="0" xfId="207" applyFont="1" applyAlignment="1">
      <alignment vertical="center"/>
    </xf>
    <xf numFmtId="180" fontId="16" fillId="0" borderId="0" xfId="112" applyNumberFormat="1" applyFont="1" applyAlignment="1">
      <alignment horizontal="right" vertical="center"/>
    </xf>
    <xf numFmtId="2" fontId="13" fillId="0" borderId="0" xfId="207" applyNumberFormat="1" applyFont="1" applyAlignment="1">
      <alignment horizontal="center" vertical="center"/>
    </xf>
    <xf numFmtId="0" fontId="37" fillId="0" borderId="0" xfId="207" applyFont="1" applyAlignment="1">
      <alignment horizontal="center" vertical="center"/>
    </xf>
    <xf numFmtId="0" fontId="37" fillId="0" borderId="0" xfId="207" applyFont="1" applyAlignment="1">
      <alignment vertical="center"/>
    </xf>
    <xf numFmtId="0" fontId="11" fillId="0" borderId="0" xfId="207" applyFont="1" applyAlignment="1">
      <alignment vertical="center"/>
    </xf>
    <xf numFmtId="0" fontId="22" fillId="0" borderId="0" xfId="207" applyFont="1" applyAlignment="1">
      <alignment vertical="center"/>
    </xf>
    <xf numFmtId="0" fontId="6" fillId="33" borderId="0" xfId="208" applyFont="1" applyFill="1" applyAlignment="1">
      <alignment vertical="center"/>
    </xf>
    <xf numFmtId="0" fontId="6" fillId="0" borderId="0" xfId="208" applyFont="1" applyAlignment="1">
      <alignment vertical="center"/>
    </xf>
    <xf numFmtId="0" fontId="6" fillId="33" borderId="0" xfId="208" applyFont="1" applyFill="1" applyAlignment="1">
      <alignment horizontal="center" vertical="center"/>
    </xf>
    <xf numFmtId="2" fontId="6" fillId="33" borderId="0" xfId="208" applyNumberFormat="1" applyFont="1" applyFill="1" applyAlignment="1">
      <alignment vertical="center"/>
    </xf>
    <xf numFmtId="0" fontId="6" fillId="0" borderId="0" xfId="208" applyFont="1" applyAlignment="1">
      <alignment horizontal="center" vertical="center"/>
    </xf>
    <xf numFmtId="2" fontId="6" fillId="0" borderId="0" xfId="208" applyNumberFormat="1" applyFont="1" applyAlignment="1">
      <alignment vertical="center"/>
    </xf>
    <xf numFmtId="0" fontId="8" fillId="0" borderId="0" xfId="208" applyFont="1" applyAlignment="1">
      <alignment horizontal="center" vertical="center"/>
    </xf>
    <xf numFmtId="2" fontId="6" fillId="33" borderId="0" xfId="208" applyNumberFormat="1" applyFont="1" applyFill="1" applyAlignment="1">
      <alignment horizontal="center" vertical="center"/>
    </xf>
    <xf numFmtId="196" fontId="6" fillId="33" borderId="0" xfId="208" applyNumberFormat="1" applyFont="1" applyFill="1" applyAlignment="1">
      <alignment horizontal="center" vertical="center"/>
    </xf>
    <xf numFmtId="0" fontId="11" fillId="0" borderId="0" xfId="103" applyFont="1" applyAlignment="1">
      <alignment horizontal="center" vertical="center" wrapText="1"/>
    </xf>
    <xf numFmtId="0" fontId="11" fillId="0" borderId="17" xfId="103" applyFont="1" applyBorder="1" applyAlignment="1">
      <alignment horizontal="center" vertical="center" wrapText="1"/>
    </xf>
    <xf numFmtId="0" fontId="19" fillId="0" borderId="0" xfId="103" quotePrefix="1" applyFont="1" applyAlignment="1">
      <alignment vertical="center"/>
    </xf>
    <xf numFmtId="0" fontId="11" fillId="0" borderId="0" xfId="103" applyFont="1" applyAlignment="1">
      <alignment vertical="center"/>
    </xf>
    <xf numFmtId="194" fontId="11" fillId="0" borderId="0" xfId="103" applyNumberFormat="1" applyFont="1" applyAlignment="1">
      <alignment horizontal="left" vertical="center"/>
    </xf>
    <xf numFmtId="15" fontId="16" fillId="0" borderId="17" xfId="103" applyNumberFormat="1" applyFont="1" applyBorder="1" applyAlignment="1">
      <alignment horizontal="right" vertical="center"/>
    </xf>
    <xf numFmtId="0" fontId="14" fillId="0" borderId="0" xfId="103" applyFont="1" applyAlignment="1">
      <alignment vertical="center"/>
    </xf>
    <xf numFmtId="0" fontId="14" fillId="0" borderId="13" xfId="103" applyFont="1" applyBorder="1" applyAlignment="1">
      <alignment vertical="center"/>
    </xf>
    <xf numFmtId="0" fontId="5" fillId="0" borderId="0" xfId="103" applyFont="1" applyAlignment="1">
      <alignment vertical="center"/>
    </xf>
    <xf numFmtId="0" fontId="14" fillId="0" borderId="13" xfId="103" applyFont="1" applyBorder="1" applyAlignment="1">
      <alignment horizontal="center" vertical="center"/>
    </xf>
    <xf numFmtId="0" fontId="13" fillId="0" borderId="25" xfId="103" applyFont="1" applyBorder="1" applyAlignment="1">
      <alignment vertical="center"/>
    </xf>
    <xf numFmtId="0" fontId="13" fillId="0" borderId="25" xfId="103" applyFont="1" applyBorder="1" applyAlignment="1">
      <alignment horizontal="center" vertical="center"/>
    </xf>
    <xf numFmtId="187" fontId="13" fillId="0" borderId="0" xfId="103" applyNumberFormat="1" applyFont="1" applyAlignment="1">
      <alignment horizontal="right" vertical="center"/>
    </xf>
    <xf numFmtId="172" fontId="13" fillId="0" borderId="17" xfId="103" applyNumberFormat="1" applyFont="1" applyBorder="1" applyAlignment="1">
      <alignment horizontal="center" vertical="center"/>
    </xf>
    <xf numFmtId="172" fontId="5" fillId="0" borderId="0" xfId="103" applyNumberFormat="1" applyFont="1" applyAlignment="1">
      <alignment vertical="center"/>
    </xf>
    <xf numFmtId="0" fontId="14" fillId="0" borderId="27" xfId="103" applyFont="1" applyBorder="1" applyAlignment="1">
      <alignment horizontal="center" vertical="center"/>
    </xf>
    <xf numFmtId="0" fontId="13" fillId="0" borderId="28" xfId="103" applyFont="1" applyBorder="1" applyAlignment="1">
      <alignment vertical="center"/>
    </xf>
    <xf numFmtId="0" fontId="13" fillId="0" borderId="28" xfId="103" applyFont="1" applyBorder="1" applyAlignment="1">
      <alignment horizontal="center" vertical="center"/>
    </xf>
    <xf numFmtId="172" fontId="13" fillId="0" borderId="84" xfId="103" applyNumberFormat="1" applyFont="1" applyBorder="1" applyAlignment="1">
      <alignment horizontal="center" vertical="center"/>
    </xf>
    <xf numFmtId="172" fontId="13" fillId="0" borderId="85" xfId="103" applyNumberFormat="1" applyFont="1" applyBorder="1" applyAlignment="1">
      <alignment horizontal="center" vertical="center"/>
    </xf>
    <xf numFmtId="172" fontId="13" fillId="0" borderId="72" xfId="103" applyNumberFormat="1" applyFont="1" applyBorder="1" applyAlignment="1">
      <alignment horizontal="center" vertical="center"/>
    </xf>
    <xf numFmtId="0" fontId="14" fillId="0" borderId="26" xfId="103" applyFont="1" applyBorder="1" applyAlignment="1">
      <alignment horizontal="center" vertical="center"/>
    </xf>
    <xf numFmtId="0" fontId="13" fillId="0" borderId="33" xfId="103" applyFont="1" applyBorder="1" applyAlignment="1">
      <alignment vertical="center"/>
    </xf>
    <xf numFmtId="0" fontId="13" fillId="0" borderId="33" xfId="103" applyFont="1" applyBorder="1" applyAlignment="1">
      <alignment horizontal="center" vertical="center"/>
    </xf>
    <xf numFmtId="0" fontId="14" fillId="0" borderId="29" xfId="103" applyFont="1" applyBorder="1" applyAlignment="1">
      <alignment horizontal="center" vertical="center"/>
    </xf>
    <xf numFmtId="0" fontId="13" fillId="0" borderId="35" xfId="103" applyFont="1" applyBorder="1" applyAlignment="1">
      <alignment vertical="center"/>
    </xf>
    <xf numFmtId="0" fontId="13" fillId="0" borderId="35" xfId="103" applyFont="1" applyBorder="1" applyAlignment="1">
      <alignment horizontal="center" vertical="center"/>
    </xf>
    <xf numFmtId="10" fontId="13" fillId="0" borderId="35" xfId="103" applyNumberFormat="1" applyFont="1" applyBorder="1" applyAlignment="1">
      <alignment horizontal="center" vertical="center"/>
    </xf>
    <xf numFmtId="172" fontId="13" fillId="0" borderId="86" xfId="103" applyNumberFormat="1" applyFont="1" applyBorder="1" applyAlignment="1">
      <alignment horizontal="center" vertical="center"/>
    </xf>
    <xf numFmtId="4" fontId="14" fillId="0" borderId="0" xfId="103" applyNumberFormat="1" applyFont="1" applyAlignment="1">
      <alignment vertical="center"/>
    </xf>
    <xf numFmtId="0" fontId="5" fillId="0" borderId="13" xfId="103" applyFont="1" applyBorder="1" applyAlignment="1">
      <alignment horizontal="right" vertical="center"/>
    </xf>
    <xf numFmtId="0" fontId="13" fillId="0" borderId="13" xfId="103" applyFont="1" applyBorder="1" applyAlignment="1">
      <alignment vertical="center"/>
    </xf>
    <xf numFmtId="0" fontId="13" fillId="0" borderId="0" xfId="103" applyFont="1" applyAlignment="1">
      <alignment vertical="center"/>
    </xf>
    <xf numFmtId="0" fontId="13" fillId="0" borderId="14" xfId="103" applyFont="1" applyBorder="1" applyAlignment="1">
      <alignment vertical="center"/>
    </xf>
    <xf numFmtId="0" fontId="13" fillId="0" borderId="15" xfId="103" applyFont="1" applyBorder="1" applyAlignment="1">
      <alignment vertical="center"/>
    </xf>
    <xf numFmtId="0" fontId="6" fillId="33" borderId="13" xfId="103" applyFill="1" applyBorder="1" applyAlignment="1">
      <alignment vertical="center"/>
    </xf>
    <xf numFmtId="0" fontId="6" fillId="33" borderId="0" xfId="103" applyFill="1" applyAlignment="1">
      <alignment vertical="center"/>
    </xf>
    <xf numFmtId="0" fontId="6" fillId="33" borderId="17" xfId="103" applyFill="1" applyBorder="1" applyAlignment="1">
      <alignment vertical="center"/>
    </xf>
    <xf numFmtId="0" fontId="11" fillId="0" borderId="0" xfId="118" applyFont="1" applyAlignment="1">
      <alignment vertical="center"/>
    </xf>
    <xf numFmtId="0" fontId="11" fillId="33" borderId="0" xfId="103" applyFont="1" applyFill="1" applyAlignment="1">
      <alignment horizontal="center" vertical="center" wrapText="1"/>
    </xf>
    <xf numFmtId="0" fontId="11" fillId="33" borderId="17" xfId="103" applyFont="1" applyFill="1" applyBorder="1" applyAlignment="1">
      <alignment horizontal="center" vertical="center" wrapText="1"/>
    </xf>
    <xf numFmtId="0" fontId="19" fillId="33" borderId="0" xfId="103" quotePrefix="1" applyFont="1" applyFill="1" applyAlignment="1">
      <alignment vertical="center"/>
    </xf>
    <xf numFmtId="0" fontId="11" fillId="33" borderId="0" xfId="103" applyFont="1" applyFill="1" applyAlignment="1">
      <alignment vertical="center"/>
    </xf>
    <xf numFmtId="197" fontId="11" fillId="33" borderId="0" xfId="103" applyNumberFormat="1" applyFont="1" applyFill="1" applyAlignment="1">
      <alignment horizontal="left" vertical="center"/>
    </xf>
    <xf numFmtId="15" fontId="16" fillId="33" borderId="17" xfId="103" applyNumberFormat="1" applyFont="1" applyFill="1" applyBorder="1" applyAlignment="1">
      <alignment horizontal="right" vertical="center"/>
    </xf>
    <xf numFmtId="0" fontId="14" fillId="33" borderId="13" xfId="103" applyFont="1" applyFill="1" applyBorder="1" applyAlignment="1">
      <alignment vertical="center"/>
    </xf>
    <xf numFmtId="0" fontId="14" fillId="33" borderId="0" xfId="103" applyFont="1" applyFill="1" applyAlignment="1">
      <alignment vertical="center"/>
    </xf>
    <xf numFmtId="0" fontId="14" fillId="33" borderId="13" xfId="103" applyFont="1" applyFill="1" applyBorder="1" applyAlignment="1">
      <alignment horizontal="center" vertical="center"/>
    </xf>
    <xf numFmtId="0" fontId="13" fillId="33" borderId="25" xfId="103" applyFont="1" applyFill="1" applyBorder="1" applyAlignment="1">
      <alignment vertical="center"/>
    </xf>
    <xf numFmtId="0" fontId="13" fillId="33" borderId="25" xfId="103" applyFont="1" applyFill="1" applyBorder="1" applyAlignment="1">
      <alignment horizontal="center" vertical="center"/>
    </xf>
    <xf numFmtId="10" fontId="13" fillId="33" borderId="25" xfId="103" applyNumberFormat="1" applyFont="1" applyFill="1" applyBorder="1" applyAlignment="1">
      <alignment horizontal="center" vertical="center"/>
    </xf>
    <xf numFmtId="172" fontId="13" fillId="33" borderId="17" xfId="103" applyNumberFormat="1" applyFont="1" applyFill="1" applyBorder="1" applyAlignment="1">
      <alignment horizontal="center" vertical="center"/>
    </xf>
    <xf numFmtId="172" fontId="13" fillId="33" borderId="85" xfId="103" applyNumberFormat="1" applyFont="1" applyFill="1" applyBorder="1" applyAlignment="1">
      <alignment horizontal="center" vertical="center"/>
    </xf>
    <xf numFmtId="0" fontId="14" fillId="33" borderId="26" xfId="103" applyFont="1" applyFill="1" applyBorder="1" applyAlignment="1">
      <alignment horizontal="center" vertical="center"/>
    </xf>
    <xf numFmtId="0" fontId="13" fillId="33" borderId="33" xfId="103" applyFont="1" applyFill="1" applyBorder="1" applyAlignment="1">
      <alignment vertical="center"/>
    </xf>
    <xf numFmtId="0" fontId="13" fillId="33" borderId="33" xfId="103" applyFont="1" applyFill="1" applyBorder="1" applyAlignment="1">
      <alignment horizontal="center" vertical="center"/>
    </xf>
    <xf numFmtId="10" fontId="13" fillId="33" borderId="33" xfId="103" applyNumberFormat="1" applyFont="1" applyFill="1" applyBorder="1" applyAlignment="1">
      <alignment horizontal="center" vertical="center"/>
    </xf>
    <xf numFmtId="172" fontId="13" fillId="33" borderId="87" xfId="103" applyNumberFormat="1" applyFont="1" applyFill="1" applyBorder="1" applyAlignment="1">
      <alignment horizontal="center" vertical="center"/>
    </xf>
    <xf numFmtId="172" fontId="13" fillId="33" borderId="72" xfId="103" applyNumberFormat="1" applyFont="1" applyFill="1" applyBorder="1" applyAlignment="1">
      <alignment horizontal="center" vertical="center"/>
    </xf>
    <xf numFmtId="0" fontId="14" fillId="33" borderId="27" xfId="103" applyFont="1" applyFill="1" applyBorder="1" applyAlignment="1">
      <alignment horizontal="center" vertical="center"/>
    </xf>
    <xf numFmtId="0" fontId="13" fillId="33" borderId="28" xfId="103" applyFont="1" applyFill="1" applyBorder="1" applyAlignment="1">
      <alignment vertical="center"/>
    </xf>
    <xf numFmtId="0" fontId="13" fillId="33" borderId="28" xfId="103" applyFont="1" applyFill="1" applyBorder="1" applyAlignment="1">
      <alignment horizontal="center" vertical="center"/>
    </xf>
    <xf numFmtId="10" fontId="13" fillId="33" borderId="80" xfId="103" applyNumberFormat="1" applyFont="1" applyFill="1" applyBorder="1" applyAlignment="1">
      <alignment horizontal="center" vertical="center"/>
    </xf>
    <xf numFmtId="172" fontId="13" fillId="33" borderId="88" xfId="103" applyNumberFormat="1" applyFont="1" applyFill="1" applyBorder="1" applyAlignment="1">
      <alignment horizontal="center" vertical="center"/>
    </xf>
    <xf numFmtId="0" fontId="14" fillId="33" borderId="29" xfId="103" applyFont="1" applyFill="1" applyBorder="1" applyAlignment="1">
      <alignment horizontal="center" vertical="center"/>
    </xf>
    <xf numFmtId="0" fontId="13" fillId="33" borderId="35" xfId="103" applyFont="1" applyFill="1" applyBorder="1" applyAlignment="1">
      <alignment vertical="center"/>
    </xf>
    <xf numFmtId="0" fontId="13" fillId="33" borderId="35" xfId="103" applyFont="1" applyFill="1" applyBorder="1" applyAlignment="1">
      <alignment horizontal="center" vertical="center"/>
    </xf>
    <xf numFmtId="10" fontId="13" fillId="33" borderId="35" xfId="103" applyNumberFormat="1" applyFont="1" applyFill="1" applyBorder="1" applyAlignment="1">
      <alignment horizontal="center" vertical="center"/>
    </xf>
    <xf numFmtId="172" fontId="13" fillId="33" borderId="86" xfId="103" applyNumberFormat="1" applyFont="1" applyFill="1" applyBorder="1" applyAlignment="1">
      <alignment horizontal="center" vertical="center"/>
    </xf>
    <xf numFmtId="4" fontId="14" fillId="33" borderId="0" xfId="103" applyNumberFormat="1" applyFont="1" applyFill="1" applyAlignment="1">
      <alignment vertical="center"/>
    </xf>
    <xf numFmtId="0" fontId="5" fillId="33" borderId="13" xfId="103" applyFont="1" applyFill="1" applyBorder="1" applyAlignment="1">
      <alignment horizontal="right" vertical="center"/>
    </xf>
    <xf numFmtId="0" fontId="13" fillId="33" borderId="13" xfId="103" applyFont="1" applyFill="1" applyBorder="1" applyAlignment="1">
      <alignment vertical="center"/>
    </xf>
    <xf numFmtId="0" fontId="13" fillId="33" borderId="0" xfId="103" applyFont="1" applyFill="1" applyAlignment="1">
      <alignment vertical="center"/>
    </xf>
    <xf numFmtId="0" fontId="13" fillId="33" borderId="14" xfId="103" applyFont="1" applyFill="1" applyBorder="1" applyAlignment="1">
      <alignment vertical="center"/>
    </xf>
    <xf numFmtId="0" fontId="13" fillId="33" borderId="15" xfId="103" applyFont="1" applyFill="1" applyBorder="1" applyAlignment="1">
      <alignment vertical="center"/>
    </xf>
    <xf numFmtId="0" fontId="6" fillId="32" borderId="20" xfId="35" applyFont="1" applyFill="1" applyBorder="1" applyAlignment="1">
      <alignment vertical="center"/>
    </xf>
    <xf numFmtId="0" fontId="6" fillId="32" borderId="18" xfId="35" applyFont="1" applyFill="1" applyBorder="1" applyAlignment="1">
      <alignment vertical="center"/>
    </xf>
    <xf numFmtId="0" fontId="6" fillId="32" borderId="21" xfId="35" applyFont="1" applyFill="1" applyBorder="1" applyAlignment="1">
      <alignment vertical="center"/>
    </xf>
    <xf numFmtId="0" fontId="34" fillId="32" borderId="13" xfId="35" applyFont="1" applyFill="1" applyBorder="1" applyAlignment="1">
      <alignment horizontal="centerContinuous" vertical="center"/>
    </xf>
    <xf numFmtId="0" fontId="34" fillId="32" borderId="0" xfId="35" applyFont="1" applyFill="1" applyAlignment="1">
      <alignment horizontal="centerContinuous" vertical="center"/>
    </xf>
    <xf numFmtId="0" fontId="34" fillId="32" borderId="39" xfId="35" applyFont="1" applyFill="1" applyBorder="1" applyAlignment="1">
      <alignment horizontal="centerContinuous" vertical="center"/>
    </xf>
    <xf numFmtId="0" fontId="19" fillId="32" borderId="14" xfId="35" applyFont="1" applyFill="1" applyBorder="1" applyAlignment="1">
      <alignment horizontal="center" vertical="center"/>
    </xf>
    <xf numFmtId="0" fontId="19" fillId="32" borderId="15" xfId="35" applyFont="1" applyFill="1" applyBorder="1" applyAlignment="1">
      <alignment horizontal="center" vertical="center"/>
    </xf>
    <xf numFmtId="0" fontId="19" fillId="32" borderId="19" xfId="35" applyFont="1" applyFill="1" applyBorder="1" applyAlignment="1">
      <alignment horizontal="center" vertical="center"/>
    </xf>
    <xf numFmtId="0" fontId="6" fillId="33" borderId="21" xfId="35" applyFont="1" applyFill="1" applyBorder="1" applyAlignment="1">
      <alignment vertical="center"/>
    </xf>
    <xf numFmtId="0" fontId="11" fillId="33" borderId="0" xfId="35" applyFont="1" applyFill="1" applyAlignment="1">
      <alignment vertical="center"/>
    </xf>
    <xf numFmtId="0" fontId="6" fillId="33" borderId="0" xfId="35" applyFont="1" applyFill="1" applyAlignment="1">
      <alignment vertical="center"/>
    </xf>
    <xf numFmtId="0" fontId="6" fillId="33" borderId="17" xfId="35" applyFont="1" applyFill="1" applyBorder="1" applyAlignment="1">
      <alignment vertical="center"/>
    </xf>
    <xf numFmtId="194" fontId="11" fillId="33" borderId="0" xfId="35" applyNumberFormat="1" applyFont="1" applyFill="1" applyAlignment="1">
      <alignment horizontal="center" vertical="center"/>
    </xf>
    <xf numFmtId="17" fontId="16" fillId="33" borderId="17" xfId="35" applyNumberFormat="1" applyFont="1" applyFill="1" applyBorder="1" applyAlignment="1">
      <alignment horizontal="right" vertical="center"/>
    </xf>
    <xf numFmtId="0" fontId="16" fillId="32" borderId="22" xfId="35" applyFont="1" applyFill="1" applyBorder="1" applyAlignment="1">
      <alignment horizontal="center" vertical="center"/>
    </xf>
    <xf numFmtId="0" fontId="16" fillId="32" borderId="23" xfId="35" applyFont="1" applyFill="1" applyBorder="1" applyAlignment="1">
      <alignment horizontal="center" vertical="center"/>
    </xf>
    <xf numFmtId="0" fontId="16" fillId="32" borderId="5" xfId="35" applyFont="1" applyFill="1" applyBorder="1" applyAlignment="1">
      <alignment horizontal="center" vertical="center" wrapText="1"/>
    </xf>
    <xf numFmtId="0" fontId="16" fillId="32" borderId="79" xfId="35" applyFont="1" applyFill="1" applyBorder="1" applyAlignment="1">
      <alignment horizontal="center" vertical="center" wrapText="1"/>
    </xf>
    <xf numFmtId="0" fontId="16" fillId="32" borderId="30" xfId="35" applyFont="1" applyFill="1" applyBorder="1" applyAlignment="1">
      <alignment horizontal="center" vertical="center"/>
    </xf>
    <xf numFmtId="0" fontId="16" fillId="32" borderId="24" xfId="35" applyFont="1" applyFill="1" applyBorder="1" applyAlignment="1">
      <alignment horizontal="center" vertical="center"/>
    </xf>
    <xf numFmtId="0" fontId="14" fillId="33" borderId="13" xfId="35" applyFont="1" applyFill="1" applyBorder="1" applyAlignment="1">
      <alignment horizontal="center" vertical="center"/>
    </xf>
    <xf numFmtId="0" fontId="13" fillId="33" borderId="25" xfId="35" applyFont="1" applyFill="1" applyBorder="1" applyAlignment="1">
      <alignment vertical="center"/>
    </xf>
    <xf numFmtId="0" fontId="13" fillId="33" borderId="25" xfId="35" applyFont="1" applyFill="1" applyBorder="1" applyAlignment="1">
      <alignment horizontal="center" vertical="center"/>
    </xf>
    <xf numFmtId="172" fontId="13" fillId="33" borderId="25" xfId="35" applyNumberFormat="1" applyFont="1" applyFill="1" applyBorder="1" applyAlignment="1">
      <alignment horizontal="center" vertical="center"/>
    </xf>
    <xf numFmtId="10" fontId="13" fillId="33" borderId="81" xfId="35" applyNumberFormat="1" applyFont="1" applyFill="1" applyBorder="1" applyAlignment="1">
      <alignment horizontal="center" vertical="center"/>
    </xf>
    <xf numFmtId="171" fontId="6" fillId="0" borderId="0" xfId="35" applyNumberFormat="1" applyFont="1" applyAlignment="1">
      <alignment horizontal="center" vertical="center"/>
    </xf>
    <xf numFmtId="0" fontId="14" fillId="0" borderId="0" xfId="35" applyFont="1" applyAlignment="1">
      <alignment horizontal="right" vertical="center"/>
    </xf>
    <xf numFmtId="0" fontId="14" fillId="33" borderId="27" xfId="35" applyFont="1" applyFill="1" applyBorder="1" applyAlignment="1">
      <alignment horizontal="center" vertical="center"/>
    </xf>
    <xf numFmtId="0" fontId="13" fillId="33" borderId="28" xfId="35" applyFont="1" applyFill="1" applyBorder="1" applyAlignment="1">
      <alignment vertical="center"/>
    </xf>
    <xf numFmtId="0" fontId="13" fillId="33" borderId="81" xfId="35" applyFont="1" applyFill="1" applyBorder="1" applyAlignment="1">
      <alignment horizontal="center" vertical="center"/>
    </xf>
    <xf numFmtId="172" fontId="13" fillId="33" borderId="28" xfId="35" applyNumberFormat="1" applyFont="1" applyFill="1" applyBorder="1" applyAlignment="1">
      <alignment horizontal="center" vertical="center"/>
    </xf>
    <xf numFmtId="172" fontId="13" fillId="33" borderId="84" xfId="35" applyNumberFormat="1" applyFont="1" applyFill="1" applyBorder="1" applyAlignment="1">
      <alignment horizontal="center" vertical="center"/>
    </xf>
    <xf numFmtId="0" fontId="14" fillId="33" borderId="26" xfId="35" applyFont="1" applyFill="1" applyBorder="1" applyAlignment="1">
      <alignment horizontal="center" vertical="center"/>
    </xf>
    <xf numFmtId="0" fontId="13" fillId="33" borderId="33" xfId="35" applyFont="1" applyFill="1" applyBorder="1" applyAlignment="1">
      <alignment vertical="center"/>
    </xf>
    <xf numFmtId="49" fontId="13" fillId="33" borderId="34" xfId="35" applyNumberFormat="1" applyFont="1" applyFill="1" applyBorder="1" applyAlignment="1">
      <alignment horizontal="center" vertical="center"/>
    </xf>
    <xf numFmtId="0" fontId="13" fillId="33" borderId="33" xfId="35" applyFont="1" applyFill="1" applyBorder="1" applyAlignment="1">
      <alignment horizontal="center" vertical="center"/>
    </xf>
    <xf numFmtId="172" fontId="13" fillId="33" borderId="33" xfId="35" applyNumberFormat="1" applyFont="1" applyFill="1" applyBorder="1" applyAlignment="1">
      <alignment horizontal="center" vertical="center"/>
    </xf>
    <xf numFmtId="10" fontId="13" fillId="33" borderId="89" xfId="35" applyNumberFormat="1" applyFont="1" applyFill="1" applyBorder="1" applyAlignment="1">
      <alignment horizontal="center" vertical="center"/>
    </xf>
    <xf numFmtId="172" fontId="13" fillId="33" borderId="72" xfId="35" applyNumberFormat="1" applyFont="1" applyFill="1" applyBorder="1" applyAlignment="1">
      <alignment horizontal="center" vertical="center"/>
    </xf>
    <xf numFmtId="198" fontId="10" fillId="0" borderId="0" xfId="35" applyNumberFormat="1" applyFont="1" applyAlignment="1">
      <alignment horizontal="right" vertical="center"/>
    </xf>
    <xf numFmtId="49" fontId="13" fillId="33" borderId="0" xfId="35" applyNumberFormat="1" applyFont="1" applyFill="1" applyAlignment="1">
      <alignment horizontal="center" vertical="center"/>
    </xf>
    <xf numFmtId="10" fontId="13" fillId="33" borderId="90" xfId="35" applyNumberFormat="1" applyFont="1" applyFill="1" applyBorder="1" applyAlignment="1">
      <alignment horizontal="center" vertical="center"/>
    </xf>
    <xf numFmtId="171" fontId="6" fillId="0" borderId="0" xfId="35" applyNumberFormat="1" applyFont="1" applyAlignment="1">
      <alignment vertical="center"/>
    </xf>
    <xf numFmtId="198" fontId="14" fillId="0" borderId="0" xfId="35" applyNumberFormat="1" applyFont="1" applyAlignment="1">
      <alignment horizontal="right" vertical="center"/>
    </xf>
    <xf numFmtId="172" fontId="13" fillId="33" borderId="17" xfId="35" applyNumberFormat="1" applyFont="1" applyFill="1" applyBorder="1" applyAlignment="1">
      <alignment horizontal="center" vertical="center"/>
    </xf>
    <xf numFmtId="0" fontId="13" fillId="33" borderId="32" xfId="35" quotePrefix="1" applyFont="1" applyFill="1" applyBorder="1" applyAlignment="1">
      <alignment horizontal="center" vertical="center"/>
    </xf>
    <xf numFmtId="0" fontId="13" fillId="33" borderId="28" xfId="35" applyFont="1" applyFill="1" applyBorder="1" applyAlignment="1">
      <alignment horizontal="center" vertical="center"/>
    </xf>
    <xf numFmtId="0" fontId="13" fillId="33" borderId="34" xfId="35" quotePrefix="1" applyFont="1" applyFill="1" applyBorder="1" applyAlignment="1">
      <alignment horizontal="center" vertical="center"/>
    </xf>
    <xf numFmtId="0" fontId="14" fillId="33" borderId="29" xfId="35" applyFont="1" applyFill="1" applyBorder="1" applyAlignment="1">
      <alignment horizontal="center" vertical="center"/>
    </xf>
    <xf numFmtId="0" fontId="13" fillId="33" borderId="35" xfId="35" applyFont="1" applyFill="1" applyBorder="1" applyAlignment="1">
      <alignment vertical="center"/>
    </xf>
    <xf numFmtId="0" fontId="13" fillId="33" borderId="36" xfId="35" quotePrefix="1" applyFont="1" applyFill="1" applyBorder="1" applyAlignment="1">
      <alignment horizontal="center" vertical="center"/>
    </xf>
    <xf numFmtId="0" fontId="13" fillId="33" borderId="35" xfId="35" applyFont="1" applyFill="1" applyBorder="1" applyAlignment="1">
      <alignment horizontal="center" vertical="center"/>
    </xf>
    <xf numFmtId="0" fontId="13" fillId="33" borderId="36" xfId="35" applyFont="1" applyFill="1" applyBorder="1" applyAlignment="1">
      <alignment horizontal="center" vertical="center"/>
    </xf>
    <xf numFmtId="172" fontId="13" fillId="33" borderId="35" xfId="35" applyNumberFormat="1" applyFont="1" applyFill="1" applyBorder="1" applyAlignment="1">
      <alignment horizontal="center" vertical="center"/>
    </xf>
    <xf numFmtId="10" fontId="13" fillId="33" borderId="91" xfId="35" applyNumberFormat="1" applyFont="1" applyFill="1" applyBorder="1" applyAlignment="1">
      <alignment horizontal="center" vertical="center"/>
    </xf>
    <xf numFmtId="186" fontId="6" fillId="0" borderId="0" xfId="35" applyNumberFormat="1" applyFont="1" applyAlignment="1">
      <alignment vertical="center"/>
    </xf>
    <xf numFmtId="0" fontId="14" fillId="33" borderId="13" xfId="35" applyFont="1" applyFill="1" applyBorder="1" applyAlignment="1">
      <alignment vertical="center"/>
    </xf>
    <xf numFmtId="0" fontId="14" fillId="33" borderId="0" xfId="35" applyFont="1" applyFill="1" applyAlignment="1">
      <alignment vertical="center"/>
    </xf>
    <xf numFmtId="4" fontId="14" fillId="33" borderId="0" xfId="35" applyNumberFormat="1" applyFont="1" applyFill="1" applyAlignment="1">
      <alignment vertical="center"/>
    </xf>
    <xf numFmtId="175" fontId="95" fillId="33" borderId="0" xfId="35" applyNumberFormat="1" applyFont="1" applyFill="1" applyAlignment="1">
      <alignment horizontal="center" vertical="center"/>
    </xf>
    <xf numFmtId="176" fontId="95" fillId="33" borderId="0" xfId="35" applyNumberFormat="1" applyFont="1" applyFill="1" applyAlignment="1">
      <alignment horizontal="center" vertical="center"/>
    </xf>
    <xf numFmtId="175" fontId="96" fillId="33" borderId="17" xfId="35" applyNumberFormat="1" applyFont="1" applyFill="1" applyBorder="1" applyAlignment="1">
      <alignment horizontal="center" vertical="center"/>
    </xf>
    <xf numFmtId="0" fontId="5" fillId="33" borderId="13" xfId="35" applyFont="1" applyFill="1" applyBorder="1" applyAlignment="1">
      <alignment horizontal="right" vertical="center"/>
    </xf>
    <xf numFmtId="4" fontId="11" fillId="33" borderId="0" xfId="35" applyNumberFormat="1" applyFont="1" applyFill="1" applyAlignment="1">
      <alignment vertical="center"/>
    </xf>
    <xf numFmtId="176" fontId="6" fillId="33" borderId="0" xfId="35" applyNumberFormat="1" applyFont="1" applyFill="1" applyAlignment="1">
      <alignment vertical="center"/>
    </xf>
    <xf numFmtId="198" fontId="6" fillId="33" borderId="0" xfId="210" applyNumberFormat="1" applyFont="1" applyFill="1" applyAlignment="1">
      <alignment horizontal="center" vertical="center"/>
    </xf>
    <xf numFmtId="172" fontId="6" fillId="33" borderId="17" xfId="35" applyNumberFormat="1" applyFont="1" applyFill="1" applyBorder="1" applyAlignment="1">
      <alignment vertical="center"/>
    </xf>
    <xf numFmtId="0" fontId="6" fillId="33" borderId="19" xfId="35" applyFont="1" applyFill="1" applyBorder="1" applyAlignment="1">
      <alignment horizontal="center" vertical="center"/>
    </xf>
    <xf numFmtId="0" fontId="6" fillId="33" borderId="17" xfId="35" applyFont="1" applyFill="1" applyBorder="1" applyAlignment="1">
      <alignment horizontal="center" vertical="center"/>
    </xf>
    <xf numFmtId="2" fontId="97" fillId="33" borderId="0" xfId="35" applyNumberFormat="1" applyFont="1" applyFill="1" applyAlignment="1">
      <alignment vertical="center"/>
    </xf>
    <xf numFmtId="0" fontId="97" fillId="33" borderId="0" xfId="35" applyFont="1" applyFill="1" applyAlignment="1">
      <alignment vertical="center"/>
    </xf>
    <xf numFmtId="0" fontId="97" fillId="33" borderId="17" xfId="35" applyFont="1" applyFill="1" applyBorder="1" applyAlignment="1">
      <alignment horizontal="center" vertical="center"/>
    </xf>
    <xf numFmtId="172" fontId="80" fillId="33" borderId="0" xfId="35" applyNumberFormat="1" applyFont="1" applyFill="1" applyAlignment="1">
      <alignment vertical="center"/>
    </xf>
    <xf numFmtId="0" fontId="13" fillId="33" borderId="13" xfId="35" applyFont="1" applyFill="1" applyBorder="1" applyAlignment="1">
      <alignment vertical="center"/>
    </xf>
    <xf numFmtId="0" fontId="13" fillId="33" borderId="0" xfId="35" applyFont="1" applyFill="1" applyAlignment="1">
      <alignment vertical="center"/>
    </xf>
    <xf numFmtId="172" fontId="97" fillId="33" borderId="0" xfId="35" applyNumberFormat="1" applyFont="1" applyFill="1" applyAlignment="1">
      <alignment vertical="center"/>
    </xf>
    <xf numFmtId="0" fontId="13" fillId="33" borderId="14" xfId="35" applyFont="1" applyFill="1" applyBorder="1" applyAlignment="1">
      <alignment vertical="center"/>
    </xf>
    <xf numFmtId="0" fontId="97" fillId="33" borderId="15" xfId="35" applyFont="1" applyFill="1" applyBorder="1" applyAlignment="1">
      <alignment vertical="center"/>
    </xf>
    <xf numFmtId="2" fontId="6" fillId="33" borderId="19" xfId="35" applyNumberFormat="1" applyFont="1" applyFill="1" applyBorder="1" applyAlignment="1">
      <alignment horizontal="center" vertical="center"/>
    </xf>
    <xf numFmtId="1" fontId="6" fillId="0" borderId="0" xfId="35" applyNumberFormat="1" applyFont="1" applyAlignment="1">
      <alignment horizontal="center" vertical="center"/>
    </xf>
    <xf numFmtId="172" fontId="6" fillId="0" borderId="0" xfId="35" applyNumberFormat="1" applyFont="1" applyAlignment="1">
      <alignment horizontal="center" vertical="center"/>
    </xf>
    <xf numFmtId="194" fontId="6" fillId="0" borderId="0" xfId="35" applyNumberFormat="1" applyFont="1" applyAlignment="1">
      <alignment vertical="center"/>
    </xf>
    <xf numFmtId="0" fontId="34" fillId="32" borderId="13" xfId="103" applyFont="1" applyFill="1" applyBorder="1" applyAlignment="1">
      <alignment horizontal="centerContinuous" vertical="center"/>
    </xf>
    <xf numFmtId="0" fontId="19" fillId="32" borderId="0" xfId="103" applyFont="1" applyFill="1" applyAlignment="1">
      <alignment horizontal="centerContinuous" vertical="center"/>
    </xf>
    <xf numFmtId="0" fontId="19" fillId="32" borderId="17" xfId="103" applyFont="1" applyFill="1" applyBorder="1" applyAlignment="1">
      <alignment horizontal="centerContinuous" vertical="center"/>
    </xf>
    <xf numFmtId="0" fontId="19" fillId="32" borderId="14" xfId="103" applyFont="1" applyFill="1" applyBorder="1" applyAlignment="1">
      <alignment horizontal="center" vertical="center"/>
    </xf>
    <xf numFmtId="0" fontId="19" fillId="32" borderId="15" xfId="103" applyFont="1" applyFill="1" applyBorder="1" applyAlignment="1">
      <alignment horizontal="center" vertical="center"/>
    </xf>
    <xf numFmtId="0" fontId="19" fillId="32" borderId="19" xfId="103" applyFont="1" applyFill="1" applyBorder="1" applyAlignment="1">
      <alignment horizontal="center" vertical="center"/>
    </xf>
    <xf numFmtId="0" fontId="16" fillId="32" borderId="22" xfId="103" applyFont="1" applyFill="1" applyBorder="1" applyAlignment="1">
      <alignment horizontal="center" vertical="center"/>
    </xf>
    <xf numFmtId="0" fontId="16" fillId="32" borderId="23" xfId="103" applyFont="1" applyFill="1" applyBorder="1" applyAlignment="1">
      <alignment horizontal="center" vertical="center"/>
    </xf>
    <xf numFmtId="0" fontId="16" fillId="32" borderId="5" xfId="103" applyFont="1" applyFill="1" applyBorder="1" applyAlignment="1">
      <alignment horizontal="center" vertical="center"/>
    </xf>
    <xf numFmtId="0" fontId="16" fillId="32" borderId="24" xfId="103" applyFont="1" applyFill="1" applyBorder="1" applyAlignment="1">
      <alignment horizontal="center" vertical="center"/>
    </xf>
    <xf numFmtId="0" fontId="16" fillId="32" borderId="23" xfId="103" applyFont="1" applyFill="1" applyBorder="1" applyAlignment="1">
      <alignment horizontal="center" vertical="center" wrapText="1" shrinkToFit="1"/>
    </xf>
    <xf numFmtId="175" fontId="13" fillId="0" borderId="25" xfId="103" applyNumberFormat="1" applyFont="1" applyBorder="1" applyAlignment="1">
      <alignment horizontal="center" vertical="center"/>
    </xf>
    <xf numFmtId="175" fontId="13" fillId="0" borderId="28" xfId="103" applyNumberFormat="1" applyFont="1" applyBorder="1" applyAlignment="1">
      <alignment horizontal="center" vertical="center"/>
    </xf>
    <xf numFmtId="175" fontId="13" fillId="0" borderId="33" xfId="103" applyNumberFormat="1" applyFont="1" applyBorder="1" applyAlignment="1">
      <alignment horizontal="center" vertical="center"/>
    </xf>
    <xf numFmtId="175" fontId="13" fillId="0" borderId="35" xfId="103" applyNumberFormat="1" applyFont="1" applyBorder="1" applyAlignment="1">
      <alignment horizontal="center" vertical="center"/>
    </xf>
    <xf numFmtId="175" fontId="13" fillId="33" borderId="25" xfId="103" applyNumberFormat="1" applyFont="1" applyFill="1" applyBorder="1" applyAlignment="1">
      <alignment horizontal="center" vertical="center"/>
    </xf>
    <xf numFmtId="175" fontId="13" fillId="33" borderId="33" xfId="103" applyNumberFormat="1" applyFont="1" applyFill="1" applyBorder="1" applyAlignment="1">
      <alignment horizontal="center" vertical="center"/>
    </xf>
    <xf numFmtId="175" fontId="13" fillId="33" borderId="80" xfId="103" applyNumberFormat="1" applyFont="1" applyFill="1" applyBorder="1" applyAlignment="1">
      <alignment horizontal="center" vertical="center"/>
    </xf>
    <xf numFmtId="175" fontId="13" fillId="33" borderId="35" xfId="103" applyNumberFormat="1" applyFont="1" applyFill="1" applyBorder="1" applyAlignment="1">
      <alignment horizontal="center" vertical="center"/>
    </xf>
    <xf numFmtId="0" fontId="3" fillId="0" borderId="0" xfId="207" applyAlignment="1">
      <alignment vertical="center"/>
    </xf>
    <xf numFmtId="0" fontId="6" fillId="31" borderId="0" xfId="208" applyFont="1" applyFill="1" applyAlignment="1">
      <alignment vertical="center"/>
    </xf>
    <xf numFmtId="0" fontId="8" fillId="33" borderId="0" xfId="208" applyFont="1" applyFill="1" applyAlignment="1">
      <alignment horizontal="center" vertical="center"/>
    </xf>
    <xf numFmtId="4" fontId="6" fillId="0" borderId="0" xfId="208" applyNumberFormat="1" applyFont="1" applyAlignment="1">
      <alignment horizontal="center" vertical="center"/>
    </xf>
    <xf numFmtId="0" fontId="32" fillId="0" borderId="0" xfId="208" applyFont="1" applyAlignment="1">
      <alignment vertical="center"/>
    </xf>
    <xf numFmtId="0" fontId="13" fillId="0" borderId="0" xfId="208" applyFont="1" applyAlignment="1">
      <alignment vertical="center"/>
    </xf>
    <xf numFmtId="4" fontId="3" fillId="0" borderId="0" xfId="207" applyNumberFormat="1" applyAlignment="1">
      <alignment vertical="center"/>
    </xf>
    <xf numFmtId="0" fontId="6" fillId="33" borderId="0" xfId="209" applyFill="1" applyAlignment="1">
      <alignment vertical="center"/>
    </xf>
    <xf numFmtId="0" fontId="16" fillId="33" borderId="0" xfId="104" applyFont="1" applyFill="1" applyAlignment="1">
      <alignment vertical="center"/>
    </xf>
    <xf numFmtId="0" fontId="13" fillId="33" borderId="0" xfId="104" applyFont="1" applyFill="1" applyAlignment="1">
      <alignment vertical="center"/>
    </xf>
    <xf numFmtId="0" fontId="6" fillId="33" borderId="0" xfId="104" applyFont="1" applyFill="1" applyAlignment="1">
      <alignment horizontal="center" vertical="center"/>
    </xf>
    <xf numFmtId="0" fontId="8" fillId="0" borderId="0" xfId="104" applyFont="1" applyAlignment="1">
      <alignment horizontal="center" vertical="center"/>
    </xf>
    <xf numFmtId="0" fontId="3" fillId="29" borderId="0" xfId="207" applyFill="1" applyAlignment="1">
      <alignment vertical="center"/>
    </xf>
    <xf numFmtId="2" fontId="8" fillId="33" borderId="0" xfId="104" applyNumberFormat="1" applyFont="1" applyFill="1" applyAlignment="1">
      <alignment horizontal="center" vertical="center"/>
    </xf>
    <xf numFmtId="0" fontId="32" fillId="0" borderId="0" xfId="104" applyFont="1" applyAlignment="1">
      <alignment vertical="center"/>
    </xf>
    <xf numFmtId="0" fontId="13" fillId="0" borderId="0" xfId="104" applyFont="1" applyAlignment="1">
      <alignment vertical="center"/>
    </xf>
    <xf numFmtId="4" fontId="6" fillId="0" borderId="0" xfId="207" applyNumberFormat="1" applyFont="1" applyAlignment="1">
      <alignment vertical="center"/>
    </xf>
    <xf numFmtId="4" fontId="7" fillId="0" borderId="0" xfId="207" applyNumberFormat="1" applyFont="1" applyAlignment="1">
      <alignment horizontal="center" vertical="center"/>
    </xf>
    <xf numFmtId="4" fontId="6" fillId="33" borderId="0" xfId="208" applyNumberFormat="1" applyFont="1" applyFill="1" applyAlignment="1">
      <alignment vertical="center"/>
    </xf>
    <xf numFmtId="4" fontId="6" fillId="0" borderId="0" xfId="208" applyNumberFormat="1" applyFont="1" applyAlignment="1">
      <alignment vertical="center"/>
    </xf>
    <xf numFmtId="4" fontId="6" fillId="0" borderId="0" xfId="104" applyNumberFormat="1" applyFont="1" applyAlignment="1">
      <alignment vertical="center"/>
    </xf>
    <xf numFmtId="4" fontId="8" fillId="0" borderId="0" xfId="208" applyNumberFormat="1" applyFont="1" applyAlignment="1">
      <alignment vertical="center"/>
    </xf>
    <xf numFmtId="2" fontId="69" fillId="0" borderId="0" xfId="104" applyNumberFormat="1" applyFont="1" applyAlignment="1">
      <alignment vertical="center"/>
    </xf>
    <xf numFmtId="0" fontId="6" fillId="0" borderId="0" xfId="117" applyAlignment="1">
      <alignment vertical="center"/>
    </xf>
    <xf numFmtId="200" fontId="13" fillId="33" borderId="25" xfId="103" applyNumberFormat="1" applyFont="1" applyFill="1" applyBorder="1" applyAlignment="1">
      <alignment horizontal="center" vertical="center"/>
    </xf>
    <xf numFmtId="200" fontId="13" fillId="33" borderId="33" xfId="103" applyNumberFormat="1" applyFont="1" applyFill="1" applyBorder="1" applyAlignment="1">
      <alignment horizontal="center" vertical="center"/>
    </xf>
    <xf numFmtId="200" fontId="13" fillId="33" borderId="28" xfId="103" applyNumberFormat="1" applyFont="1" applyFill="1" applyBorder="1" applyAlignment="1">
      <alignment horizontal="center" vertical="center"/>
    </xf>
    <xf numFmtId="200" fontId="13" fillId="33" borderId="35" xfId="103" applyNumberFormat="1" applyFont="1" applyFill="1" applyBorder="1" applyAlignment="1">
      <alignment horizontal="center" vertical="center"/>
    </xf>
    <xf numFmtId="172" fontId="6" fillId="0" borderId="0" xfId="208" applyNumberFormat="1" applyFont="1" applyAlignment="1">
      <alignment vertical="center"/>
    </xf>
    <xf numFmtId="0" fontId="6" fillId="32" borderId="20" xfId="103" applyFill="1" applyBorder="1" applyAlignment="1">
      <alignment vertical="center"/>
    </xf>
    <xf numFmtId="0" fontId="6" fillId="32" borderId="18" xfId="103" applyFill="1" applyBorder="1" applyAlignment="1">
      <alignment vertical="center"/>
    </xf>
    <xf numFmtId="0" fontId="6" fillId="32" borderId="21" xfId="103" applyFill="1" applyBorder="1" applyAlignment="1">
      <alignment vertical="center"/>
    </xf>
    <xf numFmtId="0" fontId="6" fillId="0" borderId="13" xfId="103" applyBorder="1" applyAlignment="1">
      <alignment vertical="center"/>
    </xf>
    <xf numFmtId="0" fontId="6" fillId="0" borderId="17" xfId="103" applyBorder="1" applyAlignment="1">
      <alignment vertical="center"/>
    </xf>
    <xf numFmtId="4" fontId="6" fillId="0" borderId="0" xfId="103" applyNumberFormat="1" applyAlignment="1">
      <alignment vertical="center"/>
    </xf>
    <xf numFmtId="2" fontId="6" fillId="0" borderId="0" xfId="103" applyNumberFormat="1" applyAlignment="1">
      <alignment vertical="center"/>
    </xf>
    <xf numFmtId="176" fontId="6" fillId="0" borderId="0" xfId="103" applyNumberFormat="1" applyAlignment="1">
      <alignment vertical="center"/>
    </xf>
    <xf numFmtId="173" fontId="6" fillId="0" borderId="0" xfId="103" applyNumberFormat="1" applyAlignment="1">
      <alignment vertical="center"/>
    </xf>
    <xf numFmtId="175" fontId="6" fillId="0" borderId="0" xfId="103" applyNumberFormat="1" applyAlignment="1">
      <alignment vertical="center"/>
    </xf>
    <xf numFmtId="172" fontId="6" fillId="0" borderId="0" xfId="103" applyNumberFormat="1" applyAlignment="1">
      <alignment vertical="center"/>
    </xf>
    <xf numFmtId="172" fontId="6" fillId="0" borderId="17" xfId="103" applyNumberFormat="1" applyBorder="1" applyAlignment="1">
      <alignment vertical="center"/>
    </xf>
    <xf numFmtId="10" fontId="6" fillId="0" borderId="0" xfId="103" applyNumberFormat="1" applyAlignment="1">
      <alignment vertical="center"/>
    </xf>
    <xf numFmtId="172" fontId="6" fillId="0" borderId="17" xfId="103" applyNumberFormat="1" applyBorder="1" applyAlignment="1">
      <alignment horizontal="center" vertical="center"/>
    </xf>
    <xf numFmtId="0" fontId="6" fillId="0" borderId="14" xfId="103" applyBorder="1" applyAlignment="1">
      <alignment vertical="center"/>
    </xf>
    <xf numFmtId="0" fontId="6" fillId="0" borderId="15" xfId="103" applyBorder="1" applyAlignment="1">
      <alignment vertical="center"/>
    </xf>
    <xf numFmtId="0" fontId="6" fillId="0" borderId="19" xfId="103" applyBorder="1" applyAlignment="1">
      <alignment vertical="center"/>
    </xf>
    <xf numFmtId="175" fontId="6" fillId="0" borderId="0" xfId="103" applyNumberFormat="1" applyAlignment="1">
      <alignment horizontal="center" vertical="center"/>
    </xf>
    <xf numFmtId="187" fontId="6" fillId="0" borderId="0" xfId="103" applyNumberFormat="1" applyAlignment="1">
      <alignment vertical="center"/>
    </xf>
    <xf numFmtId="4" fontId="6" fillId="33" borderId="0" xfId="103" applyNumberFormat="1" applyFill="1" applyAlignment="1">
      <alignment vertical="center"/>
    </xf>
    <xf numFmtId="172" fontId="6" fillId="33" borderId="17" xfId="103" applyNumberFormat="1" applyFill="1" applyBorder="1" applyAlignment="1">
      <alignment vertical="center"/>
    </xf>
    <xf numFmtId="10" fontId="6" fillId="33" borderId="0" xfId="103" applyNumberFormat="1" applyFill="1" applyAlignment="1">
      <alignment vertical="center"/>
    </xf>
    <xf numFmtId="172" fontId="6" fillId="33" borderId="17" xfId="103" applyNumberFormat="1" applyFill="1" applyBorder="1" applyAlignment="1">
      <alignment horizontal="center" vertical="center"/>
    </xf>
    <xf numFmtId="0" fontId="6" fillId="33" borderId="14" xfId="103" applyFill="1" applyBorder="1" applyAlignment="1">
      <alignment vertical="center"/>
    </xf>
    <xf numFmtId="0" fontId="6" fillId="33" borderId="15" xfId="103" applyFill="1" applyBorder="1" applyAlignment="1">
      <alignment vertical="center"/>
    </xf>
    <xf numFmtId="0" fontId="6" fillId="33" borderId="19" xfId="103" applyFill="1" applyBorder="1" applyAlignment="1">
      <alignment vertical="center"/>
    </xf>
    <xf numFmtId="197" fontId="6" fillId="0" borderId="0" xfId="103" applyNumberFormat="1" applyAlignment="1">
      <alignment vertical="center"/>
    </xf>
    <xf numFmtId="190" fontId="6" fillId="0" borderId="0" xfId="35" applyNumberFormat="1" applyFont="1" applyAlignment="1">
      <alignment horizontal="center" vertical="center"/>
    </xf>
    <xf numFmtId="191" fontId="6" fillId="0" borderId="0" xfId="103" applyNumberFormat="1" applyAlignment="1">
      <alignment horizontal="center" vertical="center"/>
    </xf>
    <xf numFmtId="10" fontId="5" fillId="0" borderId="0" xfId="127" applyNumberFormat="1" applyFont="1" applyFill="1" applyBorder="1" applyAlignment="1">
      <alignment horizontal="center" vertical="center"/>
    </xf>
    <xf numFmtId="10" fontId="6" fillId="0" borderId="0" xfId="127" applyNumberFormat="1" applyFont="1" applyFill="1" applyAlignment="1">
      <alignment horizontal="center" vertical="center"/>
    </xf>
    <xf numFmtId="172" fontId="13" fillId="33" borderId="94" xfId="35" applyNumberFormat="1" applyFont="1" applyFill="1" applyBorder="1" applyAlignment="1">
      <alignment horizontal="center" vertical="center"/>
    </xf>
    <xf numFmtId="0" fontId="8" fillId="0" borderId="0" xfId="212" applyFont="1" applyAlignment="1">
      <alignment vertical="center"/>
    </xf>
    <xf numFmtId="4" fontId="6" fillId="33" borderId="0" xfId="208" applyNumberFormat="1" applyFont="1" applyFill="1" applyAlignment="1">
      <alignment horizontal="center" vertical="center"/>
    </xf>
    <xf numFmtId="1" fontId="6" fillId="33" borderId="0" xfId="208" applyNumberFormat="1" applyFont="1" applyFill="1" applyAlignment="1">
      <alignment vertical="center"/>
    </xf>
    <xf numFmtId="2" fontId="6" fillId="33" borderId="0" xfId="208" applyNumberFormat="1" applyFont="1" applyFill="1" applyAlignment="1">
      <alignment horizontal="left" vertical="center"/>
    </xf>
    <xf numFmtId="0" fontId="32" fillId="33" borderId="0" xfId="208" applyFont="1" applyFill="1" applyAlignment="1">
      <alignment vertical="center"/>
    </xf>
    <xf numFmtId="0" fontId="13" fillId="33" borderId="0" xfId="208" applyFont="1" applyFill="1" applyAlignment="1">
      <alignment vertical="center"/>
    </xf>
    <xf numFmtId="187" fontId="8" fillId="0" borderId="0" xfId="208" applyNumberFormat="1" applyFont="1" applyAlignment="1">
      <alignment horizontal="center" vertical="center"/>
    </xf>
    <xf numFmtId="172" fontId="6" fillId="33" borderId="0" xfId="208" applyNumberFormat="1" applyFont="1" applyFill="1" applyAlignment="1">
      <alignment vertical="center"/>
    </xf>
    <xf numFmtId="49" fontId="5" fillId="33" borderId="0" xfId="116" quotePrefix="1" applyNumberFormat="1" applyFont="1" applyFill="1" applyAlignment="1">
      <alignment horizontal="left"/>
    </xf>
    <xf numFmtId="9" fontId="11" fillId="0" borderId="0" xfId="127" applyFont="1" applyFill="1" applyBorder="1" applyAlignment="1">
      <alignment horizontal="center" vertical="center"/>
    </xf>
    <xf numFmtId="2" fontId="6" fillId="0" borderId="0" xfId="208" applyNumberFormat="1" applyFont="1" applyAlignment="1">
      <alignment horizontal="center" vertical="center"/>
    </xf>
    <xf numFmtId="2" fontId="6" fillId="0" borderId="0" xfId="208" applyNumberFormat="1" applyFont="1" applyAlignment="1">
      <alignment horizontal="left" vertical="center"/>
    </xf>
    <xf numFmtId="202" fontId="6" fillId="0" borderId="0" xfId="103" applyNumberFormat="1" applyAlignment="1">
      <alignment vertical="center"/>
    </xf>
    <xf numFmtId="0" fontId="6" fillId="33" borderId="0" xfId="208" applyFont="1" applyFill="1" applyAlignment="1">
      <alignment horizontal="left" vertical="center"/>
    </xf>
    <xf numFmtId="199" fontId="8" fillId="0" borderId="0" xfId="208" applyNumberFormat="1" applyFont="1" applyAlignment="1">
      <alignment horizontal="center" vertical="center"/>
    </xf>
    <xf numFmtId="194" fontId="8" fillId="33" borderId="0" xfId="208" applyNumberFormat="1" applyFont="1" applyFill="1" applyAlignment="1">
      <alignment horizontal="center" vertical="center"/>
    </xf>
    <xf numFmtId="205" fontId="6" fillId="0" borderId="0" xfId="103" applyNumberFormat="1" applyAlignment="1">
      <alignment vertical="center"/>
    </xf>
    <xf numFmtId="0" fontId="6" fillId="33" borderId="0" xfId="35" applyFont="1" applyFill="1" applyAlignment="1">
      <alignment horizontal="center" vertical="center"/>
    </xf>
    <xf numFmtId="0" fontId="13" fillId="33" borderId="25" xfId="35" applyFont="1" applyFill="1" applyBorder="1" applyAlignment="1">
      <alignment horizontal="left" vertical="center"/>
    </xf>
    <xf numFmtId="0" fontId="13" fillId="33" borderId="13" xfId="35" applyFont="1" applyFill="1" applyBorder="1" applyAlignment="1">
      <alignment horizontal="center" vertical="center"/>
    </xf>
    <xf numFmtId="0" fontId="13" fillId="33" borderId="0" xfId="35" applyFont="1" applyFill="1" applyAlignment="1">
      <alignment horizontal="center" vertical="center" wrapText="1"/>
    </xf>
    <xf numFmtId="17" fontId="16" fillId="33" borderId="0" xfId="207" applyNumberFormat="1" applyFont="1" applyFill="1" applyAlignment="1">
      <alignment horizontal="right" vertical="center"/>
    </xf>
    <xf numFmtId="17" fontId="8" fillId="33" borderId="0" xfId="207" applyNumberFormat="1" applyFont="1" applyFill="1" applyAlignment="1">
      <alignment horizontal="right" vertical="center"/>
    </xf>
    <xf numFmtId="14" fontId="8" fillId="0" borderId="0" xfId="34" applyNumberFormat="1" applyFont="1" applyAlignment="1">
      <alignment horizontal="right" vertical="center"/>
    </xf>
    <xf numFmtId="49" fontId="13" fillId="0" borderId="34" xfId="103" applyNumberFormat="1" applyFont="1" applyBorder="1" applyAlignment="1">
      <alignment horizontal="center" vertical="center"/>
    </xf>
    <xf numFmtId="172" fontId="13" fillId="0" borderId="87" xfId="103" applyNumberFormat="1" applyFont="1" applyBorder="1" applyAlignment="1">
      <alignment horizontal="center" vertical="center"/>
    </xf>
    <xf numFmtId="0" fontId="69" fillId="33" borderId="13" xfId="114" applyFont="1" applyFill="1" applyBorder="1" applyAlignment="1">
      <alignment vertical="center"/>
    </xf>
    <xf numFmtId="0" fontId="69" fillId="33" borderId="41" xfId="114" applyFont="1" applyFill="1" applyBorder="1" applyAlignment="1">
      <alignment horizontal="center" vertical="center"/>
    </xf>
    <xf numFmtId="187" fontId="69" fillId="33" borderId="41" xfId="114" applyNumberFormat="1" applyFont="1" applyFill="1" applyBorder="1" applyAlignment="1">
      <alignment horizontal="center" vertical="center"/>
    </xf>
    <xf numFmtId="189" fontId="69" fillId="33" borderId="71" xfId="114" applyNumberFormat="1" applyFont="1" applyFill="1" applyBorder="1" applyAlignment="1">
      <alignment horizontal="center" vertical="center"/>
    </xf>
    <xf numFmtId="0" fontId="69" fillId="33" borderId="42" xfId="114" applyFont="1" applyFill="1" applyBorder="1" applyAlignment="1">
      <alignment horizontal="center" vertical="center"/>
    </xf>
    <xf numFmtId="10" fontId="69" fillId="33" borderId="42" xfId="114" applyNumberFormat="1" applyFont="1" applyFill="1" applyBorder="1" applyAlignment="1">
      <alignment horizontal="center" vertical="center"/>
    </xf>
    <xf numFmtId="0" fontId="70" fillId="33" borderId="29" xfId="114" applyFont="1" applyFill="1" applyBorder="1" applyAlignment="1">
      <alignment horizontal="right" vertical="center"/>
    </xf>
    <xf numFmtId="189" fontId="70" fillId="33" borderId="50" xfId="114" applyNumberFormat="1" applyFont="1" applyFill="1" applyBorder="1" applyAlignment="1">
      <alignment horizontal="center" vertical="center"/>
    </xf>
    <xf numFmtId="0" fontId="69" fillId="33" borderId="0" xfId="114" applyFont="1" applyFill="1" applyAlignment="1">
      <alignment vertical="center"/>
    </xf>
    <xf numFmtId="0" fontId="69" fillId="33" borderId="0" xfId="114" applyFont="1" applyFill="1" applyAlignment="1">
      <alignment horizontal="center" vertical="center"/>
    </xf>
    <xf numFmtId="10" fontId="69" fillId="33" borderId="0" xfId="114" applyNumberFormat="1" applyFont="1" applyFill="1" applyAlignment="1">
      <alignment vertical="center"/>
    </xf>
    <xf numFmtId="187" fontId="69" fillId="33" borderId="0" xfId="114" applyNumberFormat="1" applyFont="1" applyFill="1" applyAlignment="1">
      <alignment vertical="center"/>
    </xf>
    <xf numFmtId="189" fontId="69" fillId="33" borderId="0" xfId="114" applyNumberFormat="1" applyFont="1" applyFill="1" applyAlignment="1">
      <alignment vertical="center"/>
    </xf>
    <xf numFmtId="0" fontId="8" fillId="33" borderId="0" xfId="114" applyFont="1" applyFill="1" applyAlignment="1">
      <alignment vertical="center"/>
    </xf>
    <xf numFmtId="0" fontId="69" fillId="33" borderId="27" xfId="114" applyFont="1" applyFill="1" applyBorder="1" applyAlignment="1">
      <alignment vertical="center"/>
    </xf>
    <xf numFmtId="10" fontId="69" fillId="33" borderId="41" xfId="114" applyNumberFormat="1" applyFont="1" applyFill="1" applyBorder="1" applyAlignment="1">
      <alignment horizontal="center" vertical="center"/>
    </xf>
    <xf numFmtId="4" fontId="69" fillId="33" borderId="42" xfId="114" applyNumberFormat="1" applyFont="1" applyFill="1" applyBorder="1" applyAlignment="1">
      <alignment horizontal="center" vertical="center"/>
    </xf>
    <xf numFmtId="187" fontId="69" fillId="33" borderId="42" xfId="114" applyNumberFormat="1" applyFont="1" applyFill="1" applyBorder="1" applyAlignment="1">
      <alignment horizontal="center" vertical="center"/>
    </xf>
    <xf numFmtId="0" fontId="69" fillId="33" borderId="36" xfId="114" applyFont="1" applyFill="1" applyBorder="1" applyAlignment="1">
      <alignment vertical="center"/>
    </xf>
    <xf numFmtId="0" fontId="69" fillId="33" borderId="36" xfId="114" applyFont="1" applyFill="1" applyBorder="1" applyAlignment="1">
      <alignment horizontal="center" vertical="center"/>
    </xf>
    <xf numFmtId="10" fontId="69" fillId="33" borderId="36" xfId="114" applyNumberFormat="1" applyFont="1" applyFill="1" applyBorder="1" applyAlignment="1">
      <alignment horizontal="center" vertical="center"/>
    </xf>
    <xf numFmtId="187" fontId="69" fillId="33" borderId="36" xfId="114" applyNumberFormat="1" applyFont="1" applyFill="1" applyBorder="1" applyAlignment="1">
      <alignment horizontal="center" vertical="center"/>
    </xf>
    <xf numFmtId="172" fontId="8" fillId="0" borderId="0" xfId="104" applyNumberFormat="1" applyFont="1" applyAlignment="1">
      <alignment horizontal="right" vertical="center"/>
    </xf>
    <xf numFmtId="49" fontId="5" fillId="0" borderId="0" xfId="116" applyNumberFormat="1" applyFont="1" applyAlignment="1">
      <alignment horizontal="left" vertical="center"/>
    </xf>
    <xf numFmtId="0" fontId="6" fillId="0" borderId="0" xfId="207" applyFont="1"/>
    <xf numFmtId="0" fontId="71" fillId="0" borderId="0" xfId="207" applyFont="1" applyAlignment="1">
      <alignment horizontal="left" vertical="center"/>
    </xf>
    <xf numFmtId="0" fontId="79" fillId="0" borderId="0" xfId="116" quotePrefix="1" applyFont="1" applyAlignment="1">
      <alignment horizontal="left" vertical="top"/>
    </xf>
    <xf numFmtId="0" fontId="79" fillId="0" borderId="0" xfId="207" applyFont="1" applyAlignment="1">
      <alignment horizontal="centerContinuous" vertical="center"/>
    </xf>
    <xf numFmtId="0" fontId="79" fillId="0" borderId="0" xfId="116" applyFont="1" applyAlignment="1">
      <alignment horizontal="center" vertical="top"/>
    </xf>
    <xf numFmtId="0" fontId="79" fillId="0" borderId="0" xfId="116" quotePrefix="1" applyFont="1" applyAlignment="1">
      <alignment horizontal="left" vertical="center"/>
    </xf>
    <xf numFmtId="0" fontId="100" fillId="0" borderId="0" xfId="207" applyFont="1" applyAlignment="1">
      <alignment horizontal="right" vertical="center"/>
    </xf>
    <xf numFmtId="0" fontId="79" fillId="0" borderId="0" xfId="116" applyFont="1" applyAlignment="1">
      <alignment horizontal="center" vertical="center"/>
    </xf>
    <xf numFmtId="0" fontId="79" fillId="0" borderId="0" xfId="116" applyFont="1" applyAlignment="1">
      <alignment horizontal="left" vertical="center"/>
    </xf>
    <xf numFmtId="15" fontId="8" fillId="0" borderId="0" xfId="288" applyNumberFormat="1" applyFont="1" applyAlignment="1">
      <alignment horizontal="left" vertical="center"/>
    </xf>
    <xf numFmtId="2" fontId="7" fillId="0" borderId="0" xfId="207" applyNumberFormat="1" applyFont="1" applyAlignment="1">
      <alignment horizontal="center" vertical="center"/>
    </xf>
    <xf numFmtId="0" fontId="38" fillId="32" borderId="7" xfId="207" applyFont="1" applyFill="1" applyBorder="1" applyAlignment="1">
      <alignment horizontal="center" vertical="center"/>
    </xf>
    <xf numFmtId="0" fontId="38" fillId="32" borderId="7" xfId="120" applyFont="1" applyFill="1" applyBorder="1" applyAlignment="1">
      <alignment horizontal="center" vertical="center" wrapText="1"/>
    </xf>
    <xf numFmtId="0" fontId="38" fillId="32" borderId="7" xfId="207" applyFont="1" applyFill="1" applyBorder="1" applyAlignment="1">
      <alignment horizontal="center" vertical="center" wrapText="1"/>
    </xf>
    <xf numFmtId="0" fontId="38" fillId="32" borderId="7" xfId="112" applyFont="1" applyFill="1" applyBorder="1" applyAlignment="1">
      <alignment horizontal="center" vertical="center" wrapText="1"/>
    </xf>
    <xf numFmtId="2" fontId="101" fillId="0" borderId="41" xfId="207" applyNumberFormat="1" applyFont="1" applyBorder="1" applyAlignment="1">
      <alignment horizontal="center" vertical="center"/>
    </xf>
    <xf numFmtId="0" fontId="102" fillId="0" borderId="0" xfId="207" applyFont="1" applyAlignment="1">
      <alignment vertical="center"/>
    </xf>
    <xf numFmtId="0" fontId="101" fillId="0" borderId="0" xfId="207" applyFont="1" applyAlignment="1">
      <alignment vertical="center"/>
    </xf>
    <xf numFmtId="0" fontId="101" fillId="0" borderId="0" xfId="207" applyFont="1" applyAlignment="1">
      <alignment horizontal="centerContinuous" vertical="center"/>
    </xf>
    <xf numFmtId="4" fontId="101" fillId="0" borderId="40" xfId="289" applyNumberFormat="1" applyFont="1" applyBorder="1" applyAlignment="1">
      <alignment horizontal="center" vertical="center"/>
    </xf>
    <xf numFmtId="0" fontId="101" fillId="0" borderId="0" xfId="207" quotePrefix="1" applyFont="1" applyAlignment="1">
      <alignment horizontal="left" vertical="center"/>
    </xf>
    <xf numFmtId="4" fontId="101" fillId="0" borderId="41" xfId="289" applyNumberFormat="1" applyFont="1" applyBorder="1" applyAlignment="1">
      <alignment horizontal="center" vertical="center"/>
    </xf>
    <xf numFmtId="0" fontId="101" fillId="0" borderId="7" xfId="207" applyFont="1" applyBorder="1" applyAlignment="1">
      <alignment horizontal="center" vertical="center"/>
    </xf>
    <xf numFmtId="0" fontId="38" fillId="0" borderId="66" xfId="207" applyFont="1" applyBorder="1" applyAlignment="1">
      <alignment vertical="center"/>
    </xf>
    <xf numFmtId="0" fontId="38" fillId="0" borderId="6" xfId="207" applyFont="1" applyBorder="1" applyAlignment="1">
      <alignment vertical="center"/>
    </xf>
    <xf numFmtId="0" fontId="101" fillId="0" borderId="6" xfId="207" applyFont="1" applyBorder="1" applyAlignment="1">
      <alignment vertical="center"/>
    </xf>
    <xf numFmtId="4" fontId="38" fillId="0" borderId="7" xfId="207" applyNumberFormat="1" applyFont="1" applyBorder="1" applyAlignment="1">
      <alignment horizontal="center" vertical="center"/>
    </xf>
    <xf numFmtId="4" fontId="38" fillId="0" borderId="7" xfId="115" applyNumberFormat="1" applyFont="1" applyBorder="1" applyAlignment="1">
      <alignment horizontal="center" vertical="center"/>
    </xf>
    <xf numFmtId="4" fontId="6" fillId="0" borderId="0" xfId="207" applyNumberFormat="1" applyFont="1"/>
    <xf numFmtId="0" fontId="104" fillId="0" borderId="0" xfId="289" applyFont="1" applyAlignment="1">
      <alignment vertical="center"/>
    </xf>
    <xf numFmtId="0" fontId="3" fillId="0" borderId="0" xfId="289" applyFont="1"/>
    <xf numFmtId="0" fontId="104" fillId="0" borderId="43" xfId="289" applyFont="1" applyBorder="1" applyAlignment="1">
      <alignment vertical="center"/>
    </xf>
    <xf numFmtId="0" fontId="104" fillId="0" borderId="24" xfId="289" applyFont="1" applyBorder="1" applyAlignment="1">
      <alignment horizontal="center" vertical="center"/>
    </xf>
    <xf numFmtId="0" fontId="105" fillId="0" borderId="37" xfId="289" applyFont="1" applyBorder="1" applyAlignment="1">
      <alignment vertical="center"/>
    </xf>
    <xf numFmtId="3" fontId="105" fillId="0" borderId="19" xfId="289" applyNumberFormat="1" applyFont="1" applyBorder="1" applyAlignment="1">
      <alignment horizontal="center" vertical="center"/>
    </xf>
    <xf numFmtId="0" fontId="105" fillId="0" borderId="19" xfId="289" applyFont="1" applyBorder="1" applyAlignment="1">
      <alignment horizontal="center" vertical="center"/>
    </xf>
    <xf numFmtId="0" fontId="105" fillId="0" borderId="0" xfId="289" applyFont="1" applyAlignment="1">
      <alignment vertical="center"/>
    </xf>
    <xf numFmtId="0" fontId="6" fillId="0" borderId="0" xfId="207" applyFont="1" applyAlignment="1">
      <alignment horizontal="left"/>
    </xf>
    <xf numFmtId="1" fontId="6" fillId="0" borderId="0" xfId="207" applyNumberFormat="1" applyFont="1"/>
    <xf numFmtId="3" fontId="6" fillId="0" borderId="0" xfId="207" applyNumberFormat="1" applyFont="1"/>
    <xf numFmtId="189" fontId="37" fillId="0" borderId="0" xfId="115" applyNumberFormat="1" applyFont="1" applyAlignment="1">
      <alignment horizontal="center" vertical="center"/>
    </xf>
    <xf numFmtId="4" fontId="37" fillId="0" borderId="38" xfId="127" applyNumberFormat="1" applyFont="1" applyFill="1" applyBorder="1" applyAlignment="1">
      <alignment horizontal="center" vertical="center"/>
    </xf>
    <xf numFmtId="49" fontId="38" fillId="0" borderId="0" xfId="207" applyNumberFormat="1" applyFont="1" applyAlignment="1">
      <alignment horizontal="left" vertical="center"/>
    </xf>
    <xf numFmtId="175" fontId="6" fillId="0" borderId="0" xfId="208" applyNumberFormat="1" applyFont="1" applyAlignment="1">
      <alignment vertical="center"/>
    </xf>
    <xf numFmtId="9" fontId="6" fillId="0" borderId="0" xfId="208" applyNumberFormat="1" applyFont="1" applyAlignment="1">
      <alignment vertical="center"/>
    </xf>
    <xf numFmtId="4" fontId="37" fillId="0" borderId="65" xfId="35" applyNumberFormat="1" applyFont="1" applyBorder="1" applyAlignment="1">
      <alignment horizontal="center" vertical="center"/>
    </xf>
    <xf numFmtId="0" fontId="6" fillId="0" borderId="0" xfId="223" applyFont="1" applyAlignment="1">
      <alignment vertical="center"/>
    </xf>
    <xf numFmtId="4" fontId="6" fillId="0" borderId="0" xfId="223" applyNumberFormat="1" applyFont="1" applyAlignment="1">
      <alignment horizontal="center" vertical="center"/>
    </xf>
    <xf numFmtId="0" fontId="5" fillId="0" borderId="0" xfId="223" applyFont="1" applyAlignment="1">
      <alignment horizontal="center" vertical="center"/>
    </xf>
    <xf numFmtId="189" fontId="6" fillId="0" borderId="0" xfId="223" applyNumberFormat="1" applyFont="1" applyAlignment="1">
      <alignment vertical="center"/>
    </xf>
    <xf numFmtId="4" fontId="84" fillId="0" borderId="0" xfId="223" applyNumberFormat="1" applyFont="1" applyAlignment="1">
      <alignment vertical="center"/>
    </xf>
    <xf numFmtId="193" fontId="8" fillId="0" borderId="0" xfId="223" applyNumberFormat="1" applyFont="1" applyAlignment="1">
      <alignment horizontal="center" vertical="center"/>
    </xf>
    <xf numFmtId="0" fontId="16" fillId="0" borderId="0" xfId="114" applyFont="1" applyAlignment="1">
      <alignment vertical="center"/>
    </xf>
    <xf numFmtId="49" fontId="16" fillId="0" borderId="0" xfId="114" applyNumberFormat="1" applyFont="1" applyAlignment="1">
      <alignment vertical="center"/>
    </xf>
    <xf numFmtId="10" fontId="5" fillId="0" borderId="0" xfId="114" applyNumberFormat="1" applyFont="1" applyAlignment="1">
      <alignment horizontal="center" vertical="center"/>
    </xf>
    <xf numFmtId="0" fontId="69" fillId="0" borderId="0" xfId="114" applyFont="1" applyAlignment="1">
      <alignment horizontal="left" vertical="center"/>
    </xf>
    <xf numFmtId="2" fontId="69" fillId="0" borderId="0" xfId="114" applyNumberFormat="1" applyFont="1" applyAlignment="1">
      <alignment horizontal="center" vertical="center"/>
    </xf>
    <xf numFmtId="0" fontId="70" fillId="0" borderId="0" xfId="114" applyFont="1" applyAlignment="1">
      <alignment horizontal="center" vertical="center"/>
    </xf>
    <xf numFmtId="187" fontId="70" fillId="0" borderId="0" xfId="114" applyNumberFormat="1" applyFont="1" applyAlignment="1">
      <alignment horizontal="center" vertical="center"/>
    </xf>
    <xf numFmtId="0" fontId="12" fillId="0" borderId="0" xfId="114" applyFont="1" applyAlignment="1">
      <alignment vertical="center"/>
    </xf>
    <xf numFmtId="189" fontId="70" fillId="0" borderId="0" xfId="114" applyNumberFormat="1" applyFont="1" applyAlignment="1">
      <alignment vertical="center"/>
    </xf>
    <xf numFmtId="187" fontId="70" fillId="0" borderId="0" xfId="114" applyNumberFormat="1" applyFont="1" applyAlignment="1">
      <alignment vertical="center"/>
    </xf>
    <xf numFmtId="0" fontId="70" fillId="23" borderId="0" xfId="114" applyFont="1" applyFill="1" applyAlignment="1">
      <alignment horizontal="center" vertical="center"/>
    </xf>
    <xf numFmtId="187" fontId="69" fillId="33" borderId="0" xfId="114" applyNumberFormat="1" applyFont="1" applyFill="1" applyAlignment="1">
      <alignment horizontal="center" vertical="center"/>
    </xf>
    <xf numFmtId="187" fontId="70" fillId="33" borderId="0" xfId="114" applyNumberFormat="1" applyFont="1" applyFill="1" applyAlignment="1">
      <alignment horizontal="center" vertical="center"/>
    </xf>
    <xf numFmtId="0" fontId="70" fillId="33" borderId="0" xfId="114" applyFont="1" applyFill="1" applyAlignment="1">
      <alignment horizontal="center" vertical="center"/>
    </xf>
    <xf numFmtId="0" fontId="70" fillId="33" borderId="0" xfId="114" applyFont="1" applyFill="1" applyAlignment="1">
      <alignment horizontal="right" vertical="center"/>
    </xf>
    <xf numFmtId="10" fontId="69" fillId="33" borderId="0" xfId="114" applyNumberFormat="1" applyFont="1" applyFill="1" applyAlignment="1">
      <alignment horizontal="center" vertical="center"/>
    </xf>
    <xf numFmtId="189" fontId="70" fillId="33" borderId="0" xfId="114" applyNumberFormat="1" applyFont="1" applyFill="1" applyAlignment="1">
      <alignment horizontal="center" vertical="center"/>
    </xf>
    <xf numFmtId="187" fontId="16" fillId="0" borderId="0" xfId="114" applyNumberFormat="1" applyFont="1" applyAlignment="1">
      <alignment horizontal="center" vertical="center"/>
    </xf>
    <xf numFmtId="187" fontId="8" fillId="0" borderId="0" xfId="113" applyNumberFormat="1" applyFont="1" applyAlignment="1">
      <alignment horizontal="center" vertical="center"/>
    </xf>
    <xf numFmtId="0" fontId="8" fillId="0" borderId="0" xfId="113" applyFont="1" applyAlignment="1">
      <alignment horizontal="center" vertical="center"/>
    </xf>
    <xf numFmtId="4" fontId="8" fillId="0" borderId="0" xfId="113" applyNumberFormat="1" applyFont="1" applyAlignment="1">
      <alignment horizontal="center" vertical="center"/>
    </xf>
    <xf numFmtId="187" fontId="6" fillId="0" borderId="0" xfId="113" applyNumberFormat="1" applyFont="1" applyAlignment="1">
      <alignment horizontal="center" vertical="center"/>
    </xf>
    <xf numFmtId="4" fontId="6" fillId="0" borderId="0" xfId="113" applyNumberFormat="1" applyFont="1" applyAlignment="1">
      <alignment horizontal="center" vertical="center"/>
    </xf>
    <xf numFmtId="0" fontId="69" fillId="0" borderId="0" xfId="113" applyFont="1" applyAlignment="1">
      <alignment horizontal="center" vertical="center"/>
    </xf>
    <xf numFmtId="187" fontId="8" fillId="0" borderId="0" xfId="114" applyNumberFormat="1" applyFont="1" applyAlignment="1">
      <alignment horizontal="center" vertical="center"/>
    </xf>
    <xf numFmtId="0" fontId="70" fillId="0" borderId="0" xfId="114" applyFont="1" applyAlignment="1">
      <alignment horizontal="right" vertical="center"/>
    </xf>
    <xf numFmtId="189" fontId="70" fillId="0" borderId="0" xfId="114" applyNumberFormat="1" applyFont="1" applyAlignment="1">
      <alignment horizontal="center" vertical="center"/>
    </xf>
    <xf numFmtId="0" fontId="92" fillId="0" borderId="29" xfId="103" applyFont="1" applyBorder="1" applyAlignment="1">
      <alignment horizontal="right" vertical="center"/>
    </xf>
    <xf numFmtId="0" fontId="91" fillId="0" borderId="36" xfId="103" applyFont="1" applyBorder="1" applyAlignment="1">
      <alignment vertical="center"/>
    </xf>
    <xf numFmtId="0" fontId="91" fillId="0" borderId="36" xfId="103" applyFont="1" applyBorder="1" applyAlignment="1">
      <alignment horizontal="center" vertical="center"/>
    </xf>
    <xf numFmtId="10" fontId="91" fillId="0" borderId="36" xfId="103" applyNumberFormat="1" applyFont="1" applyBorder="1" applyAlignment="1">
      <alignment horizontal="center" vertical="center"/>
    </xf>
    <xf numFmtId="187" fontId="91" fillId="0" borderId="36" xfId="103" applyNumberFormat="1" applyFont="1" applyBorder="1" applyAlignment="1">
      <alignment horizontal="center" vertical="center"/>
    </xf>
    <xf numFmtId="189" fontId="92" fillId="0" borderId="50" xfId="103" applyNumberFormat="1" applyFont="1" applyBorder="1" applyAlignment="1">
      <alignment horizontal="center" vertical="center"/>
    </xf>
    <xf numFmtId="0" fontId="91" fillId="0" borderId="13" xfId="103" applyFont="1" applyBorder="1" applyAlignment="1">
      <alignment vertical="center" wrapText="1"/>
    </xf>
    <xf numFmtId="0" fontId="91" fillId="0" borderId="41" xfId="103" applyFont="1" applyBorder="1" applyAlignment="1">
      <alignment horizontal="center" vertical="center"/>
    </xf>
    <xf numFmtId="10" fontId="91" fillId="0" borderId="41" xfId="103" applyNumberFormat="1" applyFont="1" applyBorder="1" applyAlignment="1">
      <alignment horizontal="center" vertical="center"/>
    </xf>
    <xf numFmtId="187" fontId="91" fillId="0" borderId="41" xfId="103" applyNumberFormat="1" applyFont="1" applyBorder="1" applyAlignment="1">
      <alignment horizontal="center" vertical="center"/>
    </xf>
    <xf numFmtId="189" fontId="91" fillId="0" borderId="71" xfId="103" applyNumberFormat="1" applyFont="1" applyBorder="1" applyAlignment="1">
      <alignment horizontal="center" vertical="center"/>
    </xf>
    <xf numFmtId="187" fontId="5" fillId="0" borderId="0" xfId="114" applyNumberFormat="1" applyFont="1" applyAlignment="1">
      <alignment horizontal="center" vertical="center"/>
    </xf>
    <xf numFmtId="0" fontId="6" fillId="0" borderId="0" xfId="114" applyFont="1" applyAlignment="1">
      <alignment horizontal="center" vertical="center"/>
    </xf>
    <xf numFmtId="187" fontId="16" fillId="0" borderId="0" xfId="114" applyNumberFormat="1" applyFont="1" applyAlignment="1">
      <alignment vertical="center"/>
    </xf>
    <xf numFmtId="189" fontId="8" fillId="0" borderId="0" xfId="114" applyNumberFormat="1" applyFont="1" applyAlignment="1">
      <alignment horizontal="center" vertical="center"/>
    </xf>
    <xf numFmtId="2" fontId="87" fillId="0" borderId="43" xfId="114" applyNumberFormat="1" applyFont="1" applyBorder="1" applyAlignment="1">
      <alignment horizontal="center" vertical="center"/>
    </xf>
    <xf numFmtId="10" fontId="69" fillId="0" borderId="34" xfId="127" applyNumberFormat="1" applyFont="1" applyFill="1" applyBorder="1" applyAlignment="1">
      <alignment horizontal="center" vertical="center"/>
    </xf>
    <xf numFmtId="10" fontId="69" fillId="0" borderId="36" xfId="114" applyNumberFormat="1" applyFont="1" applyBorder="1" applyAlignment="1">
      <alignment horizontal="center" vertical="center"/>
    </xf>
    <xf numFmtId="187" fontId="69" fillId="0" borderId="36" xfId="114" applyNumberFormat="1" applyFont="1" applyBorder="1" applyAlignment="1">
      <alignment horizontal="center" vertical="center"/>
    </xf>
    <xf numFmtId="10" fontId="70" fillId="0" borderId="0" xfId="290" applyNumberFormat="1" applyFont="1" applyAlignment="1">
      <alignment horizontal="right" vertical="center"/>
    </xf>
    <xf numFmtId="187" fontId="70" fillId="0" borderId="0" xfId="290" applyNumberFormat="1" applyFont="1" applyAlignment="1">
      <alignment vertical="center"/>
    </xf>
    <xf numFmtId="10" fontId="69" fillId="0" borderId="40" xfId="127" applyNumberFormat="1" applyFont="1" applyFill="1" applyBorder="1" applyAlignment="1">
      <alignment horizontal="center" vertical="center"/>
    </xf>
    <xf numFmtId="187" fontId="69" fillId="0" borderId="60" xfId="114" applyNumberFormat="1" applyFont="1" applyBorder="1" applyAlignment="1">
      <alignment horizontal="center" vertical="center"/>
    </xf>
    <xf numFmtId="187" fontId="69" fillId="0" borderId="61" xfId="114" applyNumberFormat="1" applyFont="1" applyBorder="1" applyAlignment="1">
      <alignment horizontal="center" vertical="center"/>
    </xf>
    <xf numFmtId="10" fontId="69" fillId="0" borderId="41" xfId="127" applyNumberFormat="1" applyFont="1" applyFill="1" applyBorder="1" applyAlignment="1">
      <alignment horizontal="center" vertical="center"/>
    </xf>
    <xf numFmtId="0" fontId="69" fillId="0" borderId="34" xfId="114" applyFont="1" applyBorder="1" applyAlignment="1">
      <alignment horizontal="center" vertical="center"/>
    </xf>
    <xf numFmtId="10" fontId="69" fillId="0" borderId="42" xfId="127" applyNumberFormat="1" applyFont="1" applyFill="1" applyBorder="1" applyAlignment="1">
      <alignment horizontal="center" vertical="center"/>
    </xf>
    <xf numFmtId="187" fontId="69" fillId="0" borderId="34" xfId="114" applyNumberFormat="1" applyFont="1" applyBorder="1" applyAlignment="1">
      <alignment horizontal="center" vertical="center"/>
    </xf>
    <xf numFmtId="187" fontId="69" fillId="0" borderId="42" xfId="114" applyNumberFormat="1" applyFont="1" applyBorder="1" applyAlignment="1">
      <alignment horizontal="center" vertical="center"/>
    </xf>
    <xf numFmtId="189" fontId="69" fillId="0" borderId="72" xfId="114" applyNumberFormat="1" applyFont="1" applyBorder="1" applyAlignment="1">
      <alignment horizontal="center" vertical="center"/>
    </xf>
    <xf numFmtId="0" fontId="69" fillId="0" borderId="15" xfId="114" applyFont="1" applyBorder="1" applyAlignment="1">
      <alignment vertical="center"/>
    </xf>
    <xf numFmtId="0" fontId="69" fillId="0" borderId="15" xfId="114" applyFont="1" applyBorder="1" applyAlignment="1">
      <alignment horizontal="center" vertical="center"/>
    </xf>
    <xf numFmtId="10" fontId="69" fillId="0" borderId="15" xfId="114" applyNumberFormat="1" applyFont="1" applyBorder="1" applyAlignment="1">
      <alignment horizontal="center" vertical="center"/>
    </xf>
    <xf numFmtId="187" fontId="69" fillId="0" borderId="15" xfId="114" applyNumberFormat="1" applyFont="1" applyBorder="1" applyAlignment="1">
      <alignment horizontal="center" vertical="center"/>
    </xf>
    <xf numFmtId="189" fontId="70" fillId="0" borderId="73" xfId="114" applyNumberFormat="1" applyFont="1" applyBorder="1" applyAlignment="1">
      <alignment horizontal="center" vertical="center"/>
    </xf>
    <xf numFmtId="0" fontId="69" fillId="0" borderId="54" xfId="114" applyFont="1" applyBorder="1" applyAlignment="1">
      <alignment vertical="center"/>
    </xf>
    <xf numFmtId="0" fontId="69" fillId="0" borderId="76" xfId="114" applyFont="1" applyBorder="1" applyAlignment="1">
      <alignment vertical="center"/>
    </xf>
    <xf numFmtId="187" fontId="69" fillId="0" borderId="63" xfId="114" applyNumberFormat="1" applyFont="1" applyBorder="1" applyAlignment="1">
      <alignment horizontal="center" vertical="center"/>
    </xf>
    <xf numFmtId="187" fontId="69" fillId="0" borderId="62" xfId="114" applyNumberFormat="1" applyFont="1" applyBorder="1" applyAlignment="1">
      <alignment horizontal="center" vertical="center"/>
    </xf>
    <xf numFmtId="187" fontId="83" fillId="0" borderId="42" xfId="114" applyNumberFormat="1" applyFont="1" applyBorder="1" applyAlignment="1">
      <alignment horizontal="center" vertical="center"/>
    </xf>
    <xf numFmtId="189" fontId="69" fillId="0" borderId="55" xfId="114" applyNumberFormat="1" applyFont="1" applyBorder="1" applyAlignment="1">
      <alignment horizontal="center" vertical="center"/>
    </xf>
    <xf numFmtId="0" fontId="70" fillId="31" borderId="20" xfId="114" applyFont="1" applyFill="1" applyBorder="1" applyAlignment="1">
      <alignment horizontal="centerContinuous" vertical="center"/>
    </xf>
    <xf numFmtId="0" fontId="70" fillId="31" borderId="56" xfId="114" applyFont="1" applyFill="1" applyBorder="1" applyAlignment="1">
      <alignment horizontal="center" vertical="center"/>
    </xf>
    <xf numFmtId="0" fontId="70" fillId="31" borderId="18" xfId="114" applyFont="1" applyFill="1" applyBorder="1" applyAlignment="1">
      <alignment horizontal="center" vertical="center"/>
    </xf>
    <xf numFmtId="10" fontId="70" fillId="31" borderId="56" xfId="114" applyNumberFormat="1" applyFont="1" applyFill="1" applyBorder="1" applyAlignment="1">
      <alignment horizontal="center" vertical="center"/>
    </xf>
    <xf numFmtId="187" fontId="70" fillId="31" borderId="57" xfId="114" applyNumberFormat="1" applyFont="1" applyFill="1" applyBorder="1" applyAlignment="1">
      <alignment horizontal="center" vertical="center"/>
    </xf>
    <xf numFmtId="187" fontId="70" fillId="31" borderId="56" xfId="114" applyNumberFormat="1" applyFont="1" applyFill="1" applyBorder="1" applyAlignment="1">
      <alignment horizontal="left" vertical="center"/>
    </xf>
    <xf numFmtId="189" fontId="70" fillId="31" borderId="70" xfId="114" applyNumberFormat="1" applyFont="1" applyFill="1" applyBorder="1" applyAlignment="1">
      <alignment horizontal="center" vertical="center"/>
    </xf>
    <xf numFmtId="0" fontId="69" fillId="31" borderId="13" xfId="114" applyFont="1" applyFill="1" applyBorder="1" applyAlignment="1">
      <alignment vertical="center"/>
    </xf>
    <xf numFmtId="0" fontId="70" fillId="31" borderId="42" xfId="114" applyFont="1" applyFill="1" applyBorder="1" applyAlignment="1">
      <alignment horizontal="center" vertical="center"/>
    </xf>
    <xf numFmtId="0" fontId="70" fillId="31" borderId="34" xfId="114" applyFont="1" applyFill="1" applyBorder="1" applyAlignment="1">
      <alignment horizontal="center" vertical="center"/>
    </xf>
    <xf numFmtId="10" fontId="70" fillId="31" borderId="42" xfId="114" applyNumberFormat="1" applyFont="1" applyFill="1" applyBorder="1" applyAlignment="1">
      <alignment horizontal="center" vertical="center"/>
    </xf>
    <xf numFmtId="187" fontId="70" fillId="31" borderId="62" xfId="114" applyNumberFormat="1" applyFont="1" applyFill="1" applyBorder="1" applyAlignment="1">
      <alignment horizontal="center" vertical="center"/>
    </xf>
    <xf numFmtId="189" fontId="70" fillId="31" borderId="55" xfId="114" applyNumberFormat="1" applyFont="1" applyFill="1" applyBorder="1" applyAlignment="1">
      <alignment horizontal="center" vertical="center"/>
    </xf>
    <xf numFmtId="0" fontId="69" fillId="31" borderId="26" xfId="114" applyFont="1" applyFill="1" applyBorder="1" applyAlignment="1">
      <alignment vertical="center"/>
    </xf>
    <xf numFmtId="189" fontId="69" fillId="0" borderId="53" xfId="114" applyNumberFormat="1" applyFont="1" applyBorder="1" applyAlignment="1">
      <alignment horizontal="center" vertical="center"/>
    </xf>
    <xf numFmtId="0" fontId="70" fillId="31" borderId="18" xfId="114" applyFont="1" applyFill="1" applyBorder="1" applyAlignment="1">
      <alignment horizontal="left" vertical="center"/>
    </xf>
    <xf numFmtId="187" fontId="70" fillId="31" borderId="56" xfId="114" applyNumberFormat="1" applyFont="1" applyFill="1" applyBorder="1" applyAlignment="1">
      <alignment horizontal="center" vertical="center"/>
    </xf>
    <xf numFmtId="187" fontId="70" fillId="31" borderId="18" xfId="114" applyNumberFormat="1" applyFont="1" applyFill="1" applyBorder="1" applyAlignment="1">
      <alignment horizontal="center" vertical="center"/>
    </xf>
    <xf numFmtId="0" fontId="70" fillId="31" borderId="62" xfId="114" applyFont="1" applyFill="1" applyBorder="1" applyAlignment="1">
      <alignment horizontal="center" vertical="center"/>
    </xf>
    <xf numFmtId="187" fontId="70" fillId="31" borderId="42" xfId="114" applyNumberFormat="1" applyFont="1" applyFill="1" applyBorder="1" applyAlignment="1">
      <alignment horizontal="center" vertical="center"/>
    </xf>
    <xf numFmtId="187" fontId="38" fillId="31" borderId="42" xfId="113" applyNumberFormat="1" applyFont="1" applyFill="1" applyBorder="1" applyAlignment="1">
      <alignment horizontal="center" vertical="center"/>
    </xf>
    <xf numFmtId="187" fontId="69" fillId="0" borderId="60" xfId="113" applyNumberFormat="1" applyFont="1" applyBorder="1" applyAlignment="1">
      <alignment horizontal="center" vertical="center"/>
    </xf>
    <xf numFmtId="187" fontId="69" fillId="0" borderId="41" xfId="113" applyNumberFormat="1" applyFont="1" applyBorder="1" applyAlignment="1">
      <alignment horizontal="center" vertical="center"/>
    </xf>
    <xf numFmtId="187" fontId="69" fillId="0" borderId="41" xfId="103" applyNumberFormat="1" applyFont="1" applyBorder="1" applyAlignment="1">
      <alignment horizontal="center" vertical="center"/>
    </xf>
    <xf numFmtId="0" fontId="8" fillId="0" borderId="0" xfId="103" applyFont="1" applyAlignment="1">
      <alignment vertical="center"/>
    </xf>
    <xf numFmtId="187" fontId="88" fillId="0" borderId="7" xfId="290" applyNumberFormat="1" applyFont="1" applyBorder="1" applyAlignment="1">
      <alignment horizontal="center" vertical="center"/>
    </xf>
    <xf numFmtId="0" fontId="12" fillId="0" borderId="0" xfId="246" applyFont="1" applyAlignment="1">
      <alignment vertical="center"/>
    </xf>
    <xf numFmtId="0" fontId="11" fillId="0" borderId="0" xfId="246" applyFont="1" applyAlignment="1">
      <alignment horizontal="centerContinuous" vertical="center"/>
    </xf>
    <xf numFmtId="0" fontId="6" fillId="0" borderId="0" xfId="246" applyFont="1" applyAlignment="1">
      <alignment horizontal="centerContinuous"/>
    </xf>
    <xf numFmtId="0" fontId="106" fillId="0" borderId="0" xfId="246" quotePrefix="1" applyFont="1" applyAlignment="1">
      <alignment horizontal="centerContinuous" vertical="center" wrapText="1"/>
    </xf>
    <xf numFmtId="0" fontId="19" fillId="0" borderId="0" xfId="246" applyFont="1" applyAlignment="1">
      <alignment horizontal="centerContinuous" vertical="center"/>
    </xf>
    <xf numFmtId="0" fontId="106" fillId="0" borderId="0" xfId="246" applyFont="1" applyAlignment="1">
      <alignment horizontal="centerContinuous" vertical="center" wrapText="1"/>
    </xf>
    <xf numFmtId="0" fontId="93" fillId="0" borderId="0" xfId="246" applyFont="1" applyAlignment="1">
      <alignment horizontal="centerContinuous" vertical="center"/>
    </xf>
    <xf numFmtId="0" fontId="82" fillId="0" borderId="0" xfId="246" applyFont="1" applyAlignment="1">
      <alignment horizontal="left"/>
    </xf>
    <xf numFmtId="0" fontId="82" fillId="0" borderId="0" xfId="246" applyFont="1" applyAlignment="1">
      <alignment horizontal="right"/>
    </xf>
    <xf numFmtId="0" fontId="82" fillId="0" borderId="0" xfId="246" quotePrefix="1" applyFont="1" applyAlignment="1">
      <alignment horizontal="left"/>
    </xf>
    <xf numFmtId="2" fontId="107" fillId="0" borderId="0" xfId="246" applyNumberFormat="1" applyFont="1" applyAlignment="1">
      <alignment horizontal="center"/>
    </xf>
    <xf numFmtId="0" fontId="108" fillId="0" borderId="0" xfId="246" applyFont="1" applyAlignment="1">
      <alignment horizontal="left"/>
    </xf>
    <xf numFmtId="0" fontId="109" fillId="0" borderId="0" xfId="246" applyFont="1" applyAlignment="1">
      <alignment horizontal="right"/>
    </xf>
    <xf numFmtId="0" fontId="109" fillId="0" borderId="0" xfId="246" applyFont="1" applyAlignment="1">
      <alignment horizontal="left"/>
    </xf>
    <xf numFmtId="206" fontId="6" fillId="0" borderId="0" xfId="246" applyNumberFormat="1" applyFont="1"/>
    <xf numFmtId="2" fontId="10" fillId="0" borderId="0" xfId="246" applyNumberFormat="1" applyFont="1" applyAlignment="1">
      <alignment horizontal="right"/>
    </xf>
    <xf numFmtId="17" fontId="6" fillId="0" borderId="0" xfId="246" applyNumberFormat="1" applyFont="1" applyAlignment="1">
      <alignment horizontal="right"/>
    </xf>
    <xf numFmtId="0" fontId="13" fillId="0" borderId="0" xfId="246" applyFont="1" applyAlignment="1">
      <alignment horizontal="left"/>
    </xf>
    <xf numFmtId="0" fontId="13" fillId="0" borderId="0" xfId="246" applyFont="1" applyAlignment="1">
      <alignment vertical="center"/>
    </xf>
    <xf numFmtId="0" fontId="79" fillId="34" borderId="77" xfId="246" applyFont="1" applyFill="1" applyBorder="1" applyAlignment="1">
      <alignment horizontal="center" vertical="center"/>
    </xf>
    <xf numFmtId="0" fontId="79" fillId="34" borderId="43" xfId="112" applyFont="1" applyFill="1" applyBorder="1" applyAlignment="1">
      <alignment horizontal="center" vertical="center" wrapText="1"/>
    </xf>
    <xf numFmtId="0" fontId="14" fillId="0" borderId="76" xfId="246" applyFont="1" applyBorder="1" applyAlignment="1">
      <alignment vertical="center"/>
    </xf>
    <xf numFmtId="0" fontId="14" fillId="0" borderId="0" xfId="246" applyFont="1" applyAlignment="1">
      <alignment vertical="center"/>
    </xf>
    <xf numFmtId="0" fontId="14" fillId="0" borderId="0" xfId="246" applyFont="1" applyAlignment="1">
      <alignment horizontal="centerContinuous" vertical="center"/>
    </xf>
    <xf numFmtId="0" fontId="14" fillId="0" borderId="17" xfId="246" applyFont="1" applyBorder="1" applyAlignment="1">
      <alignment horizontal="centerContinuous" vertical="center"/>
    </xf>
    <xf numFmtId="207" fontId="6" fillId="0" borderId="0" xfId="246" applyNumberFormat="1" applyFont="1"/>
    <xf numFmtId="2" fontId="16" fillId="0" borderId="76" xfId="246" applyNumberFormat="1" applyFont="1" applyBorder="1" applyAlignment="1">
      <alignment horizontal="center" vertical="center"/>
    </xf>
    <xf numFmtId="0" fontId="17" fillId="0" borderId="0" xfId="246" applyFont="1" applyAlignment="1">
      <alignment vertical="center"/>
    </xf>
    <xf numFmtId="0" fontId="16" fillId="0" borderId="0" xfId="246" applyFont="1" applyAlignment="1">
      <alignment vertical="center"/>
    </xf>
    <xf numFmtId="0" fontId="16" fillId="0" borderId="17" xfId="246" applyFont="1" applyBorder="1" applyAlignment="1">
      <alignment horizontal="centerContinuous" vertical="center"/>
    </xf>
    <xf numFmtId="207" fontId="16" fillId="0" borderId="16" xfId="127" applyNumberFormat="1" applyFont="1" applyBorder="1" applyAlignment="1">
      <alignment horizontal="right" vertical="center"/>
    </xf>
    <xf numFmtId="2" fontId="13" fillId="0" borderId="76" xfId="246" applyNumberFormat="1" applyFont="1" applyBorder="1" applyAlignment="1">
      <alignment horizontal="center" vertical="center"/>
    </xf>
    <xf numFmtId="0" fontId="13" fillId="0" borderId="17" xfId="246" applyFont="1" applyBorder="1" applyAlignment="1">
      <alignment horizontal="centerContinuous" vertical="center"/>
    </xf>
    <xf numFmtId="207" fontId="13" fillId="0" borderId="16" xfId="127" applyNumberFormat="1" applyFont="1" applyBorder="1" applyAlignment="1">
      <alignment horizontal="right" vertical="center"/>
    </xf>
    <xf numFmtId="0" fontId="13" fillId="0" borderId="76" xfId="246" applyFont="1" applyBorder="1" applyAlignment="1">
      <alignment horizontal="center"/>
    </xf>
    <xf numFmtId="0" fontId="13" fillId="0" borderId="63" xfId="115" quotePrefix="1" applyFont="1" applyBorder="1" applyAlignment="1">
      <alignment horizontal="left" vertical="center"/>
    </xf>
    <xf numFmtId="0" fontId="13" fillId="0" borderId="0" xfId="115" quotePrefix="1" applyFont="1" applyAlignment="1">
      <alignment horizontal="left" vertical="center"/>
    </xf>
    <xf numFmtId="0" fontId="13" fillId="0" borderId="17" xfId="246" quotePrefix="1" applyFont="1" applyBorder="1" applyAlignment="1">
      <alignment horizontal="left" vertical="center"/>
    </xf>
    <xf numFmtId="207" fontId="13" fillId="0" borderId="16" xfId="246" quotePrefix="1" applyNumberFormat="1" applyFont="1" applyBorder="1" applyAlignment="1">
      <alignment horizontal="right" vertical="center"/>
    </xf>
    <xf numFmtId="0" fontId="16" fillId="0" borderId="17" xfId="246" quotePrefix="1" applyFont="1" applyBorder="1" applyAlignment="1">
      <alignment horizontal="left" vertical="center"/>
    </xf>
    <xf numFmtId="173" fontId="6" fillId="0" borderId="0" xfId="127" applyNumberFormat="1" applyFont="1"/>
    <xf numFmtId="9" fontId="10" fillId="0" borderId="0" xfId="127" applyFont="1" applyAlignment="1">
      <alignment horizontal="center"/>
    </xf>
    <xf numFmtId="9" fontId="10" fillId="0" borderId="0" xfId="246" applyNumberFormat="1" applyFont="1" applyAlignment="1">
      <alignment horizontal="center"/>
    </xf>
    <xf numFmtId="0" fontId="13" fillId="0" borderId="17" xfId="246" applyFont="1" applyBorder="1" applyAlignment="1">
      <alignment vertical="center"/>
    </xf>
    <xf numFmtId="173" fontId="8" fillId="0" borderId="0" xfId="127" applyNumberFormat="1" applyFont="1"/>
    <xf numFmtId="0" fontId="16" fillId="0" borderId="17" xfId="246" applyFont="1" applyBorder="1"/>
    <xf numFmtId="207" fontId="13" fillId="0" borderId="0" xfId="127" applyNumberFormat="1" applyFont="1" applyBorder="1" applyAlignment="1">
      <alignment horizontal="right" vertical="center"/>
    </xf>
    <xf numFmtId="0" fontId="14" fillId="0" borderId="44" xfId="246" applyFont="1" applyBorder="1" applyAlignment="1">
      <alignment horizontal="center"/>
    </xf>
    <xf numFmtId="0" fontId="14" fillId="0" borderId="62" xfId="246" applyFont="1" applyBorder="1" applyAlignment="1">
      <alignment vertical="center"/>
    </xf>
    <xf numFmtId="0" fontId="14" fillId="0" borderId="34" xfId="246" applyFont="1" applyBorder="1" applyAlignment="1">
      <alignment vertical="center"/>
    </xf>
    <xf numFmtId="0" fontId="14" fillId="0" borderId="72" xfId="246" applyFont="1" applyBorder="1"/>
    <xf numFmtId="207" fontId="14" fillId="0" borderId="69" xfId="246" applyNumberFormat="1" applyFont="1" applyBorder="1" applyAlignment="1">
      <alignment vertical="center"/>
    </xf>
    <xf numFmtId="0" fontId="14" fillId="0" borderId="54" xfId="246" applyFont="1" applyBorder="1" applyAlignment="1">
      <alignment horizontal="center"/>
    </xf>
    <xf numFmtId="0" fontId="14" fillId="0" borderId="92" xfId="246" applyFont="1" applyBorder="1" applyAlignment="1">
      <alignment vertical="center"/>
    </xf>
    <xf numFmtId="0" fontId="14" fillId="0" borderId="32" xfId="246" applyFont="1" applyBorder="1" applyAlignment="1">
      <alignment vertical="center"/>
    </xf>
    <xf numFmtId="0" fontId="14" fillId="0" borderId="84" xfId="246" applyFont="1" applyBorder="1"/>
    <xf numFmtId="207" fontId="14" fillId="0" borderId="75" xfId="246" applyNumberFormat="1" applyFont="1" applyBorder="1"/>
    <xf numFmtId="0" fontId="5" fillId="0" borderId="63" xfId="246" applyFont="1" applyBorder="1" applyAlignment="1">
      <alignment vertical="center"/>
    </xf>
    <xf numFmtId="0" fontId="14" fillId="0" borderId="17" xfId="246" applyFont="1" applyBorder="1"/>
    <xf numFmtId="207" fontId="5" fillId="0" borderId="16" xfId="246" quotePrefix="1" applyNumberFormat="1" applyFont="1" applyBorder="1" applyAlignment="1">
      <alignment horizontal="right" vertical="center"/>
    </xf>
    <xf numFmtId="0" fontId="13" fillId="0" borderId="44" xfId="246" applyFont="1" applyBorder="1" applyAlignment="1">
      <alignment horizontal="center"/>
    </xf>
    <xf numFmtId="0" fontId="14" fillId="0" borderId="62" xfId="115" applyFont="1" applyBorder="1" applyAlignment="1">
      <alignment horizontal="left" vertical="center"/>
    </xf>
    <xf numFmtId="0" fontId="14" fillId="0" borderId="34" xfId="115" applyFont="1" applyBorder="1" applyAlignment="1">
      <alignment horizontal="left" vertical="center"/>
    </xf>
    <xf numFmtId="0" fontId="14" fillId="0" borderId="72" xfId="246" quotePrefix="1" applyFont="1" applyBorder="1" applyAlignment="1">
      <alignment horizontal="left" vertical="center"/>
    </xf>
    <xf numFmtId="207" fontId="14" fillId="0" borderId="69" xfId="246" quotePrefix="1" applyNumberFormat="1" applyFont="1" applyBorder="1" applyAlignment="1">
      <alignment horizontal="left" vertical="center"/>
    </xf>
    <xf numFmtId="0" fontId="13" fillId="0" borderId="32" xfId="246" applyFont="1" applyBorder="1" applyAlignment="1">
      <alignment horizontal="center"/>
    </xf>
    <xf numFmtId="0" fontId="14" fillId="0" borderId="32" xfId="115" applyFont="1" applyBorder="1" applyAlignment="1">
      <alignment horizontal="left" vertical="center"/>
    </xf>
    <xf numFmtId="0" fontId="14" fillId="0" borderId="32" xfId="246" quotePrefix="1" applyFont="1" applyBorder="1" applyAlignment="1">
      <alignment horizontal="left" vertical="center"/>
    </xf>
    <xf numFmtId="207" fontId="14" fillId="0" borderId="32" xfId="246" quotePrefix="1" applyNumberFormat="1" applyFont="1" applyBorder="1" applyAlignment="1">
      <alignment horizontal="left" vertical="center"/>
    </xf>
    <xf numFmtId="0" fontId="13" fillId="0" borderId="0" xfId="246" applyFont="1" applyAlignment="1">
      <alignment horizontal="center"/>
    </xf>
    <xf numFmtId="0" fontId="14" fillId="0" borderId="0" xfId="246" applyFont="1"/>
    <xf numFmtId="0" fontId="13" fillId="0" borderId="0" xfId="246" applyFont="1" applyAlignment="1">
      <alignment horizontal="right" vertical="center"/>
    </xf>
    <xf numFmtId="207" fontId="13" fillId="0" borderId="0" xfId="246" quotePrefix="1" applyNumberFormat="1" applyFont="1" applyAlignment="1">
      <alignment horizontal="right" vertical="center"/>
    </xf>
    <xf numFmtId="9" fontId="6" fillId="0" borderId="0" xfId="246" applyNumberFormat="1" applyFont="1"/>
    <xf numFmtId="207" fontId="13" fillId="0" borderId="0" xfId="246" applyNumberFormat="1" applyFont="1" applyAlignment="1">
      <alignment vertical="center"/>
    </xf>
    <xf numFmtId="207" fontId="14" fillId="0" borderId="0" xfId="246" quotePrefix="1" applyNumberFormat="1" applyFont="1" applyAlignment="1">
      <alignment horizontal="right" vertical="center"/>
    </xf>
    <xf numFmtId="0" fontId="5" fillId="0" borderId="0" xfId="246" applyFont="1" applyAlignment="1">
      <alignment vertical="center"/>
    </xf>
    <xf numFmtId="207" fontId="5" fillId="0" borderId="0" xfId="115" applyNumberFormat="1" applyFont="1" applyAlignment="1">
      <alignment horizontal="left" vertical="center"/>
    </xf>
    <xf numFmtId="207" fontId="5" fillId="0" borderId="0" xfId="115" applyNumberFormat="1" applyFont="1" applyAlignment="1">
      <alignment horizontal="right" vertical="center"/>
    </xf>
    <xf numFmtId="0" fontId="14" fillId="0" borderId="0" xfId="246" applyFont="1" applyAlignment="1">
      <alignment horizontal="center"/>
    </xf>
    <xf numFmtId="195" fontId="5" fillId="0" borderId="0" xfId="115" applyNumberFormat="1" applyFont="1" applyAlignment="1">
      <alignment horizontal="left" vertical="center"/>
    </xf>
    <xf numFmtId="0" fontId="16" fillId="0" borderId="0" xfId="115" applyFont="1" applyAlignment="1">
      <alignment horizontal="left" vertical="center"/>
    </xf>
    <xf numFmtId="207" fontId="13" fillId="0" borderId="0" xfId="115" applyNumberFormat="1" applyFont="1" applyAlignment="1">
      <alignment horizontal="right" vertical="center"/>
    </xf>
    <xf numFmtId="0" fontId="5" fillId="0" borderId="0" xfId="246" applyFont="1"/>
    <xf numFmtId="0" fontId="14" fillId="0" borderId="0" xfId="115" applyFont="1" applyAlignment="1">
      <alignment horizontal="left" vertical="center"/>
    </xf>
    <xf numFmtId="207" fontId="14" fillId="0" borderId="0" xfId="115" applyNumberFormat="1" applyFont="1" applyAlignment="1">
      <alignment horizontal="left" vertical="center"/>
    </xf>
    <xf numFmtId="0" fontId="23" fillId="0" borderId="0" xfId="115" applyFont="1" applyAlignment="1">
      <alignment horizontal="left" vertical="center"/>
    </xf>
    <xf numFmtId="0" fontId="14" fillId="0" borderId="0" xfId="246" quotePrefix="1" applyFont="1" applyAlignment="1">
      <alignment horizontal="left" vertical="center"/>
    </xf>
    <xf numFmtId="195" fontId="14" fillId="0" borderId="0" xfId="246" quotePrefix="1" applyNumberFormat="1" applyFont="1" applyAlignment="1">
      <alignment horizontal="left" vertical="center"/>
    </xf>
    <xf numFmtId="0" fontId="14" fillId="0" borderId="15" xfId="246" applyFont="1" applyBorder="1"/>
    <xf numFmtId="0" fontId="8" fillId="0" borderId="70" xfId="246" applyFont="1" applyBorder="1" applyAlignment="1">
      <alignment horizontal="center"/>
    </xf>
    <xf numFmtId="0" fontId="8" fillId="0" borderId="71" xfId="246" applyFont="1" applyBorder="1" applyAlignment="1">
      <alignment horizontal="center" vertical="top"/>
    </xf>
    <xf numFmtId="0" fontId="16" fillId="0" borderId="14" xfId="246" applyFont="1" applyBorder="1" applyAlignment="1">
      <alignment horizontal="center" vertical="center"/>
    </xf>
    <xf numFmtId="0" fontId="16" fillId="0" borderId="15" xfId="246" applyFont="1" applyBorder="1" applyAlignment="1">
      <alignment vertical="center"/>
    </xf>
    <xf numFmtId="0" fontId="5" fillId="0" borderId="15" xfId="246" applyFont="1" applyBorder="1" applyAlignment="1">
      <alignment vertical="center"/>
    </xf>
    <xf numFmtId="0" fontId="5" fillId="0" borderId="15" xfId="246" quotePrefix="1" applyFont="1" applyBorder="1" applyAlignment="1">
      <alignment vertical="center"/>
    </xf>
    <xf numFmtId="208" fontId="16" fillId="0" borderId="73" xfId="246" quotePrefix="1" applyNumberFormat="1" applyFont="1" applyBorder="1" applyAlignment="1">
      <alignment horizontal="right" vertical="center"/>
    </xf>
    <xf numFmtId="1" fontId="8" fillId="0" borderId="0" xfId="246" applyNumberFormat="1" applyFont="1"/>
    <xf numFmtId="0" fontId="8" fillId="0" borderId="0" xfId="246" applyFont="1"/>
    <xf numFmtId="0" fontId="16" fillId="0" borderId="0" xfId="246" applyFont="1" applyAlignment="1">
      <alignment horizontal="center" vertical="center"/>
    </xf>
    <xf numFmtId="0" fontId="5" fillId="0" borderId="0" xfId="246" quotePrefix="1" applyFont="1" applyAlignment="1">
      <alignment vertical="center"/>
    </xf>
    <xf numFmtId="208" fontId="16" fillId="0" borderId="0" xfId="246" quotePrefix="1" applyNumberFormat="1" applyFont="1" applyAlignment="1">
      <alignment horizontal="right" vertical="center"/>
    </xf>
    <xf numFmtId="0" fontId="109" fillId="0" borderId="65" xfId="246" applyFont="1" applyBorder="1" applyAlignment="1">
      <alignment horizontal="centerContinuous" vertical="center"/>
    </xf>
    <xf numFmtId="0" fontId="16" fillId="0" borderId="56" xfId="246" applyFont="1" applyBorder="1" applyAlignment="1">
      <alignment horizontal="centerContinuous" vertical="center"/>
    </xf>
    <xf numFmtId="0" fontId="5" fillId="0" borderId="56" xfId="246" applyFont="1" applyBorder="1" applyAlignment="1">
      <alignment horizontal="centerContinuous" vertical="center"/>
    </xf>
    <xf numFmtId="0" fontId="5" fillId="0" borderId="56" xfId="246" quotePrefix="1" applyFont="1" applyBorder="1" applyAlignment="1">
      <alignment horizontal="centerContinuous" vertical="center"/>
    </xf>
    <xf numFmtId="208" fontId="16" fillId="0" borderId="70" xfId="246" quotePrefix="1" applyNumberFormat="1" applyFont="1" applyBorder="1" applyAlignment="1">
      <alignment horizontal="right" vertical="center"/>
    </xf>
    <xf numFmtId="0" fontId="16" fillId="0" borderId="15" xfId="246" applyFont="1" applyBorder="1" applyAlignment="1">
      <alignment horizontal="left" vertical="center"/>
    </xf>
    <xf numFmtId="0" fontId="5" fillId="0" borderId="93" xfId="246" applyFont="1" applyBorder="1" applyAlignment="1">
      <alignment vertical="center"/>
    </xf>
    <xf numFmtId="0" fontId="6" fillId="0" borderId="82" xfId="246" applyFont="1" applyBorder="1"/>
    <xf numFmtId="0" fontId="13" fillId="0" borderId="54" xfId="246" applyFont="1" applyBorder="1" applyAlignment="1">
      <alignment horizontal="center"/>
    </xf>
    <xf numFmtId="0" fontId="14" fillId="0" borderId="92" xfId="115" applyFont="1" applyBorder="1" applyAlignment="1">
      <alignment horizontal="left" vertical="center"/>
    </xf>
    <xf numFmtId="0" fontId="14" fillId="0" borderId="84" xfId="246" quotePrefix="1" applyFont="1" applyBorder="1" applyAlignment="1">
      <alignment horizontal="left" vertical="center"/>
    </xf>
    <xf numFmtId="207" fontId="14" fillId="0" borderId="75" xfId="246" quotePrefix="1" applyNumberFormat="1" applyFont="1" applyBorder="1" applyAlignment="1">
      <alignment horizontal="left" vertical="center"/>
    </xf>
    <xf numFmtId="0" fontId="14" fillId="0" borderId="63" xfId="246" applyFont="1" applyBorder="1"/>
    <xf numFmtId="0" fontId="13" fillId="0" borderId="17" xfId="246" applyFont="1" applyBorder="1" applyAlignment="1">
      <alignment horizontal="right" vertical="center"/>
    </xf>
    <xf numFmtId="207" fontId="13" fillId="0" borderId="16" xfId="246" applyNumberFormat="1" applyFont="1" applyBorder="1" applyAlignment="1">
      <alignment vertical="center"/>
    </xf>
    <xf numFmtId="0" fontId="14" fillId="0" borderId="62" xfId="246" applyFont="1" applyBorder="1"/>
    <xf numFmtId="0" fontId="14" fillId="0" borderId="34" xfId="246" applyFont="1" applyBorder="1"/>
    <xf numFmtId="0" fontId="14" fillId="0" borderId="72" xfId="246" applyFont="1" applyBorder="1" applyAlignment="1">
      <alignment vertical="center"/>
    </xf>
    <xf numFmtId="207" fontId="14" fillId="0" borderId="69" xfId="246" quotePrefix="1" applyNumberFormat="1" applyFont="1" applyBorder="1" applyAlignment="1">
      <alignment horizontal="right" vertical="center"/>
    </xf>
    <xf numFmtId="0" fontId="5" fillId="0" borderId="92" xfId="246" applyFont="1" applyBorder="1" applyAlignment="1">
      <alignment vertical="center"/>
    </xf>
    <xf numFmtId="0" fontId="5" fillId="0" borderId="32" xfId="246" applyFont="1" applyBorder="1" applyAlignment="1">
      <alignment vertical="center"/>
    </xf>
    <xf numFmtId="0" fontId="5" fillId="0" borderId="84" xfId="115" applyFont="1" applyBorder="1" applyAlignment="1">
      <alignment horizontal="left" vertical="center"/>
    </xf>
    <xf numFmtId="207" fontId="5" fillId="0" borderId="75" xfId="115" applyNumberFormat="1" applyFont="1" applyBorder="1" applyAlignment="1">
      <alignment horizontal="left" vertical="center"/>
    </xf>
    <xf numFmtId="0" fontId="5" fillId="0" borderId="17" xfId="115" applyFont="1" applyBorder="1" applyAlignment="1">
      <alignment horizontal="left" vertical="center"/>
    </xf>
    <xf numFmtId="207" fontId="5" fillId="0" borderId="16" xfId="115" applyNumberFormat="1" applyFont="1" applyBorder="1" applyAlignment="1">
      <alignment horizontal="right" vertical="center"/>
    </xf>
    <xf numFmtId="0" fontId="5" fillId="0" borderId="62" xfId="246" applyFont="1" applyBorder="1" applyAlignment="1">
      <alignment vertical="center"/>
    </xf>
    <xf numFmtId="0" fontId="5" fillId="0" borderId="34" xfId="246" applyFont="1" applyBorder="1" applyAlignment="1">
      <alignment vertical="center"/>
    </xf>
    <xf numFmtId="0" fontId="5" fillId="0" borderId="72" xfId="115" applyFont="1" applyBorder="1" applyAlignment="1">
      <alignment horizontal="left" vertical="center"/>
    </xf>
    <xf numFmtId="207" fontId="5" fillId="0" borderId="69" xfId="115" applyNumberFormat="1" applyFont="1" applyBorder="1" applyAlignment="1">
      <alignment horizontal="right" vertical="center"/>
    </xf>
    <xf numFmtId="0" fontId="14" fillId="0" borderId="76" xfId="246" applyFont="1" applyBorder="1" applyAlignment="1">
      <alignment horizontal="center"/>
    </xf>
    <xf numFmtId="195" fontId="5" fillId="0" borderId="17" xfId="115" applyNumberFormat="1" applyFont="1" applyBorder="1" applyAlignment="1">
      <alignment horizontal="left" vertical="center"/>
    </xf>
    <xf numFmtId="207" fontId="5" fillId="0" borderId="16" xfId="115" applyNumberFormat="1" applyFont="1" applyBorder="1" applyAlignment="1">
      <alignment horizontal="left" vertical="center"/>
    </xf>
    <xf numFmtId="0" fontId="14" fillId="0" borderId="63" xfId="246" applyFont="1" applyBorder="1" applyAlignment="1">
      <alignment vertical="center"/>
    </xf>
    <xf numFmtId="0" fontId="16" fillId="0" borderId="17" xfId="115" applyFont="1" applyBorder="1" applyAlignment="1">
      <alignment horizontal="left" vertical="center"/>
    </xf>
    <xf numFmtId="207" fontId="13" fillId="0" borderId="16" xfId="115" applyNumberFormat="1" applyFont="1" applyBorder="1" applyAlignment="1">
      <alignment horizontal="right" vertical="center"/>
    </xf>
    <xf numFmtId="0" fontId="5" fillId="0" borderId="76" xfId="246" applyFont="1" applyBorder="1"/>
    <xf numFmtId="0" fontId="14" fillId="0" borderId="17" xfId="115" applyFont="1" applyBorder="1" applyAlignment="1">
      <alignment horizontal="left" vertical="center"/>
    </xf>
    <xf numFmtId="207" fontId="14" fillId="0" borderId="16" xfId="115" applyNumberFormat="1" applyFont="1" applyBorder="1" applyAlignment="1">
      <alignment horizontal="left" vertical="center"/>
    </xf>
    <xf numFmtId="0" fontId="14" fillId="0" borderId="20" xfId="246" applyFont="1" applyBorder="1"/>
    <xf numFmtId="0" fontId="5" fillId="0" borderId="18" xfId="246" applyFont="1" applyBorder="1" applyAlignment="1">
      <alignment vertical="center"/>
    </xf>
    <xf numFmtId="0" fontId="5" fillId="0" borderId="21" xfId="115" applyFont="1" applyBorder="1" applyAlignment="1">
      <alignment horizontal="left" vertical="center"/>
    </xf>
    <xf numFmtId="207" fontId="5" fillId="0" borderId="38" xfId="115" applyNumberFormat="1" applyFont="1" applyBorder="1" applyAlignment="1">
      <alignment horizontal="left" vertical="center"/>
    </xf>
    <xf numFmtId="0" fontId="14" fillId="0" borderId="13" xfId="246" applyFont="1" applyBorder="1"/>
    <xf numFmtId="0" fontId="23" fillId="0" borderId="17" xfId="115" applyFont="1" applyBorder="1" applyAlignment="1">
      <alignment horizontal="left" vertical="center"/>
    </xf>
    <xf numFmtId="0" fontId="14" fillId="0" borderId="14" xfId="246" applyFont="1" applyBorder="1"/>
    <xf numFmtId="0" fontId="14" fillId="0" borderId="15" xfId="246" quotePrefix="1" applyFont="1" applyBorder="1" applyAlignment="1">
      <alignment horizontal="left" vertical="center"/>
    </xf>
    <xf numFmtId="195" fontId="14" fillId="0" borderId="19" xfId="246" quotePrefix="1" applyNumberFormat="1" applyFont="1" applyBorder="1" applyAlignment="1">
      <alignment horizontal="left" vertical="center"/>
    </xf>
    <xf numFmtId="195" fontId="14" fillId="0" borderId="37" xfId="246" quotePrefix="1" applyNumberFormat="1" applyFont="1" applyBorder="1" applyAlignment="1">
      <alignment horizontal="left" vertical="center"/>
    </xf>
    <xf numFmtId="0" fontId="14" fillId="0" borderId="5" xfId="246" applyFont="1" applyBorder="1"/>
    <xf numFmtId="0" fontId="12" fillId="0" borderId="0" xfId="284" applyFont="1" applyAlignment="1">
      <alignment vertical="center"/>
    </xf>
    <xf numFmtId="0" fontId="11" fillId="0" borderId="0" xfId="284" applyFont="1" applyAlignment="1">
      <alignment horizontal="centerContinuous" vertical="center"/>
    </xf>
    <xf numFmtId="0" fontId="6" fillId="0" borderId="0" xfId="284" applyFont="1" applyAlignment="1">
      <alignment horizontal="centerContinuous"/>
    </xf>
    <xf numFmtId="0" fontId="6" fillId="0" borderId="0" xfId="284" applyFont="1"/>
    <xf numFmtId="0" fontId="106" fillId="0" borderId="0" xfId="284" applyFont="1" applyAlignment="1">
      <alignment horizontal="centerContinuous" vertical="center" wrapText="1"/>
    </xf>
    <xf numFmtId="0" fontId="19" fillId="0" borderId="0" xfId="284" applyFont="1" applyAlignment="1">
      <alignment horizontal="centerContinuous" vertical="center"/>
    </xf>
    <xf numFmtId="0" fontId="18" fillId="0" borderId="0" xfId="284" applyFont="1"/>
    <xf numFmtId="0" fontId="93" fillId="0" borderId="0" xfId="284" applyFont="1" applyAlignment="1">
      <alignment horizontal="centerContinuous" vertical="center"/>
    </xf>
    <xf numFmtId="0" fontId="82" fillId="0" borderId="0" xfId="284" applyFont="1" applyAlignment="1">
      <alignment horizontal="left"/>
    </xf>
    <xf numFmtId="0" fontId="82" fillId="0" borderId="0" xfId="284" applyFont="1" applyAlignment="1">
      <alignment horizontal="right"/>
    </xf>
    <xf numFmtId="0" fontId="82" fillId="0" borderId="0" xfId="284" quotePrefix="1" applyFont="1" applyAlignment="1">
      <alignment horizontal="left"/>
    </xf>
    <xf numFmtId="2" fontId="107" fillId="0" borderId="0" xfId="284" applyNumberFormat="1" applyFont="1" applyAlignment="1">
      <alignment horizontal="center"/>
    </xf>
    <xf numFmtId="0" fontId="108" fillId="0" borderId="0" xfId="284" applyFont="1" applyAlignment="1">
      <alignment horizontal="left"/>
    </xf>
    <xf numFmtId="0" fontId="109" fillId="0" borderId="0" xfId="284" applyFont="1" applyAlignment="1">
      <alignment horizontal="right"/>
    </xf>
    <xf numFmtId="0" fontId="109" fillId="0" borderId="0" xfId="284" applyFont="1" applyAlignment="1">
      <alignment horizontal="left"/>
    </xf>
    <xf numFmtId="206" fontId="6" fillId="0" borderId="0" xfId="284" applyNumberFormat="1" applyFont="1"/>
    <xf numFmtId="2" fontId="10" fillId="0" borderId="0" xfId="284" applyNumberFormat="1" applyFont="1" applyAlignment="1">
      <alignment horizontal="right"/>
    </xf>
    <xf numFmtId="17" fontId="6" fillId="0" borderId="0" xfId="284" applyNumberFormat="1" applyFont="1" applyAlignment="1">
      <alignment horizontal="right"/>
    </xf>
    <xf numFmtId="0" fontId="13" fillId="0" borderId="0" xfId="284" applyFont="1" applyAlignment="1">
      <alignment horizontal="left"/>
    </xf>
    <xf numFmtId="0" fontId="13" fillId="0" borderId="0" xfId="284" applyFont="1" applyAlignment="1">
      <alignment vertical="center"/>
    </xf>
    <xf numFmtId="0" fontId="79" fillId="34" borderId="77" xfId="284" applyFont="1" applyFill="1" applyBorder="1" applyAlignment="1">
      <alignment horizontal="center" vertical="center"/>
    </xf>
    <xf numFmtId="0" fontId="14" fillId="0" borderId="76" xfId="284" applyFont="1" applyBorder="1" applyAlignment="1">
      <alignment vertical="center"/>
    </xf>
    <xf numFmtId="0" fontId="14" fillId="0" borderId="0" xfId="284" applyFont="1" applyAlignment="1">
      <alignment vertical="center"/>
    </xf>
    <xf numFmtId="0" fontId="14" fillId="0" borderId="0" xfId="284" applyFont="1" applyAlignment="1">
      <alignment horizontal="centerContinuous" vertical="center"/>
    </xf>
    <xf numFmtId="0" fontId="14" fillId="0" borderId="17" xfId="284" applyFont="1" applyBorder="1" applyAlignment="1">
      <alignment horizontal="centerContinuous" vertical="center"/>
    </xf>
    <xf numFmtId="173" fontId="14" fillId="0" borderId="16" xfId="285" applyNumberFormat="1" applyFont="1" applyBorder="1" applyAlignment="1">
      <alignment horizontal="centerContinuous" vertical="center"/>
    </xf>
    <xf numFmtId="207" fontId="6" fillId="0" borderId="0" xfId="284" applyNumberFormat="1" applyFont="1"/>
    <xf numFmtId="2" fontId="16" fillId="0" borderId="76" xfId="284" applyNumberFormat="1" applyFont="1" applyBorder="1" applyAlignment="1">
      <alignment horizontal="center" vertical="center"/>
    </xf>
    <xf numFmtId="0" fontId="17" fillId="0" borderId="0" xfId="284" applyFont="1" applyAlignment="1">
      <alignment vertical="center"/>
    </xf>
    <xf numFmtId="0" fontId="16" fillId="0" borderId="0" xfId="284" applyFont="1" applyAlignment="1">
      <alignment vertical="center"/>
    </xf>
    <xf numFmtId="0" fontId="16" fillId="0" borderId="17" xfId="284" applyFont="1" applyBorder="1" applyAlignment="1">
      <alignment horizontal="centerContinuous" vertical="center"/>
    </xf>
    <xf numFmtId="207" fontId="16" fillId="0" borderId="16" xfId="285" applyNumberFormat="1" applyFont="1" applyBorder="1" applyAlignment="1">
      <alignment horizontal="right" vertical="center"/>
    </xf>
    <xf numFmtId="2" fontId="13" fillId="0" borderId="76" xfId="284" applyNumberFormat="1" applyFont="1" applyBorder="1" applyAlignment="1">
      <alignment horizontal="center" vertical="center"/>
    </xf>
    <xf numFmtId="0" fontId="13" fillId="0" borderId="17" xfId="284" applyFont="1" applyBorder="1" applyAlignment="1">
      <alignment horizontal="centerContinuous" vertical="center"/>
    </xf>
    <xf numFmtId="207" fontId="13" fillId="0" borderId="16" xfId="285" applyNumberFormat="1" applyFont="1" applyBorder="1" applyAlignment="1">
      <alignment horizontal="right" vertical="center"/>
    </xf>
    <xf numFmtId="0" fontId="13" fillId="0" borderId="76" xfId="284" applyFont="1" applyBorder="1" applyAlignment="1">
      <alignment horizontal="center"/>
    </xf>
    <xf numFmtId="0" fontId="13" fillId="0" borderId="17" xfId="284" quotePrefix="1" applyFont="1" applyBorder="1" applyAlignment="1">
      <alignment horizontal="left" vertical="center"/>
    </xf>
    <xf numFmtId="207" fontId="13" fillId="0" borderId="16" xfId="284" quotePrefix="1" applyNumberFormat="1" applyFont="1" applyBorder="1" applyAlignment="1">
      <alignment horizontal="right" vertical="center"/>
    </xf>
    <xf numFmtId="0" fontId="16" fillId="0" borderId="17" xfId="284" quotePrefix="1" applyFont="1" applyBorder="1" applyAlignment="1">
      <alignment horizontal="left" vertical="center"/>
    </xf>
    <xf numFmtId="173" fontId="6" fillId="0" borderId="0" xfId="285" applyNumberFormat="1" applyFont="1"/>
    <xf numFmtId="9" fontId="10" fillId="0" borderId="0" xfId="285" applyFont="1" applyAlignment="1">
      <alignment horizontal="center"/>
    </xf>
    <xf numFmtId="9" fontId="10" fillId="0" borderId="0" xfId="284" applyNumberFormat="1" applyFont="1" applyAlignment="1">
      <alignment horizontal="center"/>
    </xf>
    <xf numFmtId="0" fontId="13" fillId="0" borderId="17" xfId="284" applyFont="1" applyBorder="1" applyAlignment="1">
      <alignment vertical="center"/>
    </xf>
    <xf numFmtId="173" fontId="8" fillId="0" borderId="0" xfId="285" applyNumberFormat="1" applyFont="1"/>
    <xf numFmtId="0" fontId="16" fillId="0" borderId="17" xfId="284" applyFont="1" applyBorder="1"/>
    <xf numFmtId="207" fontId="13" fillId="0" borderId="0" xfId="285" applyNumberFormat="1" applyFont="1" applyBorder="1" applyAlignment="1">
      <alignment horizontal="right" vertical="center"/>
    </xf>
    <xf numFmtId="0" fontId="14" fillId="0" borderId="44" xfId="284" applyFont="1" applyBorder="1" applyAlignment="1">
      <alignment horizontal="center"/>
    </xf>
    <xf numFmtId="0" fontId="14" fillId="0" borderId="62" xfId="284" applyFont="1" applyBorder="1" applyAlignment="1">
      <alignment vertical="center"/>
    </xf>
    <xf numFmtId="0" fontId="14" fillId="0" borderId="34" xfId="284" applyFont="1" applyBorder="1" applyAlignment="1">
      <alignment vertical="center"/>
    </xf>
    <xf numFmtId="0" fontId="14" fillId="0" borderId="72" xfId="284" applyFont="1" applyBorder="1"/>
    <xf numFmtId="207" fontId="14" fillId="0" borderId="69" xfId="284" applyNumberFormat="1" applyFont="1" applyBorder="1" applyAlignment="1">
      <alignment vertical="center"/>
    </xf>
    <xf numFmtId="0" fontId="14" fillId="0" borderId="54" xfId="284" applyFont="1" applyBorder="1" applyAlignment="1">
      <alignment horizontal="center"/>
    </xf>
    <xf numFmtId="0" fontId="14" fillId="0" borderId="92" xfId="284" applyFont="1" applyBorder="1" applyAlignment="1">
      <alignment vertical="center"/>
    </xf>
    <xf numFmtId="0" fontId="14" fillId="0" borderId="32" xfId="284" applyFont="1" applyBorder="1" applyAlignment="1">
      <alignment vertical="center"/>
    </xf>
    <xf numFmtId="0" fontId="14" fillId="0" borderId="84" xfId="284" applyFont="1" applyBorder="1"/>
    <xf numFmtId="207" fontId="14" fillId="0" borderId="75" xfId="284" applyNumberFormat="1" applyFont="1" applyBorder="1"/>
    <xf numFmtId="0" fontId="5" fillId="0" borderId="63" xfId="284" applyFont="1" applyBorder="1" applyAlignment="1">
      <alignment vertical="center"/>
    </xf>
    <xf numFmtId="0" fontId="14" fillId="0" borderId="17" xfId="284" applyFont="1" applyBorder="1"/>
    <xf numFmtId="207" fontId="5" fillId="0" borderId="16" xfId="284" quotePrefix="1" applyNumberFormat="1" applyFont="1" applyBorder="1" applyAlignment="1">
      <alignment horizontal="right" vertical="center"/>
    </xf>
    <xf numFmtId="0" fontId="13" fillId="0" borderId="44" xfId="284" applyFont="1" applyBorder="1" applyAlignment="1">
      <alignment horizontal="center"/>
    </xf>
    <xf numFmtId="0" fontId="14" fillId="0" borderId="72" xfId="284" quotePrefix="1" applyFont="1" applyBorder="1" applyAlignment="1">
      <alignment horizontal="left" vertical="center"/>
    </xf>
    <xf numFmtId="207" fontId="14" fillId="0" borderId="69" xfId="284" quotePrefix="1" applyNumberFormat="1" applyFont="1" applyBorder="1" applyAlignment="1">
      <alignment horizontal="left" vertical="center"/>
    </xf>
    <xf numFmtId="0" fontId="13" fillId="0" borderId="54" xfId="284" applyFont="1" applyBorder="1" applyAlignment="1">
      <alignment horizontal="center"/>
    </xf>
    <xf numFmtId="0" fontId="14" fillId="0" borderId="84" xfId="284" quotePrefix="1" applyFont="1" applyBorder="1" applyAlignment="1">
      <alignment horizontal="left" vertical="center"/>
    </xf>
    <xf numFmtId="207" fontId="14" fillId="0" borderId="75" xfId="284" quotePrefix="1" applyNumberFormat="1" applyFont="1" applyBorder="1" applyAlignment="1">
      <alignment horizontal="left" vertical="center"/>
    </xf>
    <xf numFmtId="0" fontId="14" fillId="0" borderId="63" xfId="284" applyFont="1" applyBorder="1"/>
    <xf numFmtId="0" fontId="14" fillId="0" borderId="0" xfId="284" applyFont="1"/>
    <xf numFmtId="0" fontId="13" fillId="0" borderId="17" xfId="284" applyFont="1" applyBorder="1" applyAlignment="1">
      <alignment horizontal="right" vertical="center"/>
    </xf>
    <xf numFmtId="9" fontId="6" fillId="0" borderId="0" xfId="284" applyNumberFormat="1" applyFont="1"/>
    <xf numFmtId="0" fontId="14" fillId="0" borderId="62" xfId="284" applyFont="1" applyBorder="1"/>
    <xf numFmtId="0" fontId="14" fillId="0" borderId="34" xfId="284" applyFont="1" applyBorder="1"/>
    <xf numFmtId="0" fontId="14" fillId="0" borderId="72" xfId="284" applyFont="1" applyBorder="1" applyAlignment="1">
      <alignment vertical="center"/>
    </xf>
    <xf numFmtId="207" fontId="14" fillId="0" borderId="69" xfId="284" quotePrefix="1" applyNumberFormat="1" applyFont="1" applyBorder="1" applyAlignment="1">
      <alignment horizontal="right" vertical="center"/>
    </xf>
    <xf numFmtId="0" fontId="5" fillId="0" borderId="92" xfId="284" applyFont="1" applyBorder="1" applyAlignment="1">
      <alignment vertical="center"/>
    </xf>
    <xf numFmtId="0" fontId="5" fillId="0" borderId="32" xfId="284" applyFont="1" applyBorder="1" applyAlignment="1">
      <alignment vertical="center"/>
    </xf>
    <xf numFmtId="0" fontId="5" fillId="0" borderId="62" xfId="284" applyFont="1" applyBorder="1" applyAlignment="1">
      <alignment vertical="center"/>
    </xf>
    <xf numFmtId="0" fontId="5" fillId="0" borderId="34" xfId="284" applyFont="1" applyBorder="1" applyAlignment="1">
      <alignment vertical="center"/>
    </xf>
    <xf numFmtId="0" fontId="14" fillId="0" borderId="76" xfId="284" applyFont="1" applyBorder="1" applyAlignment="1">
      <alignment horizontal="center"/>
    </xf>
    <xf numFmtId="0" fontId="5" fillId="0" borderId="0" xfId="284" applyFont="1" applyAlignment="1">
      <alignment vertical="center"/>
    </xf>
    <xf numFmtId="0" fontId="14" fillId="0" borderId="63" xfId="284" applyFont="1" applyBorder="1" applyAlignment="1">
      <alignment vertical="center"/>
    </xf>
    <xf numFmtId="0" fontId="5" fillId="0" borderId="76" xfId="284" applyFont="1" applyBorder="1"/>
    <xf numFmtId="0" fontId="14" fillId="0" borderId="20" xfId="284" applyFont="1" applyBorder="1"/>
    <xf numFmtId="0" fontId="5" fillId="0" borderId="18" xfId="284" applyFont="1" applyBorder="1" applyAlignment="1">
      <alignment vertical="center"/>
    </xf>
    <xf numFmtId="0" fontId="14" fillId="0" borderId="13" xfId="284" applyFont="1" applyBorder="1"/>
    <xf numFmtId="0" fontId="14" fillId="0" borderId="14" xfId="284" applyFont="1" applyBorder="1"/>
    <xf numFmtId="0" fontId="14" fillId="0" borderId="15" xfId="284" quotePrefix="1" applyFont="1" applyBorder="1" applyAlignment="1">
      <alignment horizontal="left" vertical="center"/>
    </xf>
    <xf numFmtId="195" fontId="14" fillId="0" borderId="19" xfId="284" quotePrefix="1" applyNumberFormat="1" applyFont="1" applyBorder="1" applyAlignment="1">
      <alignment horizontal="left" vertical="center"/>
    </xf>
    <xf numFmtId="195" fontId="14" fillId="0" borderId="37" xfId="284" quotePrefix="1" applyNumberFormat="1" applyFont="1" applyBorder="1" applyAlignment="1">
      <alignment horizontal="left" vertical="center"/>
    </xf>
    <xf numFmtId="0" fontId="14" fillId="0" borderId="5" xfId="284" applyFont="1" applyBorder="1"/>
    <xf numFmtId="0" fontId="13" fillId="33" borderId="31" xfId="35" applyFont="1" applyFill="1" applyBorder="1" applyAlignment="1">
      <alignment horizontal="center" vertical="center"/>
    </xf>
    <xf numFmtId="14" fontId="5" fillId="0" borderId="0" xfId="207" applyNumberFormat="1" applyFont="1" applyAlignment="1">
      <alignment horizontal="right" vertical="center"/>
    </xf>
    <xf numFmtId="0" fontId="98" fillId="0" borderId="0" xfId="35" applyFont="1" applyAlignment="1">
      <alignment vertical="center"/>
    </xf>
    <xf numFmtId="0" fontId="84" fillId="0" borderId="0" xfId="35" applyFont="1" applyAlignment="1">
      <alignment horizontal="center" vertical="center"/>
    </xf>
    <xf numFmtId="10" fontId="84" fillId="0" borderId="0" xfId="127" applyNumberFormat="1" applyFont="1" applyFill="1" applyBorder="1" applyAlignment="1">
      <alignment horizontal="center" vertical="center"/>
    </xf>
    <xf numFmtId="0" fontId="110" fillId="0" borderId="0" xfId="35" applyFont="1" applyAlignment="1">
      <alignment vertical="center"/>
    </xf>
    <xf numFmtId="189" fontId="85" fillId="0" borderId="0" xfId="35" applyNumberFormat="1" applyFont="1" applyAlignment="1">
      <alignment vertical="center"/>
    </xf>
    <xf numFmtId="2" fontId="85" fillId="0" borderId="0" xfId="35" applyNumberFormat="1" applyFont="1" applyAlignment="1">
      <alignment vertical="center"/>
    </xf>
    <xf numFmtId="0" fontId="85" fillId="0" borderId="0" xfId="35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3" fillId="33" borderId="90" xfId="35" applyFont="1" applyFill="1" applyBorder="1" applyAlignment="1">
      <alignment horizontal="center" vertical="center"/>
    </xf>
    <xf numFmtId="0" fontId="13" fillId="33" borderId="17" xfId="35" applyFont="1" applyFill="1" applyBorder="1" applyAlignment="1">
      <alignment horizontal="center" vertical="center"/>
    </xf>
    <xf numFmtId="10" fontId="13" fillId="33" borderId="33" xfId="35" applyNumberFormat="1" applyFont="1" applyFill="1" applyBorder="1" applyAlignment="1">
      <alignment horizontal="center" vertical="center"/>
    </xf>
    <xf numFmtId="0" fontId="13" fillId="33" borderId="0" xfId="35" quotePrefix="1" applyFont="1" applyFill="1" applyAlignment="1">
      <alignment horizontal="center" vertical="center" wrapText="1"/>
    </xf>
    <xf numFmtId="49" fontId="13" fillId="33" borderId="81" xfId="35" quotePrefix="1" applyNumberFormat="1" applyFont="1" applyFill="1" applyBorder="1" applyAlignment="1">
      <alignment horizontal="center" vertical="center"/>
    </xf>
    <xf numFmtId="4" fontId="6" fillId="0" borderId="0" xfId="35" applyNumberFormat="1" applyFont="1" applyAlignment="1">
      <alignment vertical="center"/>
    </xf>
    <xf numFmtId="189" fontId="14" fillId="0" borderId="0" xfId="35" applyNumberFormat="1" applyFont="1" applyAlignment="1">
      <alignment horizontal="center" vertical="center"/>
    </xf>
    <xf numFmtId="209" fontId="6" fillId="0" borderId="0" xfId="127" applyNumberFormat="1" applyFont="1" applyAlignment="1">
      <alignment vertical="center"/>
    </xf>
    <xf numFmtId="210" fontId="6" fillId="0" borderId="0" xfId="103" applyNumberFormat="1" applyAlignment="1">
      <alignment vertical="center"/>
    </xf>
    <xf numFmtId="172" fontId="13" fillId="33" borderId="21" xfId="35" applyNumberFormat="1" applyFont="1" applyFill="1" applyBorder="1" applyAlignment="1">
      <alignment horizontal="center" vertical="center"/>
    </xf>
    <xf numFmtId="171" fontId="6" fillId="33" borderId="0" xfId="35" applyNumberFormat="1" applyFont="1" applyFill="1" applyAlignment="1">
      <alignment horizontal="center" vertical="center"/>
    </xf>
    <xf numFmtId="0" fontId="5" fillId="0" borderId="0" xfId="0" applyFont="1" applyAlignment="1">
      <alignment horizontal="centerContinuous"/>
    </xf>
    <xf numFmtId="0" fontId="93" fillId="0" borderId="0" xfId="0" applyFont="1" applyAlignment="1">
      <alignment horizontal="center"/>
    </xf>
    <xf numFmtId="165" fontId="0" fillId="0" borderId="0" xfId="0" applyNumberFormat="1"/>
    <xf numFmtId="211" fontId="0" fillId="0" borderId="0" xfId="0" applyNumberFormat="1"/>
    <xf numFmtId="0" fontId="0" fillId="35" borderId="100" xfId="0" applyFill="1" applyBorder="1"/>
    <xf numFmtId="0" fontId="0" fillId="35" borderId="101" xfId="0" applyFill="1" applyBorder="1"/>
    <xf numFmtId="0" fontId="0" fillId="35" borderId="102" xfId="0" applyFill="1" applyBorder="1"/>
    <xf numFmtId="0" fontId="0" fillId="29" borderId="95" xfId="0" applyFill="1" applyBorder="1"/>
    <xf numFmtId="0" fontId="0" fillId="29" borderId="96" xfId="0" applyFill="1" applyBorder="1"/>
    <xf numFmtId="0" fontId="0" fillId="29" borderId="97" xfId="0" applyFill="1" applyBorder="1"/>
    <xf numFmtId="0" fontId="0" fillId="29" borderId="0" xfId="0" applyFill="1"/>
    <xf numFmtId="167" fontId="0" fillId="29" borderId="99" xfId="0" applyNumberFormat="1" applyFill="1" applyBorder="1"/>
    <xf numFmtId="0" fontId="0" fillId="29" borderId="103" xfId="0" applyFill="1" applyBorder="1"/>
    <xf numFmtId="0" fontId="0" fillId="29" borderId="34" xfId="0" applyFill="1" applyBorder="1"/>
    <xf numFmtId="0" fontId="112" fillId="29" borderId="34" xfId="0" applyFont="1" applyFill="1" applyBorder="1"/>
    <xf numFmtId="212" fontId="112" fillId="0" borderId="34" xfId="0" applyNumberFormat="1" applyFont="1" applyBorder="1" applyAlignment="1">
      <alignment horizontal="center" vertical="center"/>
    </xf>
    <xf numFmtId="0" fontId="112" fillId="29" borderId="104" xfId="0" applyFont="1" applyFill="1" applyBorder="1" applyAlignment="1">
      <alignment vertical="center"/>
    </xf>
    <xf numFmtId="0" fontId="0" fillId="0" borderId="105" xfId="0" applyBorder="1"/>
    <xf numFmtId="0" fontId="12" fillId="0" borderId="63" xfId="0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2" fillId="0" borderId="106" xfId="0" applyFont="1" applyBorder="1" applyAlignment="1">
      <alignment horizontal="center"/>
    </xf>
    <xf numFmtId="49" fontId="12" fillId="0" borderId="41" xfId="0" applyNumberFormat="1" applyFont="1" applyBorder="1" applyAlignment="1">
      <alignment horizontal="center"/>
    </xf>
    <xf numFmtId="0" fontId="0" fillId="0" borderId="107" xfId="0" applyBorder="1"/>
    <xf numFmtId="0" fontId="12" fillId="0" borderId="62" xfId="0" applyFont="1" applyBorder="1" applyAlignment="1">
      <alignment horizontal="center"/>
    </xf>
    <xf numFmtId="0" fontId="0" fillId="0" borderId="34" xfId="0" applyBorder="1"/>
    <xf numFmtId="49" fontId="12" fillId="0" borderId="62" xfId="0" applyNumberFormat="1" applyFont="1" applyBorder="1" applyAlignment="1">
      <alignment horizontal="center"/>
    </xf>
    <xf numFmtId="9" fontId="12" fillId="0" borderId="42" xfId="0" applyNumberFormat="1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78" fillId="0" borderId="42" xfId="0" applyFont="1" applyBorder="1" applyAlignment="1">
      <alignment horizontal="center"/>
    </xf>
    <xf numFmtId="0" fontId="12" fillId="0" borderId="108" xfId="0" applyFont="1" applyBorder="1" applyAlignment="1">
      <alignment horizontal="center"/>
    </xf>
    <xf numFmtId="0" fontId="0" fillId="0" borderId="98" xfId="0" applyBorder="1"/>
    <xf numFmtId="0" fontId="12" fillId="0" borderId="63" xfId="0" applyFont="1" applyBorder="1"/>
    <xf numFmtId="0" fontId="0" fillId="0" borderId="63" xfId="0" applyBorder="1"/>
    <xf numFmtId="0" fontId="0" fillId="0" borderId="41" xfId="0" applyBorder="1"/>
    <xf numFmtId="0" fontId="12" fillId="0" borderId="41" xfId="0" applyFont="1" applyBorder="1"/>
    <xf numFmtId="0" fontId="12" fillId="0" borderId="106" xfId="0" applyFont="1" applyBorder="1"/>
    <xf numFmtId="0" fontId="8" fillId="0" borderId="63" xfId="0" applyFont="1" applyBorder="1"/>
    <xf numFmtId="2" fontId="12" fillId="0" borderId="0" xfId="0" applyNumberFormat="1" applyFont="1"/>
    <xf numFmtId="0" fontId="0" fillId="0" borderId="98" xfId="0" applyBorder="1" applyAlignment="1">
      <alignment horizontal="center"/>
    </xf>
    <xf numFmtId="0" fontId="6" fillId="0" borderId="63" xfId="0" applyFont="1" applyBorder="1"/>
    <xf numFmtId="0" fontId="0" fillId="0" borderId="63" xfId="0" applyBorder="1" applyAlignment="1">
      <alignment horizontal="center" vertical="center"/>
    </xf>
    <xf numFmtId="10" fontId="6" fillId="0" borderId="41" xfId="128" applyNumberFormat="1" applyFill="1" applyBorder="1"/>
    <xf numFmtId="165" fontId="111" fillId="0" borderId="0" xfId="293" applyBorder="1" applyAlignment="1">
      <alignment horizontal="center"/>
    </xf>
    <xf numFmtId="165" fontId="111" fillId="0" borderId="106" xfId="293" applyBorder="1"/>
    <xf numFmtId="0" fontId="6" fillId="0" borderId="98" xfId="0" applyFont="1" applyBorder="1" applyAlignment="1">
      <alignment horizontal="center"/>
    </xf>
    <xf numFmtId="0" fontId="6" fillId="0" borderId="0" xfId="0" applyFont="1"/>
    <xf numFmtId="0" fontId="6" fillId="0" borderId="63" xfId="0" applyFont="1" applyBorder="1" applyAlignment="1">
      <alignment horizontal="center" vertical="center"/>
    </xf>
    <xf numFmtId="213" fontId="0" fillId="0" borderId="0" xfId="0" applyNumberFormat="1"/>
    <xf numFmtId="0" fontId="6" fillId="0" borderId="103" xfId="0" applyFont="1" applyBorder="1"/>
    <xf numFmtId="0" fontId="0" fillId="0" borderId="62" xfId="0" applyBorder="1"/>
    <xf numFmtId="0" fontId="0" fillId="0" borderId="42" xfId="0" applyBorder="1"/>
    <xf numFmtId="165" fontId="111" fillId="0" borderId="42" xfId="293" applyFill="1" applyBorder="1"/>
    <xf numFmtId="165" fontId="111" fillId="0" borderId="34" xfId="293" applyBorder="1" applyAlignment="1">
      <alignment horizontal="center"/>
    </xf>
    <xf numFmtId="165" fontId="111" fillId="0" borderId="108" xfId="293" applyBorder="1"/>
    <xf numFmtId="0" fontId="0" fillId="0" borderId="100" xfId="0" applyBorder="1" applyAlignment="1">
      <alignment horizontal="right"/>
    </xf>
    <xf numFmtId="0" fontId="7" fillId="0" borderId="101" xfId="0" applyFont="1" applyBorder="1"/>
    <xf numFmtId="0" fontId="0" fillId="0" borderId="101" xfId="0" applyBorder="1"/>
    <xf numFmtId="0" fontId="85" fillId="0" borderId="109" xfId="0" applyFont="1" applyBorder="1"/>
    <xf numFmtId="0" fontId="0" fillId="0" borderId="110" xfId="0" applyBorder="1"/>
    <xf numFmtId="0" fontId="0" fillId="0" borderId="109" xfId="0" applyBorder="1"/>
    <xf numFmtId="0" fontId="0" fillId="0" borderId="96" xfId="0" applyBorder="1"/>
    <xf numFmtId="0" fontId="0" fillId="29" borderId="99" xfId="0" applyFill="1" applyBorder="1"/>
    <xf numFmtId="0" fontId="0" fillId="29" borderId="104" xfId="0" applyFill="1" applyBorder="1"/>
    <xf numFmtId="0" fontId="8" fillId="0" borderId="0" xfId="0" applyFont="1"/>
    <xf numFmtId="0" fontId="12" fillId="0" borderId="9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104" xfId="0" applyFont="1" applyBorder="1" applyAlignment="1">
      <alignment horizontal="center"/>
    </xf>
    <xf numFmtId="0" fontId="0" fillId="0" borderId="41" xfId="0" applyBorder="1" applyAlignment="1">
      <alignment horizontal="center" vertical="center"/>
    </xf>
    <xf numFmtId="10" fontId="113" fillId="0" borderId="41" xfId="128" applyNumberFormat="1" applyFont="1" applyFill="1" applyBorder="1"/>
    <xf numFmtId="0" fontId="0" fillId="0" borderId="60" xfId="0" applyBorder="1" applyAlignment="1">
      <alignment horizontal="right"/>
    </xf>
    <xf numFmtId="165" fontId="111" fillId="0" borderId="41" xfId="293" applyBorder="1" applyAlignment="1">
      <alignment horizontal="center"/>
    </xf>
    <xf numFmtId="165" fontId="111" fillId="0" borderId="99" xfId="293" applyBorder="1"/>
    <xf numFmtId="0" fontId="0" fillId="0" borderId="59" xfId="0" applyBorder="1" applyAlignment="1">
      <alignment horizontal="right"/>
    </xf>
    <xf numFmtId="0" fontId="0" fillId="0" borderId="59" xfId="0" applyBorder="1"/>
    <xf numFmtId="2" fontId="0" fillId="0" borderId="59" xfId="0" applyNumberFormat="1" applyBorder="1"/>
    <xf numFmtId="165" fontId="111" fillId="0" borderId="104" xfId="293" applyBorder="1"/>
    <xf numFmtId="0" fontId="0" fillId="0" borderId="111" xfId="0" applyBorder="1"/>
    <xf numFmtId="0" fontId="0" fillId="0" borderId="112" xfId="0" applyBorder="1"/>
    <xf numFmtId="165" fontId="111" fillId="0" borderId="112" xfId="293" applyBorder="1"/>
    <xf numFmtId="0" fontId="70" fillId="0" borderId="0" xfId="0" applyFont="1"/>
    <xf numFmtId="0" fontId="12" fillId="0" borderId="0" xfId="0" applyFont="1"/>
    <xf numFmtId="0" fontId="69" fillId="0" borderId="0" xfId="0" applyFont="1"/>
    <xf numFmtId="165" fontId="111" fillId="0" borderId="0" xfId="293" applyBorder="1"/>
    <xf numFmtId="0" fontId="7" fillId="0" borderId="0" xfId="0" applyFont="1"/>
    <xf numFmtId="0" fontId="0" fillId="35" borderId="95" xfId="0" applyFill="1" applyBorder="1"/>
    <xf numFmtId="0" fontId="0" fillId="35" borderId="96" xfId="0" applyFill="1" applyBorder="1"/>
    <xf numFmtId="0" fontId="0" fillId="35" borderId="97" xfId="0" applyFill="1" applyBorder="1"/>
    <xf numFmtId="0" fontId="0" fillId="0" borderId="0" xfId="0" applyAlignment="1">
      <alignment horizontal="centerContinuous"/>
    </xf>
    <xf numFmtId="0" fontId="0" fillId="36" borderId="100" xfId="0" applyFill="1" applyBorder="1"/>
    <xf numFmtId="0" fontId="0" fillId="36" borderId="101" xfId="0" applyFill="1" applyBorder="1"/>
    <xf numFmtId="0" fontId="0" fillId="36" borderId="102" xfId="0" applyFill="1" applyBorder="1"/>
    <xf numFmtId="4" fontId="0" fillId="29" borderId="95" xfId="0" applyNumberFormat="1" applyFill="1" applyBorder="1"/>
    <xf numFmtId="4" fontId="0" fillId="29" borderId="96" xfId="0" applyNumberFormat="1" applyFill="1" applyBorder="1"/>
    <xf numFmtId="4" fontId="0" fillId="29" borderId="97" xfId="0" applyNumberFormat="1" applyFill="1" applyBorder="1"/>
    <xf numFmtId="4" fontId="0" fillId="29" borderId="0" xfId="0" applyNumberFormat="1" applyFill="1"/>
    <xf numFmtId="4" fontId="0" fillId="0" borderId="0" xfId="0" applyNumberFormat="1"/>
    <xf numFmtId="4" fontId="0" fillId="0" borderId="99" xfId="0" applyNumberFormat="1" applyBorder="1"/>
    <xf numFmtId="4" fontId="0" fillId="29" borderId="98" xfId="0" applyNumberFormat="1" applyFill="1" applyBorder="1"/>
    <xf numFmtId="4" fontId="0" fillId="29" borderId="99" xfId="0" applyNumberFormat="1" applyFill="1" applyBorder="1"/>
    <xf numFmtId="0" fontId="0" fillId="0" borderId="32" xfId="0" applyBorder="1"/>
    <xf numFmtId="4" fontId="0" fillId="0" borderId="115" xfId="0" applyNumberFormat="1" applyBorder="1"/>
    <xf numFmtId="4" fontId="0" fillId="0" borderId="116" xfId="0" applyNumberFormat="1" applyBorder="1"/>
    <xf numFmtId="0" fontId="0" fillId="0" borderId="116" xfId="0" applyBorder="1"/>
    <xf numFmtId="4" fontId="8" fillId="0" borderId="116" xfId="0" applyNumberFormat="1" applyFont="1" applyBorder="1"/>
    <xf numFmtId="4" fontId="16" fillId="0" borderId="117" xfId="0" applyNumberFormat="1" applyFont="1" applyBorder="1"/>
    <xf numFmtId="4" fontId="0" fillId="0" borderId="117" xfId="0" applyNumberFormat="1" applyBorder="1"/>
    <xf numFmtId="4" fontId="5" fillId="0" borderId="115" xfId="0" applyNumberFormat="1" applyFont="1" applyBorder="1"/>
    <xf numFmtId="4" fontId="5" fillId="0" borderId="116" xfId="0" applyNumberFormat="1" applyFont="1" applyBorder="1"/>
    <xf numFmtId="4" fontId="14" fillId="0" borderId="116" xfId="0" applyNumberFormat="1" applyFont="1" applyBorder="1"/>
    <xf numFmtId="4" fontId="5" fillId="0" borderId="116" xfId="0" applyNumberFormat="1" applyFont="1" applyBorder="1" applyAlignment="1">
      <alignment horizontal="right"/>
    </xf>
    <xf numFmtId="4" fontId="87" fillId="0" borderId="116" xfId="0" applyNumberFormat="1" applyFont="1" applyBorder="1" applyAlignment="1">
      <alignment horizontal="right"/>
    </xf>
    <xf numFmtId="4" fontId="5" fillId="0" borderId="117" xfId="0" applyNumberFormat="1" applyFont="1" applyBorder="1"/>
    <xf numFmtId="4" fontId="5" fillId="0" borderId="0" xfId="0" applyNumberFormat="1" applyFont="1" applyAlignment="1">
      <alignment horizontal="right"/>
    </xf>
    <xf numFmtId="4" fontId="5" fillId="0" borderId="0" xfId="0" applyNumberFormat="1" applyFont="1"/>
    <xf numFmtId="4" fontId="0" fillId="29" borderId="100" xfId="0" applyNumberFormat="1" applyFill="1" applyBorder="1"/>
    <xf numFmtId="4" fontId="0" fillId="29" borderId="101" xfId="0" applyNumberFormat="1" applyFill="1" applyBorder="1"/>
    <xf numFmtId="4" fontId="0" fillId="29" borderId="102" xfId="0" applyNumberFormat="1" applyFill="1" applyBorder="1"/>
    <xf numFmtId="4" fontId="0" fillId="0" borderId="95" xfId="0" applyNumberFormat="1" applyBorder="1"/>
    <xf numFmtId="4" fontId="0" fillId="0" borderId="96" xfId="0" applyNumberFormat="1" applyBorder="1"/>
    <xf numFmtId="4" fontId="0" fillId="0" borderId="97" xfId="0" applyNumberFormat="1" applyBorder="1"/>
    <xf numFmtId="4" fontId="0" fillId="0" borderId="100" xfId="0" applyNumberFormat="1" applyBorder="1"/>
    <xf numFmtId="4" fontId="0" fillId="0" borderId="101" xfId="0" applyNumberFormat="1" applyBorder="1"/>
    <xf numFmtId="4" fontId="16" fillId="0" borderId="102" xfId="0" applyNumberFormat="1" applyFont="1" applyBorder="1"/>
    <xf numFmtId="4" fontId="13" fillId="0" borderId="115" xfId="0" applyNumberFormat="1" applyFont="1" applyBorder="1"/>
    <xf numFmtId="3" fontId="114" fillId="0" borderId="116" xfId="0" applyNumberFormat="1" applyFont="1" applyBorder="1"/>
    <xf numFmtId="4" fontId="16" fillId="0" borderId="116" xfId="0" applyNumberFormat="1" applyFont="1" applyBorder="1"/>
    <xf numFmtId="0" fontId="8" fillId="0" borderId="116" xfId="0" applyFont="1" applyBorder="1"/>
    <xf numFmtId="0" fontId="0" fillId="37" borderId="96" xfId="0" applyFill="1" applyBorder="1"/>
    <xf numFmtId="4" fontId="0" fillId="37" borderId="100" xfId="0" applyNumberFormat="1" applyFill="1" applyBorder="1"/>
    <xf numFmtId="4" fontId="0" fillId="37" borderId="101" xfId="0" applyNumberFormat="1" applyFill="1" applyBorder="1"/>
    <xf numFmtId="0" fontId="0" fillId="37" borderId="101" xfId="0" applyFill="1" applyBorder="1"/>
    <xf numFmtId="4" fontId="0" fillId="37" borderId="102" xfId="0" applyNumberFormat="1" applyFill="1" applyBorder="1"/>
    <xf numFmtId="0" fontId="0" fillId="38" borderId="100" xfId="0" applyFill="1" applyBorder="1"/>
    <xf numFmtId="0" fontId="0" fillId="38" borderId="101" xfId="0" applyFill="1" applyBorder="1"/>
    <xf numFmtId="0" fontId="0" fillId="38" borderId="102" xfId="0" applyFill="1" applyBorder="1"/>
    <xf numFmtId="0" fontId="0" fillId="0" borderId="99" xfId="0" applyBorder="1"/>
    <xf numFmtId="0" fontId="0" fillId="0" borderId="104" xfId="0" applyBorder="1"/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165" fontId="111" fillId="0" borderId="120" xfId="293" applyBorder="1"/>
    <xf numFmtId="0" fontId="0" fillId="0" borderId="34" xfId="0" applyBorder="1" applyAlignment="1">
      <alignment horizontal="center"/>
    </xf>
    <xf numFmtId="0" fontId="0" fillId="0" borderId="119" xfId="0" applyBorder="1" applyAlignment="1">
      <alignment horizontal="center"/>
    </xf>
    <xf numFmtId="165" fontId="111" fillId="0" borderId="119" xfId="293" applyBorder="1"/>
    <xf numFmtId="0" fontId="0" fillId="0" borderId="95" xfId="0" applyBorder="1"/>
    <xf numFmtId="0" fontId="0" fillId="0" borderId="97" xfId="0" applyBorder="1"/>
    <xf numFmtId="0" fontId="12" fillId="0" borderId="0" xfId="0" applyFont="1" applyAlignment="1">
      <alignment horizontal="center"/>
    </xf>
    <xf numFmtId="0" fontId="12" fillId="0" borderId="34" xfId="0" applyFont="1" applyBorder="1" applyAlignment="1">
      <alignment horizontal="center"/>
    </xf>
    <xf numFmtId="0" fontId="0" fillId="0" borderId="7" xfId="0" applyBorder="1" applyAlignment="1">
      <alignment horizontal="center"/>
    </xf>
    <xf numFmtId="215" fontId="111" fillId="0" borderId="7" xfId="293" applyNumberFormat="1" applyFill="1" applyBorder="1" applyAlignment="1">
      <alignment horizontal="center"/>
    </xf>
    <xf numFmtId="165" fontId="111" fillId="0" borderId="7" xfId="293" applyBorder="1"/>
    <xf numFmtId="215" fontId="0" fillId="0" borderId="7" xfId="0" applyNumberForma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59" xfId="0" applyBorder="1" applyAlignment="1">
      <alignment horizontal="center"/>
    </xf>
    <xf numFmtId="165" fontId="111" fillId="0" borderId="59" xfId="293" applyBorder="1"/>
    <xf numFmtId="0" fontId="8" fillId="0" borderId="98" xfId="0" applyFont="1" applyBorder="1" applyAlignment="1">
      <alignment horizontal="center"/>
    </xf>
    <xf numFmtId="0" fontId="8" fillId="0" borderId="113" xfId="0" applyFont="1" applyBorder="1" applyAlignment="1">
      <alignment horizontal="center"/>
    </xf>
    <xf numFmtId="0" fontId="0" fillId="0" borderId="92" xfId="0" applyBorder="1"/>
    <xf numFmtId="0" fontId="0" fillId="0" borderId="114" xfId="0" applyBorder="1"/>
    <xf numFmtId="0" fontId="0" fillId="0" borderId="103" xfId="0" applyBorder="1"/>
    <xf numFmtId="167" fontId="8" fillId="0" borderId="99" xfId="0" applyNumberFormat="1" applyFont="1" applyBorder="1"/>
    <xf numFmtId="0" fontId="8" fillId="0" borderId="98" xfId="0" applyFont="1" applyBorder="1"/>
    <xf numFmtId="165" fontId="6" fillId="0" borderId="41" xfId="293" applyFont="1" applyBorder="1" applyAlignment="1">
      <alignment horizontal="center"/>
    </xf>
    <xf numFmtId="165" fontId="111" fillId="0" borderId="41" xfId="293" applyBorder="1"/>
    <xf numFmtId="0" fontId="0" fillId="0" borderId="60" xfId="0" applyBorder="1"/>
    <xf numFmtId="165" fontId="8" fillId="0" borderId="41" xfId="293" applyFont="1" applyBorder="1" applyAlignment="1">
      <alignment horizontal="center" vertical="center"/>
    </xf>
    <xf numFmtId="0" fontId="6" fillId="0" borderId="98" xfId="0" applyFont="1" applyBorder="1"/>
    <xf numFmtId="0" fontId="6" fillId="0" borderId="41" xfId="0" applyFont="1" applyBorder="1" applyAlignment="1">
      <alignment horizontal="center" vertical="center"/>
    </xf>
    <xf numFmtId="165" fontId="111" fillId="0" borderId="41" xfId="293" applyFill="1" applyBorder="1"/>
    <xf numFmtId="3" fontId="6" fillId="0" borderId="41" xfId="0" applyNumberFormat="1" applyFont="1" applyBorder="1" applyAlignment="1">
      <alignment horizontal="center" vertical="center"/>
    </xf>
    <xf numFmtId="167" fontId="0" fillId="0" borderId="99" xfId="0" applyNumberFormat="1" applyBorder="1"/>
    <xf numFmtId="167" fontId="6" fillId="0" borderId="41" xfId="0" applyNumberFormat="1" applyFont="1" applyBorder="1" applyAlignment="1">
      <alignment horizontal="center"/>
    </xf>
    <xf numFmtId="0" fontId="8" fillId="0" borderId="98" xfId="0" applyFont="1" applyBorder="1" applyAlignment="1">
      <alignment horizontal="center" vertical="center"/>
    </xf>
    <xf numFmtId="9" fontId="6" fillId="0" borderId="41" xfId="128" applyFont="1" applyFill="1" applyBorder="1" applyAlignment="1">
      <alignment horizontal="center" vertical="center"/>
    </xf>
    <xf numFmtId="0" fontId="8" fillId="0" borderId="103" xfId="0" applyFont="1" applyBorder="1"/>
    <xf numFmtId="0" fontId="8" fillId="0" borderId="62" xfId="0" applyFont="1" applyBorder="1"/>
    <xf numFmtId="0" fontId="0" fillId="0" borderId="42" xfId="0" applyBorder="1" applyAlignment="1">
      <alignment horizontal="right"/>
    </xf>
    <xf numFmtId="173" fontId="6" fillId="0" borderId="42" xfId="128" applyNumberFormat="1" applyBorder="1"/>
    <xf numFmtId="167" fontId="0" fillId="0" borderId="42" xfId="0" applyNumberFormat="1" applyBorder="1"/>
    <xf numFmtId="0" fontId="0" fillId="38" borderId="95" xfId="0" applyFill="1" applyBorder="1"/>
    <xf numFmtId="0" fontId="0" fillId="38" borderId="96" xfId="0" applyFill="1" applyBorder="1"/>
    <xf numFmtId="0" fontId="0" fillId="38" borderId="97" xfId="0" applyFill="1" applyBorder="1"/>
    <xf numFmtId="0" fontId="5" fillId="38" borderId="0" xfId="0" applyFont="1" applyFill="1"/>
    <xf numFmtId="0" fontId="5" fillId="38" borderId="0" xfId="0" applyFont="1" applyFill="1" applyAlignment="1">
      <alignment horizontal="right"/>
    </xf>
    <xf numFmtId="167" fontId="5" fillId="38" borderId="99" xfId="0" applyNumberFormat="1" applyFont="1" applyFill="1" applyBorder="1"/>
    <xf numFmtId="0" fontId="19" fillId="0" borderId="98" xfId="0" applyFont="1" applyBorder="1" applyAlignment="1">
      <alignment horizontal="centerContinuous"/>
    </xf>
    <xf numFmtId="0" fontId="11" fillId="0" borderId="0" xfId="0" applyFont="1" applyAlignment="1">
      <alignment horizontal="centerContinuous"/>
    </xf>
    <xf numFmtId="0" fontId="11" fillId="0" borderId="99" xfId="0" applyFont="1" applyBorder="1" applyAlignment="1">
      <alignment horizontal="centerContinuous"/>
    </xf>
    <xf numFmtId="0" fontId="11" fillId="0" borderId="98" xfId="0" applyFont="1" applyBorder="1" applyAlignment="1">
      <alignment horizontal="centerContinuous"/>
    </xf>
    <xf numFmtId="0" fontId="11" fillId="0" borderId="95" xfId="0" applyFont="1" applyBorder="1" applyAlignment="1">
      <alignment horizontal="centerContinuous"/>
    </xf>
    <xf numFmtId="0" fontId="11" fillId="0" borderId="96" xfId="0" applyFont="1" applyBorder="1" applyAlignment="1">
      <alignment horizontal="center"/>
    </xf>
    <xf numFmtId="0" fontId="11" fillId="0" borderId="96" xfId="0" applyFont="1" applyBorder="1" applyAlignment="1">
      <alignment horizontal="centerContinuous"/>
    </xf>
    <xf numFmtId="0" fontId="11" fillId="0" borderId="97" xfId="0" applyFont="1" applyBorder="1" applyAlignment="1">
      <alignment horizontal="centerContinuous"/>
    </xf>
    <xf numFmtId="0" fontId="5" fillId="0" borderId="100" xfId="0" applyFont="1" applyBorder="1" applyAlignment="1">
      <alignment horizontal="center"/>
    </xf>
    <xf numFmtId="0" fontId="5" fillId="0" borderId="101" xfId="0" applyFont="1" applyBorder="1" applyAlignment="1">
      <alignment horizontal="center"/>
    </xf>
    <xf numFmtId="0" fontId="5" fillId="0" borderId="102" xfId="0" applyFont="1" applyBorder="1" applyAlignment="1">
      <alignment horizontal="center"/>
    </xf>
    <xf numFmtId="0" fontId="0" fillId="32" borderId="98" xfId="0" applyFill="1" applyBorder="1"/>
    <xf numFmtId="0" fontId="11" fillId="32" borderId="63" xfId="0" applyFont="1" applyFill="1" applyBorder="1"/>
    <xf numFmtId="0" fontId="0" fillId="32" borderId="0" xfId="0" applyFill="1"/>
    <xf numFmtId="0" fontId="0" fillId="32" borderId="60" xfId="0" applyFill="1" applyBorder="1"/>
    <xf numFmtId="0" fontId="0" fillId="32" borderId="99" xfId="0" applyFill="1" applyBorder="1"/>
    <xf numFmtId="0" fontId="5" fillId="32" borderId="63" xfId="0" applyFont="1" applyFill="1" applyBorder="1" applyAlignment="1">
      <alignment horizontal="center"/>
    </xf>
    <xf numFmtId="0" fontId="5" fillId="32" borderId="0" xfId="0" applyFont="1" applyFill="1" applyAlignment="1">
      <alignment horizontal="center"/>
    </xf>
    <xf numFmtId="0" fontId="5" fillId="32" borderId="60" xfId="0" applyFont="1" applyFill="1" applyBorder="1" applyAlignment="1">
      <alignment horizontal="center"/>
    </xf>
    <xf numFmtId="0" fontId="5" fillId="32" borderId="99" xfId="0" applyFont="1" applyFill="1" applyBorder="1" applyAlignment="1">
      <alignment horizontal="center"/>
    </xf>
    <xf numFmtId="0" fontId="0" fillId="32" borderId="100" xfId="0" applyFill="1" applyBorder="1"/>
    <xf numFmtId="0" fontId="0" fillId="32" borderId="109" xfId="0" applyFill="1" applyBorder="1"/>
    <xf numFmtId="0" fontId="5" fillId="32" borderId="102" xfId="0" applyFont="1" applyFill="1" applyBorder="1" applyAlignment="1">
      <alignment horizontal="center"/>
    </xf>
    <xf numFmtId="0" fontId="0" fillId="0" borderId="121" xfId="0" applyBorder="1"/>
    <xf numFmtId="0" fontId="5" fillId="0" borderId="0" xfId="0" applyFont="1" applyAlignment="1">
      <alignment horizontal="center"/>
    </xf>
    <xf numFmtId="0" fontId="5" fillId="0" borderId="105" xfId="0" applyFont="1" applyBorder="1"/>
    <xf numFmtId="0" fontId="5" fillId="0" borderId="0" xfId="0" applyFont="1" applyAlignment="1">
      <alignment horizontal="left"/>
    </xf>
    <xf numFmtId="0" fontId="5" fillId="0" borderId="60" xfId="0" applyFont="1" applyBorder="1"/>
    <xf numFmtId="0" fontId="14" fillId="0" borderId="99" xfId="0" applyFont="1" applyBorder="1"/>
    <xf numFmtId="0" fontId="14" fillId="0" borderId="105" xfId="0" applyFont="1" applyBorder="1"/>
    <xf numFmtId="0" fontId="5" fillId="0" borderId="60" xfId="0" applyFont="1" applyBorder="1" applyAlignment="1">
      <alignment horizontal="center"/>
    </xf>
    <xf numFmtId="0" fontId="14" fillId="0" borderId="105" xfId="0" applyFont="1" applyBorder="1" applyAlignment="1">
      <alignment horizontal="center"/>
    </xf>
    <xf numFmtId="0" fontId="14" fillId="0" borderId="0" xfId="0" applyFont="1"/>
    <xf numFmtId="165" fontId="14" fillId="0" borderId="60" xfId="293" applyFont="1" applyBorder="1"/>
    <xf numFmtId="167" fontId="14" fillId="0" borderId="99" xfId="0" applyNumberFormat="1" applyFont="1" applyBorder="1"/>
    <xf numFmtId="0" fontId="14" fillId="0" borderId="107" xfId="0" applyFont="1" applyBorder="1" applyAlignment="1">
      <alignment horizontal="center"/>
    </xf>
    <xf numFmtId="0" fontId="14" fillId="0" borderId="34" xfId="0" applyFont="1" applyBorder="1"/>
    <xf numFmtId="165" fontId="14" fillId="0" borderId="59" xfId="293" applyFont="1" applyBorder="1"/>
    <xf numFmtId="165" fontId="14" fillId="0" borderId="104" xfId="293" applyFont="1" applyBorder="1"/>
    <xf numFmtId="165" fontId="115" fillId="0" borderId="60" xfId="293" applyFont="1" applyFill="1" applyBorder="1"/>
    <xf numFmtId="0" fontId="5" fillId="0" borderId="0" xfId="0" applyFont="1"/>
    <xf numFmtId="167" fontId="5" fillId="0" borderId="99" xfId="0" applyNumberFormat="1" applyFont="1" applyBorder="1"/>
    <xf numFmtId="0" fontId="14" fillId="0" borderId="107" xfId="0" applyFont="1" applyBorder="1"/>
    <xf numFmtId="0" fontId="14" fillId="0" borderId="59" xfId="0" applyFont="1" applyBorder="1"/>
    <xf numFmtId="167" fontId="14" fillId="0" borderId="104" xfId="0" applyNumberFormat="1" applyFont="1" applyBorder="1"/>
    <xf numFmtId="0" fontId="5" fillId="0" borderId="98" xfId="0" applyFont="1" applyBorder="1"/>
    <xf numFmtId="0" fontId="5" fillId="0" borderId="63" xfId="0" applyFont="1" applyBorder="1"/>
    <xf numFmtId="0" fontId="14" fillId="0" borderId="60" xfId="0" applyFont="1" applyBorder="1"/>
    <xf numFmtId="0" fontId="14" fillId="0" borderId="98" xfId="0" applyFont="1" applyBorder="1"/>
    <xf numFmtId="0" fontId="14" fillId="0" borderId="63" xfId="0" applyFont="1" applyBorder="1" applyAlignment="1">
      <alignment horizontal="left"/>
    </xf>
    <xf numFmtId="10" fontId="5" fillId="0" borderId="0" xfId="128" applyNumberFormat="1" applyFont="1" applyBorder="1"/>
    <xf numFmtId="0" fontId="14" fillId="0" borderId="103" xfId="0" applyFont="1" applyBorder="1"/>
    <xf numFmtId="0" fontId="14" fillId="0" borderId="62" xfId="0" applyFont="1" applyBorder="1"/>
    <xf numFmtId="0" fontId="5" fillId="0" borderId="34" xfId="0" applyFont="1" applyBorder="1"/>
    <xf numFmtId="167" fontId="5" fillId="0" borderId="104" xfId="0" applyNumberFormat="1" applyFont="1" applyBorder="1"/>
    <xf numFmtId="0" fontId="14" fillId="0" borderId="63" xfId="0" applyFont="1" applyBorder="1"/>
    <xf numFmtId="9" fontId="14" fillId="0" borderId="0" xfId="128" applyFont="1" applyBorder="1" applyAlignment="1">
      <alignment horizontal="left"/>
    </xf>
    <xf numFmtId="165" fontId="5" fillId="0" borderId="99" xfId="293" applyFont="1" applyBorder="1"/>
    <xf numFmtId="165" fontId="14" fillId="0" borderId="99" xfId="293" applyFont="1" applyBorder="1"/>
    <xf numFmtId="167" fontId="5" fillId="0" borderId="99" xfId="293" applyNumberFormat="1" applyFont="1" applyBorder="1"/>
    <xf numFmtId="0" fontId="14" fillId="0" borderId="95" xfId="0" applyFont="1" applyBorder="1"/>
    <xf numFmtId="0" fontId="14" fillId="0" borderId="123" xfId="0" applyFont="1" applyBorder="1"/>
    <xf numFmtId="0" fontId="14" fillId="0" borderId="96" xfId="0" applyFont="1" applyBorder="1"/>
    <xf numFmtId="0" fontId="14" fillId="0" borderId="122" xfId="0" applyFont="1" applyBorder="1"/>
    <xf numFmtId="167" fontId="5" fillId="0" borderId="97" xfId="293" applyNumberFormat="1" applyFont="1" applyBorder="1"/>
    <xf numFmtId="0" fontId="14" fillId="0" borderId="100" xfId="0" applyFont="1" applyBorder="1"/>
    <xf numFmtId="0" fontId="14" fillId="0" borderId="109" xfId="0" applyFont="1" applyBorder="1"/>
    <xf numFmtId="0" fontId="14" fillId="0" borderId="101" xfId="0" applyFont="1" applyBorder="1"/>
    <xf numFmtId="0" fontId="14" fillId="0" borderId="112" xfId="0" applyFont="1" applyBorder="1"/>
    <xf numFmtId="167" fontId="14" fillId="0" borderId="101" xfId="0" applyNumberFormat="1" applyFont="1" applyBorder="1"/>
    <xf numFmtId="167" fontId="14" fillId="0" borderId="102" xfId="0" applyNumberFormat="1" applyFont="1" applyBorder="1"/>
    <xf numFmtId="0" fontId="14" fillId="0" borderId="45" xfId="108" applyBorder="1" applyAlignment="1">
      <alignment vertical="center"/>
    </xf>
    <xf numFmtId="0" fontId="14" fillId="0" borderId="47" xfId="108" applyBorder="1" applyAlignment="1">
      <alignment vertical="center"/>
    </xf>
    <xf numFmtId="0" fontId="14" fillId="0" borderId="48" xfId="108" applyBorder="1" applyAlignment="1">
      <alignment vertical="center"/>
    </xf>
    <xf numFmtId="4" fontId="7" fillId="0" borderId="0" xfId="111" applyNumberFormat="1" applyFont="1" applyAlignment="1">
      <alignment vertical="center"/>
    </xf>
    <xf numFmtId="0" fontId="74" fillId="0" borderId="48" xfId="107" applyFont="1" applyBorder="1" applyAlignment="1">
      <alignment vertical="center"/>
    </xf>
    <xf numFmtId="0" fontId="14" fillId="0" borderId="48" xfId="110" applyBorder="1" applyAlignment="1">
      <alignment vertical="center"/>
    </xf>
    <xf numFmtId="0" fontId="7" fillId="0" borderId="0" xfId="212" applyFont="1" applyAlignment="1">
      <alignment vertical="center"/>
    </xf>
    <xf numFmtId="0" fontId="8" fillId="0" borderId="0" xfId="212" applyFont="1" applyAlignment="1">
      <alignment vertical="top"/>
    </xf>
    <xf numFmtId="0" fontId="8" fillId="0" borderId="0" xfId="212" applyFont="1" applyAlignment="1">
      <alignment horizontal="left" vertical="center" wrapText="1"/>
    </xf>
    <xf numFmtId="1" fontId="14" fillId="0" borderId="51" xfId="212" applyNumberFormat="1" applyFont="1" applyBorder="1" applyAlignment="1">
      <alignment horizontal="center" vertical="center"/>
    </xf>
    <xf numFmtId="1" fontId="14" fillId="0" borderId="46" xfId="212" applyNumberFormat="1" applyFont="1" applyBorder="1" applyAlignment="1">
      <alignment horizontal="center" vertical="center"/>
    </xf>
    <xf numFmtId="1" fontId="14" fillId="0" borderId="49" xfId="212" applyNumberFormat="1" applyFont="1" applyBorder="1" applyAlignment="1">
      <alignment horizontal="center" vertical="center"/>
    </xf>
    <xf numFmtId="2" fontId="14" fillId="0" borderId="50" xfId="108" applyNumberFormat="1" applyBorder="1" applyAlignment="1">
      <alignment vertical="center"/>
    </xf>
    <xf numFmtId="0" fontId="6" fillId="0" borderId="0" xfId="212" applyAlignment="1">
      <alignment horizontal="center" vertical="center"/>
    </xf>
    <xf numFmtId="0" fontId="14" fillId="0" borderId="51" xfId="212" applyFont="1" applyBorder="1" applyAlignment="1">
      <alignment horizontal="center" vertical="center"/>
    </xf>
    <xf numFmtId="0" fontId="14" fillId="0" borderId="52" xfId="212" applyFont="1" applyBorder="1" applyAlignment="1">
      <alignment vertical="center"/>
    </xf>
    <xf numFmtId="0" fontId="14" fillId="0" borderId="46" xfId="212" applyFont="1" applyBorder="1" applyAlignment="1">
      <alignment horizontal="center" vertical="center"/>
    </xf>
    <xf numFmtId="0" fontId="14" fillId="0" borderId="48" xfId="212" applyFont="1" applyBorder="1" applyAlignment="1">
      <alignment vertical="center"/>
    </xf>
    <xf numFmtId="0" fontId="14" fillId="0" borderId="48" xfId="111" applyBorder="1" applyAlignment="1">
      <alignment vertical="center"/>
    </xf>
    <xf numFmtId="0" fontId="14" fillId="0" borderId="49" xfId="212" applyFont="1" applyBorder="1" applyAlignment="1">
      <alignment horizontal="center" vertical="center"/>
    </xf>
    <xf numFmtId="0" fontId="14" fillId="0" borderId="50" xfId="108" applyBorder="1" applyAlignment="1">
      <alignment vertical="center" wrapText="1"/>
    </xf>
    <xf numFmtId="0" fontId="7" fillId="0" borderId="0" xfId="111" applyFont="1" applyAlignment="1">
      <alignment vertical="center"/>
    </xf>
    <xf numFmtId="0" fontId="74" fillId="0" borderId="44" xfId="212" applyFont="1" applyBorder="1" applyAlignment="1">
      <alignment horizontal="center" vertical="center"/>
    </xf>
    <xf numFmtId="0" fontId="74" fillId="0" borderId="55" xfId="212" applyFont="1" applyBorder="1" applyAlignment="1">
      <alignment vertical="center"/>
    </xf>
    <xf numFmtId="0" fontId="74" fillId="0" borderId="46" xfId="212" applyFont="1" applyBorder="1" applyAlignment="1">
      <alignment horizontal="center" vertical="center"/>
    </xf>
    <xf numFmtId="0" fontId="74" fillId="0" borderId="48" xfId="111" applyFont="1" applyBorder="1" applyAlignment="1">
      <alignment vertical="center"/>
    </xf>
    <xf numFmtId="0" fontId="74" fillId="0" borderId="48" xfId="212" applyFont="1" applyBorder="1" applyAlignment="1">
      <alignment vertical="center"/>
    </xf>
    <xf numFmtId="0" fontId="74" fillId="0" borderId="49" xfId="212" applyFont="1" applyBorder="1" applyAlignment="1">
      <alignment horizontal="center" vertical="center"/>
    </xf>
    <xf numFmtId="0" fontId="74" fillId="0" borderId="50" xfId="109" applyFont="1" applyBorder="1" applyAlignment="1">
      <alignment vertical="center"/>
    </xf>
    <xf numFmtId="0" fontId="116" fillId="0" borderId="0" xfId="0" applyFont="1" applyAlignment="1">
      <alignment horizontal="centerContinuous"/>
    </xf>
    <xf numFmtId="0" fontId="116" fillId="35" borderId="95" xfId="0" applyFont="1" applyFill="1" applyBorder="1" applyAlignment="1">
      <alignment horizontal="centerContinuous"/>
    </xf>
    <xf numFmtId="0" fontId="116" fillId="35" borderId="96" xfId="0" applyFont="1" applyFill="1" applyBorder="1" applyAlignment="1">
      <alignment horizontal="centerContinuous"/>
    </xf>
    <xf numFmtId="0" fontId="116" fillId="35" borderId="97" xfId="0" applyFont="1" applyFill="1" applyBorder="1" applyAlignment="1">
      <alignment horizontal="centerContinuous"/>
    </xf>
    <xf numFmtId="0" fontId="116" fillId="29" borderId="98" xfId="0" applyFont="1" applyFill="1" applyBorder="1" applyAlignment="1">
      <alignment horizontal="center"/>
    </xf>
    <xf numFmtId="0" fontId="116" fillId="29" borderId="0" xfId="0" applyFont="1" applyFill="1"/>
    <xf numFmtId="0" fontId="116" fillId="0" borderId="110" xfId="0" applyFont="1" applyBorder="1"/>
    <xf numFmtId="167" fontId="116" fillId="0" borderId="102" xfId="0" applyNumberFormat="1" applyFont="1" applyBorder="1"/>
    <xf numFmtId="0" fontId="116" fillId="0" borderId="105" xfId="0" applyFont="1" applyBorder="1"/>
    <xf numFmtId="0" fontId="116" fillId="0" borderId="0" xfId="0" applyFont="1"/>
    <xf numFmtId="0" fontId="116" fillId="0" borderId="0" xfId="0" applyFont="1" applyAlignment="1">
      <alignment horizontal="center"/>
    </xf>
    <xf numFmtId="0" fontId="116" fillId="0" borderId="112" xfId="0" applyFont="1" applyBorder="1"/>
    <xf numFmtId="167" fontId="116" fillId="0" borderId="0" xfId="0" applyNumberFormat="1" applyFont="1"/>
    <xf numFmtId="0" fontId="116" fillId="36" borderId="95" xfId="0" applyFont="1" applyFill="1" applyBorder="1" applyAlignment="1">
      <alignment horizontal="centerContinuous"/>
    </xf>
    <xf numFmtId="0" fontId="116" fillId="36" borderId="96" xfId="0" applyFont="1" applyFill="1" applyBorder="1" applyAlignment="1">
      <alignment horizontal="centerContinuous"/>
    </xf>
    <xf numFmtId="0" fontId="116" fillId="36" borderId="97" xfId="0" applyFont="1" applyFill="1" applyBorder="1" applyAlignment="1">
      <alignment horizontal="centerContinuous"/>
    </xf>
    <xf numFmtId="4" fontId="116" fillId="0" borderId="98" xfId="0" applyNumberFormat="1" applyFont="1" applyBorder="1" applyAlignment="1">
      <alignment horizontal="center"/>
    </xf>
    <xf numFmtId="4" fontId="116" fillId="0" borderId="0" xfId="0" applyNumberFormat="1" applyFont="1"/>
    <xf numFmtId="4" fontId="116" fillId="0" borderId="116" xfId="0" applyNumberFormat="1" applyFont="1" applyBorder="1"/>
    <xf numFmtId="4" fontId="116" fillId="0" borderId="101" xfId="0" applyNumberFormat="1" applyFont="1" applyBorder="1"/>
    <xf numFmtId="4" fontId="116" fillId="37" borderId="95" xfId="0" applyNumberFormat="1" applyFont="1" applyFill="1" applyBorder="1" applyAlignment="1">
      <alignment horizontal="centerContinuous"/>
    </xf>
    <xf numFmtId="4" fontId="116" fillId="37" borderId="96" xfId="0" applyNumberFormat="1" applyFont="1" applyFill="1" applyBorder="1" applyAlignment="1">
      <alignment horizontal="centerContinuous"/>
    </xf>
    <xf numFmtId="4" fontId="116" fillId="37" borderId="97" xfId="0" applyNumberFormat="1" applyFont="1" applyFill="1" applyBorder="1" applyAlignment="1">
      <alignment horizontal="centerContinuous"/>
    </xf>
    <xf numFmtId="214" fontId="116" fillId="0" borderId="0" xfId="294" applyNumberFormat="1" applyFont="1" applyBorder="1"/>
    <xf numFmtId="0" fontId="116" fillId="38" borderId="95" xfId="0" applyFont="1" applyFill="1" applyBorder="1" applyAlignment="1">
      <alignment horizontal="centerContinuous"/>
    </xf>
    <xf numFmtId="0" fontId="116" fillId="38" borderId="96" xfId="0" applyFont="1" applyFill="1" applyBorder="1" applyAlignment="1">
      <alignment horizontal="centerContinuous"/>
    </xf>
    <xf numFmtId="0" fontId="116" fillId="38" borderId="97" xfId="0" applyFont="1" applyFill="1" applyBorder="1" applyAlignment="1">
      <alignment horizontal="centerContinuous"/>
    </xf>
    <xf numFmtId="165" fontId="116" fillId="0" borderId="102" xfId="293" applyFont="1" applyBorder="1"/>
    <xf numFmtId="0" fontId="116" fillId="0" borderId="103" xfId="0" applyFont="1" applyBorder="1" applyAlignment="1">
      <alignment horizontal="center"/>
    </xf>
    <xf numFmtId="0" fontId="116" fillId="0" borderId="34" xfId="0" applyFont="1" applyBorder="1"/>
    <xf numFmtId="165" fontId="116" fillId="0" borderId="0" xfId="293" applyFont="1" applyBorder="1"/>
    <xf numFmtId="0" fontId="116" fillId="0" borderId="98" xfId="0" applyFont="1" applyBorder="1" applyAlignment="1">
      <alignment horizontal="center"/>
    </xf>
    <xf numFmtId="0" fontId="116" fillId="0" borderId="40" xfId="0" applyFont="1" applyBorder="1" applyAlignment="1">
      <alignment horizontal="center"/>
    </xf>
    <xf numFmtId="165" fontId="116" fillId="0" borderId="42" xfId="293" applyFont="1" applyBorder="1" applyAlignment="1">
      <alignment horizontal="center"/>
    </xf>
    <xf numFmtId="0" fontId="116" fillId="0" borderId="42" xfId="0" applyFont="1" applyBorder="1" applyAlignment="1">
      <alignment horizontal="center"/>
    </xf>
    <xf numFmtId="165" fontId="116" fillId="0" borderId="41" xfId="293" applyFont="1" applyBorder="1" applyAlignment="1">
      <alignment horizontal="center"/>
    </xf>
    <xf numFmtId="0" fontId="116" fillId="0" borderId="41" xfId="0" applyFont="1" applyBorder="1" applyAlignment="1">
      <alignment horizontal="center"/>
    </xf>
    <xf numFmtId="165" fontId="116" fillId="0" borderId="41" xfId="293" applyFont="1" applyBorder="1" applyAlignment="1">
      <alignment horizontal="center" vertical="center"/>
    </xf>
    <xf numFmtId="13" fontId="116" fillId="0" borderId="41" xfId="293" applyNumberFormat="1" applyFont="1" applyBorder="1" applyAlignment="1">
      <alignment horizontal="center" vertical="center"/>
    </xf>
    <xf numFmtId="165" fontId="116" fillId="0" borderId="99" xfId="293" applyFont="1" applyBorder="1"/>
    <xf numFmtId="165" fontId="116" fillId="0" borderId="104" xfId="293" applyFont="1" applyBorder="1"/>
    <xf numFmtId="0" fontId="116" fillId="32" borderId="109" xfId="0" applyFont="1" applyFill="1" applyBorder="1" applyAlignment="1">
      <alignment horizontal="centerContinuous"/>
    </xf>
    <xf numFmtId="0" fontId="116" fillId="32" borderId="101" xfId="0" applyFont="1" applyFill="1" applyBorder="1" applyAlignment="1">
      <alignment horizontal="centerContinuous"/>
    </xf>
    <xf numFmtId="0" fontId="116" fillId="32" borderId="112" xfId="0" applyFont="1" applyFill="1" applyBorder="1"/>
    <xf numFmtId="0" fontId="116" fillId="0" borderId="96" xfId="0" applyFont="1" applyBorder="1" applyAlignment="1">
      <alignment horizontal="centerContinuous"/>
    </xf>
    <xf numFmtId="0" fontId="116" fillId="0" borderId="122" xfId="0" applyFont="1" applyBorder="1"/>
    <xf numFmtId="0" fontId="116" fillId="0" borderId="0" xfId="0" applyFont="1" applyAlignment="1">
      <alignment horizontal="right"/>
    </xf>
    <xf numFmtId="0" fontId="8" fillId="0" borderId="0" xfId="207" applyFont="1" applyAlignment="1">
      <alignment vertical="center"/>
    </xf>
    <xf numFmtId="172" fontId="6" fillId="0" borderId="0" xfId="104" applyNumberFormat="1" applyFont="1" applyAlignment="1">
      <alignment horizontal="left" vertical="center"/>
    </xf>
    <xf numFmtId="0" fontId="8" fillId="0" borderId="0" xfId="208" applyFont="1" applyAlignment="1">
      <alignment vertical="center"/>
    </xf>
    <xf numFmtId="0" fontId="13" fillId="33" borderId="25" xfId="223" applyFont="1" applyFill="1" applyBorder="1" applyAlignment="1">
      <alignment vertical="center"/>
    </xf>
    <xf numFmtId="4" fontId="73" fillId="0" borderId="71" xfId="35" applyNumberFormat="1" applyFont="1" applyBorder="1" applyAlignment="1">
      <alignment horizontal="center" vertical="center"/>
    </xf>
    <xf numFmtId="4" fontId="98" fillId="0" borderId="76" xfId="35" applyNumberFormat="1" applyFont="1" applyBorder="1" applyAlignment="1">
      <alignment horizontal="center" vertical="center"/>
    </xf>
    <xf numFmtId="4" fontId="37" fillId="0" borderId="71" xfId="35" applyNumberFormat="1" applyFont="1" applyBorder="1" applyAlignment="1">
      <alignment horizontal="center" vertical="center"/>
    </xf>
    <xf numFmtId="4" fontId="37" fillId="0" borderId="76" xfId="35" applyNumberFormat="1" applyFont="1" applyBorder="1" applyAlignment="1">
      <alignment horizontal="center" vertical="center"/>
    </xf>
    <xf numFmtId="0" fontId="37" fillId="0" borderId="76" xfId="35" applyFont="1" applyBorder="1" applyAlignment="1">
      <alignment horizontal="center" vertical="center"/>
    </xf>
    <xf numFmtId="0" fontId="73" fillId="0" borderId="71" xfId="35" applyFont="1" applyBorder="1" applyAlignment="1">
      <alignment horizontal="center" vertical="center"/>
    </xf>
    <xf numFmtId="189" fontId="11" fillId="0" borderId="77" xfId="35" quotePrefix="1" applyNumberFormat="1" applyFont="1" applyBorder="1" applyAlignment="1">
      <alignment horizontal="center" vertical="center"/>
    </xf>
    <xf numFmtId="189" fontId="11" fillId="0" borderId="74" xfId="35" quotePrefix="1" applyNumberFormat="1" applyFont="1" applyBorder="1" applyAlignment="1">
      <alignment horizontal="center" vertical="center"/>
    </xf>
    <xf numFmtId="189" fontId="37" fillId="0" borderId="76" xfId="35" applyNumberFormat="1" applyFont="1" applyBorder="1" applyAlignment="1">
      <alignment horizontal="center" vertical="center"/>
    </xf>
    <xf numFmtId="189" fontId="73" fillId="0" borderId="71" xfId="35" applyNumberFormat="1" applyFont="1" applyBorder="1" applyAlignment="1">
      <alignment horizontal="center" vertical="center"/>
    </xf>
    <xf numFmtId="189" fontId="37" fillId="0" borderId="71" xfId="35" applyNumberFormat="1" applyFont="1" applyBorder="1" applyAlignment="1">
      <alignment horizontal="center" vertical="center"/>
    </xf>
    <xf numFmtId="189" fontId="37" fillId="0" borderId="65" xfId="35" applyNumberFormat="1" applyFont="1" applyBorder="1" applyAlignment="1">
      <alignment horizontal="center" vertical="center"/>
    </xf>
    <xf numFmtId="189" fontId="73" fillId="0" borderId="70" xfId="35" applyNumberFormat="1" applyFont="1" applyBorder="1" applyAlignment="1">
      <alignment horizontal="center" vertical="center"/>
    </xf>
    <xf numFmtId="189" fontId="11" fillId="0" borderId="76" xfId="115" applyNumberFormat="1" applyFont="1" applyBorder="1" applyAlignment="1">
      <alignment horizontal="center" vertical="center"/>
    </xf>
    <xf numFmtId="189" fontId="11" fillId="0" borderId="71" xfId="115" applyNumberFormat="1" applyFont="1" applyBorder="1" applyAlignment="1">
      <alignment horizontal="center" vertical="center"/>
    </xf>
    <xf numFmtId="189" fontId="37" fillId="0" borderId="68" xfId="35" applyNumberFormat="1" applyFont="1" applyBorder="1" applyAlignment="1">
      <alignment horizontal="center" vertical="center"/>
    </xf>
    <xf numFmtId="189" fontId="73" fillId="0" borderId="73" xfId="35" applyNumberFormat="1" applyFont="1" applyBorder="1" applyAlignment="1">
      <alignment horizontal="center" vertical="center"/>
    </xf>
    <xf numFmtId="189" fontId="37" fillId="0" borderId="13" xfId="115" applyNumberFormat="1" applyFont="1" applyBorder="1" applyAlignment="1">
      <alignment horizontal="center" vertical="center"/>
    </xf>
    <xf numFmtId="189" fontId="37" fillId="0" borderId="71" xfId="115" applyNumberFormat="1" applyFont="1" applyBorder="1" applyAlignment="1">
      <alignment horizontal="center" vertical="center"/>
    </xf>
    <xf numFmtId="189" fontId="11" fillId="0" borderId="77" xfId="115" applyNumberFormat="1" applyFont="1" applyBorder="1" applyAlignment="1">
      <alignment horizontal="center" vertical="center"/>
    </xf>
    <xf numFmtId="189" fontId="11" fillId="0" borderId="74" xfId="115" applyNumberFormat="1" applyFont="1" applyBorder="1" applyAlignment="1">
      <alignment horizontal="center" vertical="center"/>
    </xf>
    <xf numFmtId="10" fontId="8" fillId="33" borderId="0" xfId="208" applyNumberFormat="1" applyFont="1" applyFill="1" applyAlignment="1">
      <alignment vertical="center"/>
    </xf>
    <xf numFmtId="2" fontId="8" fillId="0" borderId="0" xfId="208" applyNumberFormat="1" applyFont="1" applyAlignment="1">
      <alignment vertical="center"/>
    </xf>
    <xf numFmtId="173" fontId="6" fillId="0" borderId="0" xfId="208" applyNumberFormat="1" applyFont="1" applyAlignment="1">
      <alignment vertical="center"/>
    </xf>
    <xf numFmtId="10" fontId="8" fillId="0" borderId="0" xfId="127" applyNumberFormat="1" applyFont="1" applyAlignment="1">
      <alignment vertical="center"/>
    </xf>
    <xf numFmtId="2" fontId="6" fillId="0" borderId="0" xfId="207" applyNumberFormat="1" applyFont="1"/>
    <xf numFmtId="0" fontId="0" fillId="33" borderId="0" xfId="0" applyFill="1"/>
    <xf numFmtId="0" fontId="8" fillId="0" borderId="105" xfId="0" applyFont="1" applyBorder="1" applyAlignment="1">
      <alignment horizontal="center"/>
    </xf>
    <xf numFmtId="0" fontId="6" fillId="0" borderId="105" xfId="0" applyFont="1" applyBorder="1"/>
    <xf numFmtId="0" fontId="8" fillId="0" borderId="105" xfId="0" applyFont="1" applyBorder="1"/>
    <xf numFmtId="0" fontId="13" fillId="0" borderId="96" xfId="0" applyFont="1" applyBorder="1"/>
    <xf numFmtId="0" fontId="16" fillId="0" borderId="96" xfId="0" applyFont="1" applyBorder="1" applyAlignment="1">
      <alignment horizontal="right"/>
    </xf>
    <xf numFmtId="0" fontId="16" fillId="0" borderId="96" xfId="0" applyFont="1" applyBorder="1"/>
    <xf numFmtId="0" fontId="14" fillId="33" borderId="52" xfId="108" applyFill="1" applyBorder="1" applyAlignment="1">
      <alignment vertical="center"/>
    </xf>
    <xf numFmtId="0" fontId="14" fillId="33" borderId="48" xfId="108" applyFill="1" applyBorder="1" applyAlignment="1">
      <alignment vertical="center"/>
    </xf>
    <xf numFmtId="0" fontId="14" fillId="33" borderId="53" xfId="108" applyFill="1" applyBorder="1" applyAlignment="1">
      <alignment vertical="center"/>
    </xf>
    <xf numFmtId="0" fontId="14" fillId="33" borderId="48" xfId="212" applyFont="1" applyFill="1" applyBorder="1" applyAlignment="1">
      <alignment vertical="center"/>
    </xf>
    <xf numFmtId="2" fontId="14" fillId="33" borderId="48" xfId="108" applyNumberFormat="1" applyFill="1" applyBorder="1" applyAlignment="1">
      <alignment vertical="center"/>
    </xf>
    <xf numFmtId="2" fontId="14" fillId="33" borderId="50" xfId="108" applyNumberFormat="1" applyFill="1" applyBorder="1" applyAlignment="1">
      <alignment vertical="center"/>
    </xf>
    <xf numFmtId="4" fontId="38" fillId="0" borderId="0" xfId="115" applyNumberFormat="1" applyFont="1" applyAlignment="1">
      <alignment horizontal="center" vertical="center"/>
    </xf>
    <xf numFmtId="2" fontId="117" fillId="33" borderId="0" xfId="208" applyNumberFormat="1" applyFont="1" applyFill="1" applyAlignment="1">
      <alignment vertical="center"/>
    </xf>
    <xf numFmtId="172" fontId="117" fillId="0" borderId="0" xfId="208" applyNumberFormat="1" applyFont="1" applyAlignment="1">
      <alignment vertical="center"/>
    </xf>
    <xf numFmtId="0" fontId="119" fillId="39" borderId="0" xfId="0" applyFont="1" applyFill="1" applyAlignment="1">
      <alignment horizontal="right" vertical="center" wrapText="1"/>
    </xf>
    <xf numFmtId="0" fontId="119" fillId="39" borderId="0" xfId="0" applyFont="1" applyFill="1" applyAlignment="1">
      <alignment vertical="center" wrapText="1"/>
    </xf>
    <xf numFmtId="4" fontId="37" fillId="33" borderId="41" xfId="35" applyNumberFormat="1" applyFont="1" applyFill="1" applyBorder="1" applyAlignment="1">
      <alignment horizontal="center" vertical="center"/>
    </xf>
    <xf numFmtId="4" fontId="37" fillId="33" borderId="71" xfId="35" applyNumberFormat="1" applyFont="1" applyFill="1" applyBorder="1" applyAlignment="1">
      <alignment horizontal="center" vertical="center"/>
    </xf>
    <xf numFmtId="0" fontId="6" fillId="39" borderId="0" xfId="0" applyFont="1" applyFill="1" applyAlignment="1">
      <alignment horizontal="right" vertical="center" wrapText="1"/>
    </xf>
    <xf numFmtId="0" fontId="6" fillId="39" borderId="0" xfId="0" applyFont="1" applyFill="1" applyAlignment="1">
      <alignment vertical="center" wrapText="1"/>
    </xf>
    <xf numFmtId="2" fontId="0" fillId="0" borderId="119" xfId="0" applyNumberFormat="1" applyBorder="1" applyAlignment="1">
      <alignment horizontal="center"/>
    </xf>
    <xf numFmtId="0" fontId="116" fillId="0" borderId="41" xfId="0" applyFont="1" applyBorder="1"/>
    <xf numFmtId="167" fontId="6" fillId="0" borderId="41" xfId="0" applyNumberFormat="1" applyFont="1" applyBorder="1"/>
    <xf numFmtId="167" fontId="6" fillId="0" borderId="42" xfId="0" applyNumberFormat="1" applyFont="1" applyBorder="1"/>
    <xf numFmtId="4" fontId="120" fillId="0" borderId="7" xfId="115" applyNumberFormat="1" applyFont="1" applyBorder="1" applyAlignment="1">
      <alignment horizontal="center" vertical="center"/>
    </xf>
    <xf numFmtId="167" fontId="87" fillId="0" borderId="0" xfId="0" applyNumberFormat="1" applyFont="1"/>
    <xf numFmtId="0" fontId="6" fillId="0" borderId="0" xfId="104" applyFont="1" applyAlignment="1">
      <alignment horizontal="right" vertical="center"/>
    </xf>
    <xf numFmtId="204" fontId="6" fillId="0" borderId="0" xfId="104" applyNumberFormat="1" applyFont="1" applyAlignment="1">
      <alignment horizontal="right" vertical="center"/>
    </xf>
    <xf numFmtId="4" fontId="6" fillId="0" borderId="0" xfId="104" applyNumberFormat="1" applyFont="1" applyAlignment="1">
      <alignment horizontal="right" vertical="center"/>
    </xf>
    <xf numFmtId="0" fontId="8" fillId="31" borderId="0" xfId="208" applyFont="1" applyFill="1" applyAlignment="1">
      <alignment horizontal="center" vertical="center"/>
    </xf>
    <xf numFmtId="187" fontId="6" fillId="33" borderId="0" xfId="208" applyNumberFormat="1" applyFont="1" applyFill="1" applyAlignment="1">
      <alignment horizontal="right" vertical="center" indent="1"/>
    </xf>
    <xf numFmtId="187" fontId="8" fillId="33" borderId="0" xfId="208" applyNumberFormat="1" applyFont="1" applyFill="1" applyAlignment="1">
      <alignment horizontal="right" vertical="center" indent="1"/>
    </xf>
    <xf numFmtId="187" fontId="6" fillId="0" borderId="0" xfId="208" applyNumberFormat="1" applyFont="1" applyAlignment="1">
      <alignment horizontal="right" vertical="center" indent="1"/>
    </xf>
    <xf numFmtId="194" fontId="8" fillId="33" borderId="0" xfId="208" applyNumberFormat="1" applyFont="1" applyFill="1" applyAlignment="1">
      <alignment horizontal="right" vertical="center" indent="1"/>
    </xf>
    <xf numFmtId="0" fontId="117" fillId="0" borderId="0" xfId="207" applyFont="1" applyAlignment="1">
      <alignment horizontal="center"/>
    </xf>
    <xf numFmtId="0" fontId="31" fillId="33" borderId="0" xfId="207" applyFont="1" applyFill="1" applyAlignment="1">
      <alignment vertical="center"/>
    </xf>
    <xf numFmtId="0" fontId="24" fillId="33" borderId="0" xfId="207" applyFont="1" applyFill="1" applyAlignment="1">
      <alignment vertical="center"/>
    </xf>
    <xf numFmtId="0" fontId="122" fillId="0" borderId="0" xfId="117" applyFont="1" applyAlignment="1">
      <alignment horizontal="left" vertical="center"/>
    </xf>
    <xf numFmtId="0" fontId="24" fillId="0" borderId="0" xfId="207" applyFont="1" applyAlignment="1">
      <alignment horizontal="centerContinuous" vertical="center"/>
    </xf>
    <xf numFmtId="0" fontId="25" fillId="0" borderId="0" xfId="207" quotePrefix="1" applyFont="1" applyAlignment="1">
      <alignment horizontal="centerContinuous" vertical="center"/>
    </xf>
    <xf numFmtId="0" fontId="24" fillId="0" borderId="0" xfId="112" quotePrefix="1" applyFont="1" applyAlignment="1">
      <alignment horizontal="centerContinuous" vertical="center"/>
    </xf>
    <xf numFmtId="0" fontId="25" fillId="0" borderId="0" xfId="207" applyFont="1" applyAlignment="1">
      <alignment horizontal="left" vertical="center"/>
    </xf>
    <xf numFmtId="177" fontId="24" fillId="0" borderId="0" xfId="112" quotePrefix="1" applyNumberFormat="1" applyFont="1" applyAlignment="1">
      <alignment horizontal="right" vertical="center"/>
    </xf>
    <xf numFmtId="0" fontId="24" fillId="0" borderId="0" xfId="207" applyFont="1" applyAlignment="1">
      <alignment horizontal="left" vertical="center"/>
    </xf>
    <xf numFmtId="0" fontId="24" fillId="0" borderId="0" xfId="207" quotePrefix="1" applyFont="1" applyAlignment="1">
      <alignment horizontal="centerContinuous" vertical="center"/>
    </xf>
    <xf numFmtId="2" fontId="24" fillId="0" borderId="0" xfId="207" applyNumberFormat="1" applyFont="1" applyAlignment="1">
      <alignment horizontal="left" vertical="center"/>
    </xf>
    <xf numFmtId="4" fontId="25" fillId="0" borderId="0" xfId="207" applyNumberFormat="1" applyFont="1" applyAlignment="1">
      <alignment horizontal="left" vertical="center"/>
    </xf>
    <xf numFmtId="0" fontId="31" fillId="33" borderId="0" xfId="104" applyFont="1" applyFill="1" applyAlignment="1">
      <alignment vertical="center"/>
    </xf>
    <xf numFmtId="0" fontId="31" fillId="33" borderId="0" xfId="104" applyFont="1" applyFill="1" applyAlignment="1">
      <alignment horizontal="center" vertical="center"/>
    </xf>
    <xf numFmtId="2" fontId="31" fillId="33" borderId="0" xfId="104" applyNumberFormat="1" applyFont="1" applyFill="1" applyAlignment="1">
      <alignment horizontal="center" vertical="center"/>
    </xf>
    <xf numFmtId="0" fontId="31" fillId="33" borderId="0" xfId="208" applyFont="1" applyFill="1" applyAlignment="1">
      <alignment vertical="center"/>
    </xf>
    <xf numFmtId="187" fontId="31" fillId="33" borderId="0" xfId="104" applyNumberFormat="1" applyFont="1" applyFill="1" applyAlignment="1">
      <alignment horizontal="right" vertical="center" indent="1"/>
    </xf>
    <xf numFmtId="2" fontId="31" fillId="0" borderId="0" xfId="208" applyNumberFormat="1" applyFont="1" applyAlignment="1">
      <alignment vertical="center"/>
    </xf>
    <xf numFmtId="2" fontId="31" fillId="33" borderId="0" xfId="104" applyNumberFormat="1" applyFont="1" applyFill="1" applyAlignment="1">
      <alignment vertical="center"/>
    </xf>
    <xf numFmtId="0" fontId="31" fillId="0" borderId="0" xfId="104" applyFont="1" applyAlignment="1">
      <alignment horizontal="center" vertical="center"/>
    </xf>
    <xf numFmtId="0" fontId="31" fillId="0" borderId="7" xfId="104" applyFont="1" applyBorder="1" applyAlignment="1">
      <alignment horizontal="center" vertical="center"/>
    </xf>
    <xf numFmtId="2" fontId="31" fillId="0" borderId="0" xfId="104" applyNumberFormat="1" applyFont="1" applyAlignment="1">
      <alignment vertical="center"/>
    </xf>
    <xf numFmtId="0" fontId="31" fillId="0" borderId="7" xfId="104" applyFont="1" applyBorder="1" applyAlignment="1">
      <alignment vertical="center"/>
    </xf>
    <xf numFmtId="172" fontId="79" fillId="0" borderId="0" xfId="104" applyNumberFormat="1" applyFont="1" applyAlignment="1">
      <alignment horizontal="right" vertical="center"/>
    </xf>
    <xf numFmtId="0" fontId="79" fillId="0" borderId="0" xfId="104" applyFont="1" applyAlignment="1">
      <alignment horizontal="center" vertical="center"/>
    </xf>
    <xf numFmtId="0" fontId="79" fillId="0" borderId="0" xfId="104" applyFont="1" applyAlignment="1">
      <alignment vertical="center"/>
    </xf>
    <xf numFmtId="0" fontId="79" fillId="23" borderId="7" xfId="112" applyFont="1" applyFill="1" applyBorder="1" applyAlignment="1">
      <alignment horizontal="center" vertical="center"/>
    </xf>
    <xf numFmtId="0" fontId="79" fillId="31" borderId="7" xfId="208" applyFont="1" applyFill="1" applyBorder="1" applyAlignment="1">
      <alignment horizontal="center" vertical="center"/>
    </xf>
    <xf numFmtId="0" fontId="79" fillId="31" borderId="7" xfId="208" applyFont="1" applyFill="1" applyBorder="1" applyAlignment="1">
      <alignment horizontal="center" vertical="center" wrapText="1"/>
    </xf>
    <xf numFmtId="0" fontId="31" fillId="33" borderId="40" xfId="104" applyFont="1" applyFill="1" applyBorder="1" applyAlignment="1">
      <alignment vertical="center"/>
    </xf>
    <xf numFmtId="0" fontId="31" fillId="33" borderId="40" xfId="104" applyFont="1" applyFill="1" applyBorder="1" applyAlignment="1">
      <alignment horizontal="center" vertical="center"/>
    </xf>
    <xf numFmtId="4" fontId="31" fillId="33" borderId="40" xfId="104" applyNumberFormat="1" applyFont="1" applyFill="1" applyBorder="1" applyAlignment="1">
      <alignment horizontal="center" vertical="center"/>
    </xf>
    <xf numFmtId="0" fontId="31" fillId="33" borderId="41" xfId="104" applyFont="1" applyFill="1" applyBorder="1" applyAlignment="1">
      <alignment vertical="center"/>
    </xf>
    <xf numFmtId="0" fontId="31" fillId="33" borderId="41" xfId="104" applyFont="1" applyFill="1" applyBorder="1" applyAlignment="1">
      <alignment horizontal="center" vertical="center"/>
    </xf>
    <xf numFmtId="4" fontId="31" fillId="33" borderId="41" xfId="104" applyNumberFormat="1" applyFont="1" applyFill="1" applyBorder="1" applyAlignment="1">
      <alignment horizontal="center" vertical="center"/>
    </xf>
    <xf numFmtId="2" fontId="79" fillId="33" borderId="41" xfId="104" applyNumberFormat="1" applyFont="1" applyFill="1" applyBorder="1" applyAlignment="1">
      <alignment horizontal="center" vertical="center"/>
    </xf>
    <xf numFmtId="2" fontId="31" fillId="33" borderId="41" xfId="104" applyNumberFormat="1" applyFont="1" applyFill="1" applyBorder="1" applyAlignment="1">
      <alignment horizontal="center" vertical="center"/>
    </xf>
    <xf numFmtId="0" fontId="31" fillId="33" borderId="41" xfId="208" applyFont="1" applyFill="1" applyBorder="1" applyAlignment="1">
      <alignment vertical="center"/>
    </xf>
    <xf numFmtId="0" fontId="31" fillId="33" borderId="41" xfId="208" applyFont="1" applyFill="1" applyBorder="1" applyAlignment="1">
      <alignment horizontal="center" vertical="center"/>
    </xf>
    <xf numFmtId="4" fontId="31" fillId="33" borderId="41" xfId="208" applyNumberFormat="1" applyFont="1" applyFill="1" applyBorder="1" applyAlignment="1">
      <alignment horizontal="right" vertical="center" indent="1"/>
    </xf>
    <xf numFmtId="187" fontId="31" fillId="33" borderId="41" xfId="104" applyNumberFormat="1" applyFont="1" applyFill="1" applyBorder="1" applyAlignment="1">
      <alignment horizontal="right" vertical="center" indent="1"/>
    </xf>
    <xf numFmtId="187" fontId="79" fillId="33" borderId="40" xfId="104" applyNumberFormat="1" applyFont="1" applyFill="1" applyBorder="1" applyAlignment="1">
      <alignment horizontal="right" vertical="center" indent="1"/>
    </xf>
    <xf numFmtId="2" fontId="31" fillId="33" borderId="41" xfId="104" applyNumberFormat="1" applyFont="1" applyFill="1" applyBorder="1" applyAlignment="1">
      <alignment horizontal="right" vertical="center" indent="1"/>
    </xf>
    <xf numFmtId="187" fontId="79" fillId="33" borderId="41" xfId="104" applyNumberFormat="1" applyFont="1" applyFill="1" applyBorder="1" applyAlignment="1">
      <alignment horizontal="right" vertical="center" indent="1"/>
    </xf>
    <xf numFmtId="0" fontId="31" fillId="33" borderId="42" xfId="104" applyFont="1" applyFill="1" applyBorder="1" applyAlignment="1">
      <alignment vertical="center"/>
    </xf>
    <xf numFmtId="187" fontId="79" fillId="33" borderId="7" xfId="104" applyNumberFormat="1" applyFont="1" applyFill="1" applyBorder="1" applyAlignment="1">
      <alignment horizontal="right" vertical="center" indent="1"/>
    </xf>
    <xf numFmtId="0" fontId="31" fillId="0" borderId="41" xfId="104" applyFont="1" applyBorder="1" applyAlignment="1">
      <alignment horizontal="center" vertical="center"/>
    </xf>
    <xf numFmtId="187" fontId="31" fillId="0" borderId="41" xfId="104" applyNumberFormat="1" applyFont="1" applyBorder="1" applyAlignment="1">
      <alignment horizontal="right" vertical="center" indent="1"/>
    </xf>
    <xf numFmtId="0" fontId="31" fillId="0" borderId="40" xfId="104" applyFont="1" applyBorder="1" applyAlignment="1">
      <alignment horizontal="center" vertical="center"/>
    </xf>
    <xf numFmtId="187" fontId="79" fillId="0" borderId="40" xfId="104" applyNumberFormat="1" applyFont="1" applyBorder="1" applyAlignment="1">
      <alignment horizontal="right" vertical="center" indent="1"/>
    </xf>
    <xf numFmtId="0" fontId="31" fillId="0" borderId="41" xfId="104" applyFont="1" applyBorder="1" applyAlignment="1">
      <alignment vertical="center"/>
    </xf>
    <xf numFmtId="0" fontId="31" fillId="33" borderId="92" xfId="104" applyFont="1" applyFill="1" applyBorder="1" applyAlignment="1">
      <alignment vertical="center"/>
    </xf>
    <xf numFmtId="0" fontId="31" fillId="33" borderId="32" xfId="104" applyFont="1" applyFill="1" applyBorder="1" applyAlignment="1">
      <alignment vertical="center"/>
    </xf>
    <xf numFmtId="0" fontId="31" fillId="33" borderId="61" xfId="104" applyFont="1" applyFill="1" applyBorder="1" applyAlignment="1">
      <alignment vertical="center"/>
    </xf>
    <xf numFmtId="0" fontId="31" fillId="33" borderId="63" xfId="104" applyFont="1" applyFill="1" applyBorder="1" applyAlignment="1">
      <alignment vertical="center"/>
    </xf>
    <xf numFmtId="0" fontId="121" fillId="0" borderId="0" xfId="207" applyFont="1" applyAlignment="1">
      <alignment horizontal="left" vertical="center"/>
    </xf>
    <xf numFmtId="0" fontId="31" fillId="33" borderId="60" xfId="104" applyFont="1" applyFill="1" applyBorder="1" applyAlignment="1">
      <alignment vertical="center"/>
    </xf>
    <xf numFmtId="0" fontId="121" fillId="33" borderId="0" xfId="208" applyFont="1" applyFill="1" applyAlignment="1">
      <alignment vertical="center"/>
    </xf>
    <xf numFmtId="0" fontId="31" fillId="33" borderId="0" xfId="246" applyFont="1" applyFill="1" applyAlignment="1">
      <alignment vertical="center"/>
    </xf>
    <xf numFmtId="0" fontId="31" fillId="33" borderId="60" xfId="246" applyFont="1" applyFill="1" applyBorder="1" applyAlignment="1">
      <alignment vertical="center"/>
    </xf>
    <xf numFmtId="0" fontId="31" fillId="33" borderId="60" xfId="208" applyFont="1" applyFill="1" applyBorder="1" applyAlignment="1">
      <alignment vertical="center"/>
    </xf>
    <xf numFmtId="0" fontId="79" fillId="33" borderId="60" xfId="246" applyFont="1" applyFill="1" applyBorder="1" applyAlignment="1">
      <alignment horizontal="right" vertical="center"/>
    </xf>
    <xf numFmtId="0" fontId="121" fillId="33" borderId="0" xfId="246" applyFont="1" applyFill="1" applyAlignment="1">
      <alignment vertical="center"/>
    </xf>
    <xf numFmtId="0" fontId="31" fillId="33" borderId="62" xfId="104" applyFont="1" applyFill="1" applyBorder="1" applyAlignment="1">
      <alignment vertical="center"/>
    </xf>
    <xf numFmtId="0" fontId="31" fillId="0" borderId="63" xfId="104" applyFont="1" applyBorder="1" applyAlignment="1">
      <alignment vertical="center"/>
    </xf>
    <xf numFmtId="0" fontId="79" fillId="0" borderId="60" xfId="104" applyFont="1" applyBorder="1" applyAlignment="1">
      <alignment horizontal="right" vertical="center"/>
    </xf>
    <xf numFmtId="0" fontId="31" fillId="0" borderId="60" xfId="104" applyFont="1" applyBorder="1" applyAlignment="1">
      <alignment vertical="center"/>
    </xf>
    <xf numFmtId="0" fontId="31" fillId="0" borderId="59" xfId="104" applyFont="1" applyBorder="1" applyAlignment="1">
      <alignment vertical="center"/>
    </xf>
    <xf numFmtId="0" fontId="31" fillId="0" borderId="66" xfId="104" applyFont="1" applyBorder="1" applyAlignment="1">
      <alignment vertical="center"/>
    </xf>
    <xf numFmtId="0" fontId="31" fillId="0" borderId="6" xfId="104" applyFont="1" applyBorder="1" applyAlignment="1">
      <alignment vertical="center"/>
    </xf>
    <xf numFmtId="0" fontId="79" fillId="0" borderId="6" xfId="104" applyFont="1" applyBorder="1" applyAlignment="1">
      <alignment vertical="center"/>
    </xf>
    <xf numFmtId="0" fontId="31" fillId="0" borderId="6" xfId="104" applyFont="1" applyBorder="1" applyAlignment="1">
      <alignment horizontal="center" vertical="center"/>
    </xf>
    <xf numFmtId="0" fontId="31" fillId="0" borderId="6" xfId="104" applyFont="1" applyBorder="1" applyAlignment="1">
      <alignment horizontal="right" vertical="center" indent="1"/>
    </xf>
    <xf numFmtId="4" fontId="79" fillId="33" borderId="118" xfId="208" applyNumberFormat="1" applyFont="1" applyFill="1" applyBorder="1" applyAlignment="1">
      <alignment horizontal="right" vertical="center" indent="1"/>
    </xf>
    <xf numFmtId="4" fontId="31" fillId="33" borderId="41" xfId="208" applyNumberFormat="1" applyFont="1" applyFill="1" applyBorder="1" applyAlignment="1">
      <alignment horizontal="center" vertical="center"/>
    </xf>
    <xf numFmtId="4" fontId="31" fillId="33" borderId="41" xfId="223" applyNumberFormat="1" applyFont="1" applyFill="1" applyBorder="1" applyAlignment="1">
      <alignment horizontal="center" vertical="center" wrapText="1"/>
    </xf>
    <xf numFmtId="4" fontId="31" fillId="33" borderId="7" xfId="104" applyNumberFormat="1" applyFont="1" applyFill="1" applyBorder="1" applyAlignment="1">
      <alignment horizontal="center" vertical="center"/>
    </xf>
    <xf numFmtId="4" fontId="31" fillId="0" borderId="41" xfId="104" applyNumberFormat="1" applyFont="1" applyBorder="1" applyAlignment="1">
      <alignment horizontal="center" vertical="center"/>
    </xf>
    <xf numFmtId="4" fontId="31" fillId="0" borderId="41" xfId="223" applyNumberFormat="1" applyFont="1" applyBorder="1" applyAlignment="1">
      <alignment horizontal="center" vertical="center" wrapText="1"/>
    </xf>
    <xf numFmtId="4" fontId="31" fillId="0" borderId="40" xfId="104" applyNumberFormat="1" applyFont="1" applyBorder="1" applyAlignment="1">
      <alignment horizontal="center" vertical="center"/>
    </xf>
    <xf numFmtId="187" fontId="79" fillId="33" borderId="0" xfId="208" applyNumberFormat="1" applyFont="1" applyFill="1" applyAlignment="1">
      <alignment horizontal="right" vertical="center" indent="1"/>
    </xf>
    <xf numFmtId="0" fontId="31" fillId="0" borderId="0" xfId="208" applyFont="1" applyAlignment="1">
      <alignment vertical="center"/>
    </xf>
    <xf numFmtId="2" fontId="31" fillId="33" borderId="0" xfId="208" applyNumberFormat="1" applyFont="1" applyFill="1" applyAlignment="1">
      <alignment horizontal="center" vertical="center"/>
    </xf>
    <xf numFmtId="0" fontId="31" fillId="33" borderId="0" xfId="208" applyFont="1" applyFill="1" applyAlignment="1">
      <alignment horizontal="center" vertical="center"/>
    </xf>
    <xf numFmtId="0" fontId="124" fillId="0" borderId="0" xfId="208" applyFont="1" applyAlignment="1">
      <alignment vertical="center"/>
    </xf>
    <xf numFmtId="187" fontId="31" fillId="33" borderId="0" xfId="208" applyNumberFormat="1" applyFont="1" applyFill="1" applyAlignment="1">
      <alignment horizontal="right" vertical="center" indent="1"/>
    </xf>
    <xf numFmtId="172" fontId="31" fillId="33" borderId="0" xfId="208" applyNumberFormat="1" applyFont="1" applyFill="1" applyAlignment="1">
      <alignment vertical="center"/>
    </xf>
    <xf numFmtId="172" fontId="31" fillId="33" borderId="0" xfId="208" applyNumberFormat="1" applyFont="1" applyFill="1" applyAlignment="1">
      <alignment horizontal="right" vertical="center"/>
    </xf>
    <xf numFmtId="2" fontId="31" fillId="33" borderId="0" xfId="208" applyNumberFormat="1" applyFont="1" applyFill="1" applyAlignment="1">
      <alignment vertical="center"/>
    </xf>
    <xf numFmtId="0" fontId="31" fillId="33" borderId="0" xfId="208" applyFont="1" applyFill="1" applyAlignment="1">
      <alignment horizontal="left" vertical="center"/>
    </xf>
    <xf numFmtId="0" fontId="79" fillId="33" borderId="0" xfId="208" applyFont="1" applyFill="1" applyAlignment="1">
      <alignment vertical="center"/>
    </xf>
    <xf numFmtId="0" fontId="125" fillId="0" borderId="0" xfId="208" applyFont="1" applyAlignment="1">
      <alignment vertical="center"/>
    </xf>
    <xf numFmtId="0" fontId="31" fillId="0" borderId="0" xfId="208" applyFont="1" applyAlignment="1">
      <alignment horizontal="center" vertical="center"/>
    </xf>
    <xf numFmtId="172" fontId="31" fillId="0" borderId="0" xfId="208" applyNumberFormat="1" applyFont="1" applyAlignment="1">
      <alignment vertical="center"/>
    </xf>
    <xf numFmtId="172" fontId="31" fillId="0" borderId="0" xfId="208" applyNumberFormat="1" applyFont="1" applyAlignment="1">
      <alignment horizontal="right" vertical="center"/>
    </xf>
    <xf numFmtId="0" fontId="31" fillId="33" borderId="34" xfId="208" applyFont="1" applyFill="1" applyBorder="1" applyAlignment="1">
      <alignment vertical="center"/>
    </xf>
    <xf numFmtId="4" fontId="124" fillId="33" borderId="0" xfId="208" applyNumberFormat="1" applyFont="1" applyFill="1" applyAlignment="1">
      <alignment vertical="center"/>
    </xf>
    <xf numFmtId="0" fontId="79" fillId="33" borderId="0" xfId="208" applyFont="1" applyFill="1" applyAlignment="1">
      <alignment horizontal="center" vertical="center"/>
    </xf>
    <xf numFmtId="0" fontId="79" fillId="0" borderId="0" xfId="208" applyFont="1" applyAlignment="1">
      <alignment horizontal="center" vertical="center"/>
    </xf>
    <xf numFmtId="4" fontId="31" fillId="33" borderId="0" xfId="208" applyNumberFormat="1" applyFont="1" applyFill="1" applyAlignment="1">
      <alignment vertical="center"/>
    </xf>
    <xf numFmtId="4" fontId="31" fillId="0" borderId="0" xfId="208" applyNumberFormat="1" applyFont="1" applyAlignment="1">
      <alignment vertical="center"/>
    </xf>
    <xf numFmtId="0" fontId="79" fillId="23" borderId="40" xfId="112" applyFont="1" applyFill="1" applyBorder="1" applyAlignment="1">
      <alignment horizontal="center" vertical="center"/>
    </xf>
    <xf numFmtId="0" fontId="79" fillId="31" borderId="40" xfId="208" applyFont="1" applyFill="1" applyBorder="1" applyAlignment="1">
      <alignment horizontal="center" vertical="center"/>
    </xf>
    <xf numFmtId="0" fontId="79" fillId="31" borderId="40" xfId="208" applyFont="1" applyFill="1" applyBorder="1" applyAlignment="1">
      <alignment horizontal="center" vertical="center" wrapText="1"/>
    </xf>
    <xf numFmtId="0" fontId="6" fillId="33" borderId="40" xfId="208" applyFont="1" applyFill="1" applyBorder="1" applyAlignment="1">
      <alignment vertical="center"/>
    </xf>
    <xf numFmtId="0" fontId="6" fillId="33" borderId="40" xfId="208" applyFont="1" applyFill="1" applyBorder="1" applyAlignment="1">
      <alignment horizontal="center" vertical="center"/>
    </xf>
    <xf numFmtId="4" fontId="6" fillId="33" borderId="40" xfId="208" applyNumberFormat="1" applyFont="1" applyFill="1" applyBorder="1" applyAlignment="1">
      <alignment horizontal="center" vertical="center"/>
    </xf>
    <xf numFmtId="2" fontId="79" fillId="33" borderId="41" xfId="208" applyNumberFormat="1" applyFont="1" applyFill="1" applyBorder="1" applyAlignment="1">
      <alignment horizontal="center" vertical="center"/>
    </xf>
    <xf numFmtId="2" fontId="31" fillId="33" borderId="41" xfId="208" applyNumberFormat="1" applyFont="1" applyFill="1" applyBorder="1" applyAlignment="1">
      <alignment horizontal="center" vertical="center"/>
    </xf>
    <xf numFmtId="187" fontId="31" fillId="33" borderId="41" xfId="208" applyNumberFormat="1" applyFont="1" applyFill="1" applyBorder="1" applyAlignment="1">
      <alignment horizontal="right" vertical="center" indent="1"/>
    </xf>
    <xf numFmtId="0" fontId="31" fillId="33" borderId="40" xfId="208" applyFont="1" applyFill="1" applyBorder="1" applyAlignment="1">
      <alignment horizontal="center" vertical="center"/>
    </xf>
    <xf numFmtId="4" fontId="31" fillId="33" borderId="40" xfId="208" applyNumberFormat="1" applyFont="1" applyFill="1" applyBorder="1" applyAlignment="1">
      <alignment horizontal="right" vertical="center" indent="1"/>
    </xf>
    <xf numFmtId="187" fontId="79" fillId="33" borderId="40" xfId="208" applyNumberFormat="1" applyFont="1" applyFill="1" applyBorder="1" applyAlignment="1">
      <alignment horizontal="right" vertical="center" indent="1"/>
    </xf>
    <xf numFmtId="0" fontId="31" fillId="0" borderId="41" xfId="208" applyFont="1" applyBorder="1" applyAlignment="1">
      <alignment vertical="center"/>
    </xf>
    <xf numFmtId="0" fontId="31" fillId="0" borderId="41" xfId="208" applyFont="1" applyBorder="1" applyAlignment="1">
      <alignment horizontal="center" vertical="center"/>
    </xf>
    <xf numFmtId="187" fontId="31" fillId="0" borderId="41" xfId="208" applyNumberFormat="1" applyFont="1" applyBorder="1" applyAlignment="1">
      <alignment horizontal="right" vertical="center" indent="1"/>
    </xf>
    <xf numFmtId="0" fontId="31" fillId="33" borderId="42" xfId="208" applyFont="1" applyFill="1" applyBorder="1" applyAlignment="1">
      <alignment vertical="center"/>
    </xf>
    <xf numFmtId="187" fontId="79" fillId="33" borderId="7" xfId="208" applyNumberFormat="1" applyFont="1" applyFill="1" applyBorder="1" applyAlignment="1">
      <alignment horizontal="right" vertical="center" indent="1"/>
    </xf>
    <xf numFmtId="0" fontId="79" fillId="33" borderId="40" xfId="208" applyFont="1" applyFill="1" applyBorder="1" applyAlignment="1">
      <alignment horizontal="center" vertical="center"/>
    </xf>
    <xf numFmtId="4" fontId="79" fillId="33" borderId="40" xfId="208" applyNumberFormat="1" applyFont="1" applyFill="1" applyBorder="1" applyAlignment="1">
      <alignment horizontal="right" vertical="center" indent="1"/>
    </xf>
    <xf numFmtId="0" fontId="31" fillId="33" borderId="42" xfId="208" applyFont="1" applyFill="1" applyBorder="1" applyAlignment="1">
      <alignment horizontal="center" vertical="center"/>
    </xf>
    <xf numFmtId="4" fontId="31" fillId="33" borderId="42" xfId="208" applyNumberFormat="1" applyFont="1" applyFill="1" applyBorder="1" applyAlignment="1">
      <alignment horizontal="right" vertical="center" indent="1"/>
    </xf>
    <xf numFmtId="187" fontId="31" fillId="33" borderId="42" xfId="208" applyNumberFormat="1" applyFont="1" applyFill="1" applyBorder="1" applyAlignment="1">
      <alignment horizontal="right" vertical="center" indent="1"/>
    </xf>
    <xf numFmtId="0" fontId="6" fillId="33" borderId="92" xfId="208" applyFont="1" applyFill="1" applyBorder="1" applyAlignment="1">
      <alignment vertical="center"/>
    </xf>
    <xf numFmtId="0" fontId="6" fillId="33" borderId="32" xfId="208" applyFont="1" applyFill="1" applyBorder="1" applyAlignment="1">
      <alignment vertical="center"/>
    </xf>
    <xf numFmtId="0" fontId="6" fillId="33" borderId="61" xfId="208" applyFont="1" applyFill="1" applyBorder="1" applyAlignment="1">
      <alignment vertical="center"/>
    </xf>
    <xf numFmtId="0" fontId="31" fillId="33" borderId="63" xfId="208" applyFont="1" applyFill="1" applyBorder="1" applyAlignment="1">
      <alignment vertical="center"/>
    </xf>
    <xf numFmtId="0" fontId="79" fillId="33" borderId="60" xfId="208" applyFont="1" applyFill="1" applyBorder="1" applyAlignment="1">
      <alignment horizontal="right" vertical="center"/>
    </xf>
    <xf numFmtId="0" fontId="31" fillId="0" borderId="63" xfId="208" applyFont="1" applyBorder="1" applyAlignment="1">
      <alignment vertical="center"/>
    </xf>
    <xf numFmtId="0" fontId="31" fillId="33" borderId="62" xfId="208" applyFont="1" applyFill="1" applyBorder="1" applyAlignment="1">
      <alignment vertical="center"/>
    </xf>
    <xf numFmtId="0" fontId="79" fillId="33" borderId="59" xfId="208" applyFont="1" applyFill="1" applyBorder="1" applyAlignment="1">
      <alignment horizontal="right" vertical="center"/>
    </xf>
    <xf numFmtId="0" fontId="31" fillId="33" borderId="59" xfId="208" applyFont="1" applyFill="1" applyBorder="1" applyAlignment="1">
      <alignment vertical="center"/>
    </xf>
    <xf numFmtId="0" fontId="31" fillId="33" borderId="66" xfId="208" applyFont="1" applyFill="1" applyBorder="1" applyAlignment="1">
      <alignment vertical="center"/>
    </xf>
    <xf numFmtId="0" fontId="31" fillId="33" borderId="6" xfId="208" applyFont="1" applyFill="1" applyBorder="1" applyAlignment="1">
      <alignment vertical="center"/>
    </xf>
    <xf numFmtId="0" fontId="79" fillId="33" borderId="6" xfId="208" applyFont="1" applyFill="1" applyBorder="1" applyAlignment="1">
      <alignment vertical="center"/>
    </xf>
    <xf numFmtId="0" fontId="31" fillId="33" borderId="6" xfId="208" applyFont="1" applyFill="1" applyBorder="1" applyAlignment="1">
      <alignment horizontal="center" vertical="center"/>
    </xf>
    <xf numFmtId="4" fontId="31" fillId="33" borderId="6" xfId="208" applyNumberFormat="1" applyFont="1" applyFill="1" applyBorder="1" applyAlignment="1">
      <alignment horizontal="right" vertical="center" indent="1"/>
    </xf>
    <xf numFmtId="4" fontId="79" fillId="33" borderId="6" xfId="208" applyNumberFormat="1" applyFont="1" applyFill="1" applyBorder="1" applyAlignment="1">
      <alignment horizontal="right" vertical="center" indent="1"/>
    </xf>
    <xf numFmtId="4" fontId="31" fillId="33" borderId="40" xfId="208" applyNumberFormat="1" applyFont="1" applyFill="1" applyBorder="1" applyAlignment="1">
      <alignment horizontal="center" vertical="center"/>
    </xf>
    <xf numFmtId="4" fontId="31" fillId="0" borderId="41" xfId="208" applyNumberFormat="1" applyFont="1" applyBorder="1" applyAlignment="1">
      <alignment horizontal="center" vertical="center"/>
    </xf>
    <xf numFmtId="4" fontId="31" fillId="33" borderId="7" xfId="208" applyNumberFormat="1" applyFont="1" applyFill="1" applyBorder="1" applyAlignment="1">
      <alignment horizontal="center" vertical="center"/>
    </xf>
    <xf numFmtId="0" fontId="6" fillId="33" borderId="40" xfId="104" applyFont="1" applyFill="1" applyBorder="1" applyAlignment="1">
      <alignment vertical="center"/>
    </xf>
    <xf numFmtId="0" fontId="6" fillId="33" borderId="40" xfId="104" applyFont="1" applyFill="1" applyBorder="1" applyAlignment="1">
      <alignment horizontal="center" vertical="center"/>
    </xf>
    <xf numFmtId="4" fontId="6" fillId="33" borderId="40" xfId="104" applyNumberFormat="1" applyFont="1" applyFill="1" applyBorder="1" applyAlignment="1">
      <alignment horizontal="center" vertical="center"/>
    </xf>
    <xf numFmtId="0" fontId="6" fillId="33" borderId="92" xfId="104" applyFont="1" applyFill="1" applyBorder="1" applyAlignment="1">
      <alignment vertical="center"/>
    </xf>
    <xf numFmtId="0" fontId="6" fillId="33" borderId="32" xfId="104" applyFont="1" applyFill="1" applyBorder="1" applyAlignment="1">
      <alignment vertical="center"/>
    </xf>
    <xf numFmtId="0" fontId="6" fillId="33" borderId="61" xfId="104" applyFont="1" applyFill="1" applyBorder="1" applyAlignment="1">
      <alignment vertical="center"/>
    </xf>
    <xf numFmtId="2" fontId="79" fillId="0" borderId="41" xfId="104" applyNumberFormat="1" applyFont="1" applyBorder="1" applyAlignment="1">
      <alignment horizontal="center" vertical="center"/>
    </xf>
    <xf numFmtId="0" fontId="121" fillId="0" borderId="0" xfId="208" applyFont="1" applyAlignment="1">
      <alignment vertical="center"/>
    </xf>
    <xf numFmtId="0" fontId="31" fillId="0" borderId="0" xfId="246" applyFont="1" applyAlignment="1">
      <alignment vertical="center"/>
    </xf>
    <xf numFmtId="0" fontId="31" fillId="0" borderId="60" xfId="246" applyFont="1" applyBorder="1" applyAlignment="1">
      <alignment vertical="center"/>
    </xf>
    <xf numFmtId="2" fontId="31" fillId="0" borderId="41" xfId="104" applyNumberFormat="1" applyFont="1" applyBorder="1" applyAlignment="1">
      <alignment horizontal="center" vertical="center"/>
    </xf>
    <xf numFmtId="0" fontId="31" fillId="0" borderId="60" xfId="208" applyFont="1" applyBorder="1" applyAlignment="1">
      <alignment vertical="center"/>
    </xf>
    <xf numFmtId="2" fontId="79" fillId="0" borderId="0" xfId="104" applyNumberFormat="1" applyFont="1" applyAlignment="1">
      <alignment horizontal="center" vertical="center"/>
    </xf>
    <xf numFmtId="0" fontId="123" fillId="39" borderId="0" xfId="0" applyFont="1" applyFill="1" applyAlignment="1">
      <alignment horizontal="right" vertical="center" wrapText="1"/>
    </xf>
    <xf numFmtId="0" fontId="123" fillId="39" borderId="0" xfId="0" applyFont="1" applyFill="1" applyAlignment="1">
      <alignment vertical="center" wrapText="1"/>
    </xf>
    <xf numFmtId="0" fontId="79" fillId="0" borderId="60" xfId="246" applyFont="1" applyBorder="1" applyAlignment="1">
      <alignment horizontal="right" vertical="center"/>
    </xf>
    <xf numFmtId="0" fontId="121" fillId="0" borderId="0" xfId="246" applyFont="1" applyAlignment="1">
      <alignment vertical="center"/>
    </xf>
    <xf numFmtId="2" fontId="31" fillId="0" borderId="41" xfId="104" applyNumberFormat="1" applyFont="1" applyBorder="1" applyAlignment="1">
      <alignment horizontal="right" vertical="center" indent="1"/>
    </xf>
    <xf numFmtId="0" fontId="121" fillId="0" borderId="60" xfId="246" applyFont="1" applyBorder="1" applyAlignment="1">
      <alignment vertical="center"/>
    </xf>
    <xf numFmtId="187" fontId="79" fillId="0" borderId="41" xfId="104" applyNumberFormat="1" applyFont="1" applyBorder="1" applyAlignment="1">
      <alignment horizontal="right" vertical="center" indent="1"/>
    </xf>
    <xf numFmtId="0" fontId="31" fillId="0" borderId="42" xfId="104" applyFont="1" applyBorder="1" applyAlignment="1">
      <alignment vertical="center"/>
    </xf>
    <xf numFmtId="0" fontId="31" fillId="0" borderId="62" xfId="104" applyFont="1" applyBorder="1" applyAlignment="1">
      <alignment vertical="center"/>
    </xf>
    <xf numFmtId="0" fontId="31" fillId="0" borderId="34" xfId="246" applyFont="1" applyBorder="1" applyAlignment="1">
      <alignment vertical="center"/>
    </xf>
    <xf numFmtId="0" fontId="79" fillId="0" borderId="59" xfId="246" applyFont="1" applyBorder="1" applyAlignment="1">
      <alignment horizontal="right" vertical="center"/>
    </xf>
    <xf numFmtId="187" fontId="79" fillId="0" borderId="7" xfId="104" applyNumberFormat="1" applyFont="1" applyBorder="1" applyAlignment="1">
      <alignment horizontal="right" vertical="center" indent="1"/>
    </xf>
    <xf numFmtId="0" fontId="31" fillId="0" borderId="34" xfId="104" applyFont="1" applyBorder="1" applyAlignment="1">
      <alignment vertical="center"/>
    </xf>
    <xf numFmtId="0" fontId="31" fillId="0" borderId="42" xfId="104" applyFont="1" applyBorder="1" applyAlignment="1">
      <alignment horizontal="center" vertical="center"/>
    </xf>
    <xf numFmtId="187" fontId="31" fillId="0" borderId="42" xfId="104" applyNumberFormat="1" applyFont="1" applyBorder="1" applyAlignment="1">
      <alignment horizontal="right" vertical="center" indent="1"/>
    </xf>
    <xf numFmtId="4" fontId="31" fillId="0" borderId="0" xfId="104" applyNumberFormat="1" applyFont="1" applyAlignment="1">
      <alignment horizontal="center" vertical="center"/>
    </xf>
    <xf numFmtId="4" fontId="31" fillId="0" borderId="6" xfId="104" applyNumberFormat="1" applyFont="1" applyBorder="1" applyAlignment="1">
      <alignment horizontal="right" vertical="center" indent="1"/>
    </xf>
    <xf numFmtId="4" fontId="31" fillId="0" borderId="118" xfId="104" applyNumberFormat="1" applyFont="1" applyBorder="1" applyAlignment="1">
      <alignment horizontal="right" vertical="center" indent="1"/>
    </xf>
    <xf numFmtId="0" fontId="79" fillId="0" borderId="118" xfId="104" applyFont="1" applyBorder="1" applyAlignment="1">
      <alignment vertical="center"/>
    </xf>
    <xf numFmtId="4" fontId="31" fillId="0" borderId="42" xfId="223" applyNumberFormat="1" applyFont="1" applyBorder="1" applyAlignment="1">
      <alignment horizontal="center" vertical="center" wrapText="1"/>
    </xf>
    <xf numFmtId="4" fontId="31" fillId="0" borderId="41" xfId="35" applyNumberFormat="1" applyFont="1" applyBorder="1" applyAlignment="1">
      <alignment horizontal="center" vertical="center" wrapText="1"/>
    </xf>
    <xf numFmtId="4" fontId="31" fillId="0" borderId="7" xfId="104" applyNumberFormat="1" applyFont="1" applyBorder="1" applyAlignment="1">
      <alignment horizontal="center" vertical="center"/>
    </xf>
    <xf numFmtId="4" fontId="31" fillId="0" borderId="42" xfId="104" applyNumberFormat="1" applyFont="1" applyBorder="1" applyAlignment="1">
      <alignment horizontal="center" vertical="center"/>
    </xf>
    <xf numFmtId="4" fontId="31" fillId="33" borderId="42" xfId="104" applyNumberFormat="1" applyFont="1" applyFill="1" applyBorder="1" applyAlignment="1">
      <alignment horizontal="center" vertical="center"/>
    </xf>
    <xf numFmtId="0" fontId="79" fillId="0" borderId="60" xfId="208" applyFont="1" applyBorder="1" applyAlignment="1">
      <alignment horizontal="right" vertical="center"/>
    </xf>
    <xf numFmtId="0" fontId="31" fillId="0" borderId="40" xfId="208" applyFont="1" applyBorder="1" applyAlignment="1">
      <alignment horizontal="center" vertical="center"/>
    </xf>
    <xf numFmtId="4" fontId="31" fillId="0" borderId="40" xfId="208" applyNumberFormat="1" applyFont="1" applyBorder="1" applyAlignment="1">
      <alignment horizontal="center" vertical="center"/>
    </xf>
    <xf numFmtId="0" fontId="31" fillId="0" borderId="34" xfId="208" applyFont="1" applyBorder="1" applyAlignment="1">
      <alignment vertical="center"/>
    </xf>
    <xf numFmtId="0" fontId="79" fillId="0" borderId="59" xfId="208" applyFont="1" applyBorder="1" applyAlignment="1">
      <alignment horizontal="right" vertical="center"/>
    </xf>
    <xf numFmtId="0" fontId="31" fillId="0" borderId="7" xfId="208" applyFont="1" applyBorder="1" applyAlignment="1">
      <alignment horizontal="center" vertical="center"/>
    </xf>
    <xf numFmtId="4" fontId="31" fillId="0" borderId="7" xfId="208" applyNumberFormat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1" fillId="0" borderId="60" xfId="0" applyFont="1" applyBorder="1" applyAlignment="1">
      <alignment vertical="center"/>
    </xf>
    <xf numFmtId="0" fontId="31" fillId="33" borderId="40" xfId="208" applyFont="1" applyFill="1" applyBorder="1" applyAlignment="1">
      <alignment vertical="center"/>
    </xf>
    <xf numFmtId="2" fontId="79" fillId="0" borderId="41" xfId="208" applyNumberFormat="1" applyFont="1" applyBorder="1" applyAlignment="1">
      <alignment horizontal="center" vertical="center"/>
    </xf>
    <xf numFmtId="2" fontId="31" fillId="0" borderId="41" xfId="208" applyNumberFormat="1" applyFont="1" applyBorder="1" applyAlignment="1">
      <alignment horizontal="center" vertical="center"/>
    </xf>
    <xf numFmtId="187" fontId="31" fillId="0" borderId="42" xfId="208" applyNumberFormat="1" applyFont="1" applyBorder="1" applyAlignment="1">
      <alignment horizontal="right" vertical="center" indent="1"/>
    </xf>
    <xf numFmtId="4" fontId="31" fillId="0" borderId="40" xfId="208" applyNumberFormat="1" applyFont="1" applyBorder="1" applyAlignment="1">
      <alignment horizontal="right" vertical="center" indent="1"/>
    </xf>
    <xf numFmtId="187" fontId="79" fillId="0" borderId="40" xfId="208" applyNumberFormat="1" applyFont="1" applyBorder="1" applyAlignment="1">
      <alignment horizontal="right" vertical="center" indent="1"/>
    </xf>
    <xf numFmtId="2" fontId="31" fillId="0" borderId="41" xfId="208" applyNumberFormat="1" applyFont="1" applyBorder="1" applyAlignment="1">
      <alignment horizontal="right" vertical="center" indent="1"/>
    </xf>
    <xf numFmtId="187" fontId="31" fillId="0" borderId="41" xfId="208" applyNumberFormat="1" applyFont="1" applyBorder="1" applyAlignment="1">
      <alignment horizontal="right" vertical="center"/>
    </xf>
    <xf numFmtId="0" fontId="31" fillId="0" borderId="42" xfId="208" applyFont="1" applyBorder="1" applyAlignment="1">
      <alignment vertical="center"/>
    </xf>
    <xf numFmtId="187" fontId="79" fillId="0" borderId="7" xfId="208" applyNumberFormat="1" applyFont="1" applyBorder="1" applyAlignment="1">
      <alignment horizontal="right" vertical="center" indent="1"/>
    </xf>
    <xf numFmtId="187" fontId="31" fillId="0" borderId="41" xfId="209" applyNumberFormat="1" applyFont="1" applyBorder="1" applyAlignment="1">
      <alignment horizontal="right" vertical="center" indent="1"/>
    </xf>
    <xf numFmtId="187" fontId="79" fillId="0" borderId="41" xfId="208" applyNumberFormat="1" applyFont="1" applyBorder="1" applyAlignment="1">
      <alignment horizontal="right" vertical="center" indent="1"/>
    </xf>
    <xf numFmtId="0" fontId="31" fillId="0" borderId="42" xfId="208" applyFont="1" applyBorder="1" applyAlignment="1">
      <alignment horizontal="center" vertical="center"/>
    </xf>
    <xf numFmtId="0" fontId="31" fillId="33" borderId="92" xfId="208" applyFont="1" applyFill="1" applyBorder="1" applyAlignment="1">
      <alignment vertical="center"/>
    </xf>
    <xf numFmtId="0" fontId="31" fillId="33" borderId="32" xfId="208" applyFont="1" applyFill="1" applyBorder="1" applyAlignment="1">
      <alignment vertical="center"/>
    </xf>
    <xf numFmtId="0" fontId="31" fillId="33" borderId="61" xfId="208" applyFont="1" applyFill="1" applyBorder="1" applyAlignment="1">
      <alignment vertical="center"/>
    </xf>
    <xf numFmtId="0" fontId="31" fillId="0" borderId="62" xfId="208" applyFont="1" applyBorder="1" applyAlignment="1">
      <alignment vertical="center"/>
    </xf>
    <xf numFmtId="0" fontId="31" fillId="0" borderId="7" xfId="208" applyFont="1" applyBorder="1" applyAlignment="1">
      <alignment vertical="center"/>
    </xf>
    <xf numFmtId="0" fontId="31" fillId="0" borderId="66" xfId="208" applyFont="1" applyBorder="1" applyAlignment="1">
      <alignment vertical="center"/>
    </xf>
    <xf numFmtId="0" fontId="79" fillId="0" borderId="6" xfId="208" applyFont="1" applyBorder="1" applyAlignment="1">
      <alignment vertical="center"/>
    </xf>
    <xf numFmtId="0" fontId="31" fillId="0" borderId="6" xfId="208" applyFont="1" applyBorder="1" applyAlignment="1">
      <alignment vertical="center"/>
    </xf>
    <xf numFmtId="0" fontId="31" fillId="0" borderId="118" xfId="208" applyFont="1" applyBorder="1" applyAlignment="1">
      <alignment vertical="center"/>
    </xf>
    <xf numFmtId="0" fontId="31" fillId="0" borderId="32" xfId="208" applyFont="1" applyBorder="1" applyAlignment="1">
      <alignment horizontal="center" vertical="center"/>
    </xf>
    <xf numFmtId="4" fontId="31" fillId="0" borderId="32" xfId="208" applyNumberFormat="1" applyFont="1" applyBorder="1" applyAlignment="1">
      <alignment vertical="center"/>
    </xf>
    <xf numFmtId="0" fontId="31" fillId="0" borderId="32" xfId="208" applyFont="1" applyBorder="1" applyAlignment="1">
      <alignment vertical="center"/>
    </xf>
    <xf numFmtId="4" fontId="31" fillId="0" borderId="41" xfId="246" applyNumberFormat="1" applyFont="1" applyBorder="1" applyAlignment="1">
      <alignment horizontal="center" vertical="center"/>
    </xf>
    <xf numFmtId="4" fontId="31" fillId="0" borderId="41" xfId="209" applyNumberFormat="1" applyFont="1" applyBorder="1" applyAlignment="1">
      <alignment horizontal="center" vertical="center"/>
    </xf>
    <xf numFmtId="4" fontId="79" fillId="0" borderId="7" xfId="208" applyNumberFormat="1" applyFont="1" applyBorder="1" applyAlignment="1">
      <alignment horizontal="center" vertical="center"/>
    </xf>
    <xf numFmtId="4" fontId="31" fillId="0" borderId="42" xfId="208" applyNumberFormat="1" applyFont="1" applyBorder="1" applyAlignment="1">
      <alignment horizontal="right" vertical="center" indent="1"/>
    </xf>
    <xf numFmtId="0" fontId="31" fillId="0" borderId="6" xfId="208" applyFont="1" applyBorder="1" applyAlignment="1">
      <alignment horizontal="center" vertical="center"/>
    </xf>
    <xf numFmtId="4" fontId="31" fillId="0" borderId="6" xfId="208" applyNumberFormat="1" applyFont="1" applyBorder="1" applyAlignment="1">
      <alignment horizontal="right" vertical="center" indent="1"/>
    </xf>
    <xf numFmtId="4" fontId="31" fillId="0" borderId="118" xfId="208" applyNumberFormat="1" applyFont="1" applyBorder="1" applyAlignment="1">
      <alignment horizontal="right" vertical="center" indent="1"/>
    </xf>
    <xf numFmtId="4" fontId="31" fillId="0" borderId="42" xfId="208" applyNumberFormat="1" applyFont="1" applyBorder="1" applyAlignment="1">
      <alignment horizontal="center" vertical="center"/>
    </xf>
    <xf numFmtId="2" fontId="31" fillId="33" borderId="41" xfId="208" applyNumberFormat="1" applyFont="1" applyFill="1" applyBorder="1" applyAlignment="1">
      <alignment horizontal="right" vertical="center" indent="1"/>
    </xf>
    <xf numFmtId="2" fontId="79" fillId="33" borderId="41" xfId="209" applyNumberFormat="1" applyFont="1" applyFill="1" applyBorder="1" applyAlignment="1">
      <alignment horizontal="center" vertical="center"/>
    </xf>
    <xf numFmtId="0" fontId="31" fillId="33" borderId="63" xfId="209" applyFont="1" applyFill="1" applyBorder="1" applyAlignment="1">
      <alignment vertical="center"/>
    </xf>
    <xf numFmtId="0" fontId="121" fillId="33" borderId="0" xfId="209" applyFont="1" applyFill="1" applyAlignment="1">
      <alignment vertical="center"/>
    </xf>
    <xf numFmtId="0" fontId="31" fillId="33" borderId="0" xfId="209" applyFont="1" applyFill="1" applyAlignment="1">
      <alignment vertical="center"/>
    </xf>
    <xf numFmtId="0" fontId="31" fillId="33" borderId="60" xfId="209" applyFont="1" applyFill="1" applyBorder="1" applyAlignment="1">
      <alignment vertical="center"/>
    </xf>
    <xf numFmtId="187" fontId="31" fillId="33" borderId="41" xfId="209" applyNumberFormat="1" applyFont="1" applyFill="1" applyBorder="1" applyAlignment="1">
      <alignment horizontal="right" vertical="center" indent="1"/>
    </xf>
    <xf numFmtId="2" fontId="31" fillId="33" borderId="41" xfId="209" applyNumberFormat="1" applyFont="1" applyFill="1" applyBorder="1" applyAlignment="1">
      <alignment horizontal="center" vertical="center"/>
    </xf>
    <xf numFmtId="0" fontId="31" fillId="33" borderId="7" xfId="208" applyFont="1" applyFill="1" applyBorder="1" applyAlignment="1">
      <alignment vertical="center"/>
    </xf>
    <xf numFmtId="4" fontId="31" fillId="33" borderId="41" xfId="246" applyNumberFormat="1" applyFont="1" applyFill="1" applyBorder="1" applyAlignment="1">
      <alignment horizontal="center" vertical="center"/>
    </xf>
    <xf numFmtId="4" fontId="31" fillId="33" borderId="42" xfId="208" applyNumberFormat="1" applyFont="1" applyFill="1" applyBorder="1" applyAlignment="1">
      <alignment horizontal="center" vertical="center"/>
    </xf>
    <xf numFmtId="4" fontId="31" fillId="33" borderId="42" xfId="223" applyNumberFormat="1" applyFont="1" applyFill="1" applyBorder="1" applyAlignment="1">
      <alignment horizontal="center" vertical="center" wrapText="1"/>
    </xf>
    <xf numFmtId="4" fontId="31" fillId="33" borderId="41" xfId="209" applyNumberFormat="1" applyFont="1" applyFill="1" applyBorder="1" applyAlignment="1">
      <alignment horizontal="center" vertical="center"/>
    </xf>
    <xf numFmtId="4" fontId="31" fillId="33" borderId="41" xfId="35" applyNumberFormat="1" applyFont="1" applyFill="1" applyBorder="1" applyAlignment="1">
      <alignment horizontal="center" vertical="center" wrapText="1"/>
    </xf>
    <xf numFmtId="4" fontId="79" fillId="33" borderId="40" xfId="208" applyNumberFormat="1" applyFont="1" applyFill="1" applyBorder="1" applyAlignment="1">
      <alignment horizontal="center" vertical="center"/>
    </xf>
    <xf numFmtId="194" fontId="79" fillId="33" borderId="7" xfId="208" applyNumberFormat="1" applyFont="1" applyFill="1" applyBorder="1" applyAlignment="1">
      <alignment horizontal="right" vertical="center" indent="1"/>
    </xf>
    <xf numFmtId="4" fontId="31" fillId="0" borderId="0" xfId="208" applyNumberFormat="1" applyFont="1" applyAlignment="1">
      <alignment horizontal="center" vertical="center"/>
    </xf>
    <xf numFmtId="4" fontId="79" fillId="0" borderId="118" xfId="208" applyNumberFormat="1" applyFont="1" applyBorder="1" applyAlignment="1">
      <alignment horizontal="right" vertical="center" indent="1"/>
    </xf>
    <xf numFmtId="4" fontId="8" fillId="33" borderId="40" xfId="208" applyNumberFormat="1" applyFont="1" applyFill="1" applyBorder="1" applyAlignment="1">
      <alignment horizontal="center" vertical="center"/>
    </xf>
    <xf numFmtId="0" fontId="8" fillId="33" borderId="40" xfId="208" applyFont="1" applyFill="1" applyBorder="1" applyAlignment="1">
      <alignment horizontal="center" vertical="center"/>
    </xf>
    <xf numFmtId="194" fontId="79" fillId="33" borderId="118" xfId="208" applyNumberFormat="1" applyFont="1" applyFill="1" applyBorder="1" applyAlignment="1">
      <alignment horizontal="right" vertical="center" indent="1"/>
    </xf>
    <xf numFmtId="194" fontId="79" fillId="0" borderId="7" xfId="208" applyNumberFormat="1" applyFont="1" applyBorder="1" applyAlignment="1">
      <alignment horizontal="right" vertical="center" indent="1"/>
    </xf>
    <xf numFmtId="204" fontId="6" fillId="0" borderId="0" xfId="103" applyNumberFormat="1" applyAlignment="1">
      <alignment vertical="center"/>
    </xf>
    <xf numFmtId="10" fontId="13" fillId="0" borderId="28" xfId="103" applyNumberFormat="1" applyFont="1" applyBorder="1" applyAlignment="1">
      <alignment horizontal="center" vertical="center"/>
    </xf>
    <xf numFmtId="10" fontId="13" fillId="0" borderId="25" xfId="103" applyNumberFormat="1" applyFont="1" applyBorder="1" applyAlignment="1">
      <alignment horizontal="center" vertical="center"/>
    </xf>
    <xf numFmtId="10" fontId="13" fillId="0" borderId="33" xfId="103" applyNumberFormat="1" applyFont="1" applyBorder="1" applyAlignment="1">
      <alignment horizontal="center" vertical="center"/>
    </xf>
    <xf numFmtId="210" fontId="6" fillId="0" borderId="0" xfId="35" applyNumberFormat="1" applyFont="1" applyAlignment="1">
      <alignment vertical="center"/>
    </xf>
    <xf numFmtId="210" fontId="6" fillId="0" borderId="0" xfId="35" applyNumberFormat="1" applyFont="1" applyAlignment="1">
      <alignment horizontal="center" vertical="center"/>
    </xf>
    <xf numFmtId="200" fontId="13" fillId="33" borderId="25" xfId="103" quotePrefix="1" applyNumberFormat="1" applyFont="1" applyFill="1" applyBorder="1" applyAlignment="1">
      <alignment horizontal="center" vertical="center"/>
    </xf>
    <xf numFmtId="0" fontId="13" fillId="0" borderId="32" xfId="103" quotePrefix="1" applyFont="1" applyBorder="1" applyAlignment="1">
      <alignment horizontal="center" vertical="center"/>
    </xf>
    <xf numFmtId="0" fontId="13" fillId="0" borderId="34" xfId="103" quotePrefix="1" applyFont="1" applyBorder="1" applyAlignment="1">
      <alignment horizontal="center" vertical="center"/>
    </xf>
    <xf numFmtId="0" fontId="13" fillId="0" borderId="36" xfId="103" quotePrefix="1" applyFont="1" applyBorder="1" applyAlignment="1">
      <alignment horizontal="center" vertical="center"/>
    </xf>
    <xf numFmtId="49" fontId="13" fillId="0" borderId="32" xfId="103" applyNumberFormat="1" applyFont="1" applyBorder="1" applyAlignment="1">
      <alignment horizontal="center" vertical="center"/>
    </xf>
    <xf numFmtId="0" fontId="13" fillId="0" borderId="0" xfId="103" quotePrefix="1" applyFont="1" applyAlignment="1">
      <alignment horizontal="center" vertical="center"/>
    </xf>
    <xf numFmtId="49" fontId="13" fillId="0" borderId="0" xfId="103" quotePrefix="1" applyNumberFormat="1" applyFont="1" applyAlignment="1">
      <alignment horizontal="center" vertical="center"/>
    </xf>
    <xf numFmtId="10" fontId="13" fillId="33" borderId="31" xfId="35" applyNumberFormat="1" applyFont="1" applyFill="1" applyBorder="1" applyAlignment="1">
      <alignment horizontal="center" vertical="center"/>
    </xf>
    <xf numFmtId="49" fontId="13" fillId="33" borderId="34" xfId="35" quotePrefix="1" applyNumberFormat="1" applyFont="1" applyFill="1" applyBorder="1" applyAlignment="1">
      <alignment horizontal="center" vertical="center"/>
    </xf>
    <xf numFmtId="49" fontId="13" fillId="33" borderId="0" xfId="35" quotePrefix="1" applyNumberFormat="1" applyFont="1" applyFill="1" applyAlignment="1">
      <alignment horizontal="center" vertical="center"/>
    </xf>
    <xf numFmtId="4" fontId="13" fillId="33" borderId="25" xfId="35" applyNumberFormat="1" applyFont="1" applyFill="1" applyBorder="1" applyAlignment="1">
      <alignment horizontal="center" vertical="center"/>
    </xf>
    <xf numFmtId="4" fontId="13" fillId="33" borderId="28" xfId="35" applyNumberFormat="1" applyFont="1" applyFill="1" applyBorder="1" applyAlignment="1">
      <alignment horizontal="center" vertical="center"/>
    </xf>
    <xf numFmtId="4" fontId="13" fillId="33" borderId="33" xfId="35" applyNumberFormat="1" applyFont="1" applyFill="1" applyBorder="1" applyAlignment="1">
      <alignment horizontal="center" vertical="center"/>
    </xf>
    <xf numFmtId="4" fontId="13" fillId="33" borderId="35" xfId="35" applyNumberFormat="1" applyFont="1" applyFill="1" applyBorder="1" applyAlignment="1">
      <alignment horizontal="center" vertical="center"/>
    </xf>
    <xf numFmtId="4" fontId="13" fillId="0" borderId="25" xfId="103" applyNumberFormat="1" applyFont="1" applyBorder="1" applyAlignment="1">
      <alignment horizontal="right" vertical="center"/>
    </xf>
    <xf numFmtId="4" fontId="13" fillId="0" borderId="28" xfId="103" applyNumberFormat="1" applyFont="1" applyBorder="1" applyAlignment="1">
      <alignment horizontal="right" vertical="center"/>
    </xf>
    <xf numFmtId="4" fontId="13" fillId="0" borderId="33" xfId="103" applyNumberFormat="1" applyFont="1" applyBorder="1" applyAlignment="1">
      <alignment horizontal="right" vertical="center"/>
    </xf>
    <xf numFmtId="4" fontId="13" fillId="33" borderId="28" xfId="103" applyNumberFormat="1" applyFont="1" applyFill="1" applyBorder="1" applyAlignment="1">
      <alignment horizontal="right" vertical="center"/>
    </xf>
    <xf numFmtId="4" fontId="13" fillId="0" borderId="35" xfId="103" applyNumberFormat="1" applyFont="1" applyBorder="1" applyAlignment="1">
      <alignment horizontal="right" vertical="center"/>
    </xf>
    <xf numFmtId="4" fontId="13" fillId="33" borderId="25" xfId="103" applyNumberFormat="1" applyFont="1" applyFill="1" applyBorder="1" applyAlignment="1">
      <alignment horizontal="right" vertical="center"/>
    </xf>
    <xf numFmtId="4" fontId="13" fillId="33" borderId="33" xfId="103" applyNumberFormat="1" applyFont="1" applyFill="1" applyBorder="1" applyAlignment="1">
      <alignment horizontal="right" vertical="center"/>
    </xf>
    <xf numFmtId="4" fontId="13" fillId="33" borderId="35" xfId="103" applyNumberFormat="1" applyFont="1" applyFill="1" applyBorder="1" applyAlignment="1">
      <alignment horizontal="right" vertical="center"/>
    </xf>
    <xf numFmtId="0" fontId="25" fillId="33" borderId="0" xfId="207" applyFont="1" applyFill="1" applyAlignment="1">
      <alignment vertical="center"/>
    </xf>
    <xf numFmtId="0" fontId="24" fillId="33" borderId="0" xfId="207" applyFont="1" applyFill="1" applyAlignment="1">
      <alignment horizontal="center" vertical="center"/>
    </xf>
    <xf numFmtId="0" fontId="8" fillId="33" borderId="0" xfId="104" applyFont="1" applyFill="1" applyAlignment="1">
      <alignment horizontal="center" vertical="center"/>
    </xf>
    <xf numFmtId="0" fontId="79" fillId="33" borderId="0" xfId="207" applyFont="1" applyFill="1" applyAlignment="1">
      <alignment vertical="center"/>
    </xf>
    <xf numFmtId="0" fontId="31" fillId="33" borderId="0" xfId="207" applyFont="1" applyFill="1" applyAlignment="1">
      <alignment horizontal="center" vertical="center"/>
    </xf>
    <xf numFmtId="0" fontId="79" fillId="33" borderId="0" xfId="104" applyFont="1" applyFill="1" applyAlignment="1">
      <alignment horizontal="center" vertical="center"/>
    </xf>
    <xf numFmtId="0" fontId="79" fillId="33" borderId="0" xfId="104" applyFont="1" applyFill="1" applyAlignment="1">
      <alignment vertical="center"/>
    </xf>
    <xf numFmtId="172" fontId="31" fillId="33" borderId="0" xfId="104" applyNumberFormat="1" applyFont="1" applyFill="1" applyAlignment="1">
      <alignment horizontal="right" vertical="center"/>
    </xf>
    <xf numFmtId="172" fontId="31" fillId="33" borderId="0" xfId="104" applyNumberFormat="1" applyFont="1" applyFill="1" applyAlignment="1">
      <alignment horizontal="center" vertical="center"/>
    </xf>
    <xf numFmtId="187" fontId="79" fillId="33" borderId="0" xfId="104" applyNumberFormat="1" applyFont="1" applyFill="1" applyAlignment="1">
      <alignment horizontal="right" vertical="center" indent="1"/>
    </xf>
    <xf numFmtId="4" fontId="31" fillId="33" borderId="0" xfId="104" applyNumberFormat="1" applyFont="1" applyFill="1" applyAlignment="1">
      <alignment horizontal="center" vertical="center"/>
    </xf>
    <xf numFmtId="0" fontId="6" fillId="33" borderId="0" xfId="104" applyFont="1" applyFill="1" applyAlignment="1">
      <alignment horizontal="right" vertical="center"/>
    </xf>
    <xf numFmtId="204" fontId="6" fillId="33" borderId="0" xfId="104" applyNumberFormat="1" applyFont="1" applyFill="1" applyAlignment="1">
      <alignment horizontal="right" vertical="center"/>
    </xf>
    <xf numFmtId="4" fontId="6" fillId="33" borderId="0" xfId="104" applyNumberFormat="1" applyFont="1" applyFill="1" applyAlignment="1">
      <alignment horizontal="right" vertical="center"/>
    </xf>
    <xf numFmtId="2" fontId="6" fillId="0" borderId="0" xfId="104" applyNumberFormat="1" applyFont="1" applyAlignment="1">
      <alignment vertical="center"/>
    </xf>
    <xf numFmtId="4" fontId="6" fillId="33" borderId="0" xfId="117" applyNumberFormat="1" applyFill="1" applyAlignment="1">
      <alignment vertical="center"/>
    </xf>
    <xf numFmtId="0" fontId="3" fillId="33" borderId="0" xfId="207" applyFill="1" applyAlignment="1">
      <alignment vertical="center"/>
    </xf>
    <xf numFmtId="2" fontId="6" fillId="33" borderId="0" xfId="104" applyNumberFormat="1" applyFont="1" applyFill="1" applyAlignment="1">
      <alignment horizontal="center" vertical="center"/>
    </xf>
    <xf numFmtId="187" fontId="6" fillId="33" borderId="0" xfId="208" applyNumberFormat="1" applyFont="1" applyFill="1" applyAlignment="1">
      <alignment vertical="center"/>
    </xf>
    <xf numFmtId="172" fontId="6" fillId="33" borderId="0" xfId="104" applyNumberFormat="1" applyFont="1" applyFill="1" applyAlignment="1">
      <alignment horizontal="center" vertical="center"/>
    </xf>
    <xf numFmtId="2" fontId="6" fillId="0" borderId="0" xfId="104" applyNumberFormat="1" applyFont="1" applyAlignment="1">
      <alignment horizontal="right" vertical="center"/>
    </xf>
    <xf numFmtId="2" fontId="6" fillId="33" borderId="0" xfId="104" applyNumberFormat="1" applyFont="1" applyFill="1" applyAlignment="1">
      <alignment horizontal="left" vertical="center"/>
    </xf>
    <xf numFmtId="172" fontId="6" fillId="33" borderId="0" xfId="104" applyNumberFormat="1" applyFont="1" applyFill="1" applyAlignment="1">
      <alignment horizontal="left" vertical="center"/>
    </xf>
    <xf numFmtId="170" fontId="6" fillId="33" borderId="0" xfId="208" applyNumberFormat="1" applyFont="1" applyFill="1" applyAlignment="1">
      <alignment horizontal="center" vertical="center"/>
    </xf>
    <xf numFmtId="195" fontId="6" fillId="33" borderId="0" xfId="208" applyNumberFormat="1" applyFont="1" applyFill="1" applyAlignment="1">
      <alignment horizontal="center" vertical="center"/>
    </xf>
    <xf numFmtId="203" fontId="8" fillId="33" borderId="0" xfId="208" applyNumberFormat="1" applyFont="1" applyFill="1" applyAlignment="1">
      <alignment horizontal="center" vertical="center"/>
    </xf>
    <xf numFmtId="17" fontId="0" fillId="32" borderId="7" xfId="0" applyNumberForma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4" fontId="7" fillId="0" borderId="0" xfId="208" applyNumberFormat="1" applyFont="1" applyAlignment="1">
      <alignment vertical="center"/>
    </xf>
    <xf numFmtId="0" fontId="6" fillId="0" borderId="0" xfId="0" applyFont="1" applyAlignment="1">
      <alignment horizontal="center"/>
    </xf>
    <xf numFmtId="187" fontId="7" fillId="0" borderId="0" xfId="208" applyNumberFormat="1" applyFont="1" applyAlignment="1">
      <alignment horizontal="right" vertical="center" indent="1"/>
    </xf>
    <xf numFmtId="0" fontId="12" fillId="0" borderId="0" xfId="104" applyFont="1" applyAlignment="1">
      <alignment horizontal="center" vertical="center"/>
    </xf>
    <xf numFmtId="187" fontId="12" fillId="0" borderId="0" xfId="208" applyNumberFormat="1" applyFont="1" applyAlignment="1">
      <alignment horizontal="right" vertical="center" indent="1"/>
    </xf>
    <xf numFmtId="187" fontId="7" fillId="33" borderId="0" xfId="208" applyNumberFormat="1" applyFont="1" applyFill="1" applyAlignment="1">
      <alignment horizontal="right" vertical="center" indent="1"/>
    </xf>
    <xf numFmtId="4" fontId="7" fillId="0" borderId="0" xfId="117" applyNumberFormat="1" applyFont="1" applyAlignment="1">
      <alignment vertical="center"/>
    </xf>
    <xf numFmtId="0" fontId="4" fillId="0" borderId="0" xfId="207" applyFont="1" applyAlignment="1">
      <alignment vertical="center"/>
    </xf>
    <xf numFmtId="0" fontId="7" fillId="31" borderId="0" xfId="208" applyFont="1" applyFill="1" applyAlignment="1">
      <alignment horizontal="center" vertical="center"/>
    </xf>
    <xf numFmtId="0" fontId="7" fillId="0" borderId="0" xfId="208" applyFont="1" applyAlignment="1">
      <alignment horizontal="center" vertical="center"/>
    </xf>
    <xf numFmtId="0" fontId="7" fillId="0" borderId="0" xfId="104" applyFont="1" applyAlignment="1">
      <alignment horizontal="center" vertical="center"/>
    </xf>
    <xf numFmtId="0" fontId="7" fillId="0" borderId="0" xfId="208" applyFont="1" applyAlignment="1">
      <alignment vertical="center"/>
    </xf>
    <xf numFmtId="0" fontId="7" fillId="0" borderId="0" xfId="104" applyFont="1" applyAlignment="1">
      <alignment horizontal="right" vertical="center"/>
    </xf>
    <xf numFmtId="204" fontId="7" fillId="0" borderId="0" xfId="104" applyNumberFormat="1" applyFont="1" applyAlignment="1">
      <alignment horizontal="right" vertical="center"/>
    </xf>
    <xf numFmtId="4" fontId="7" fillId="0" borderId="0" xfId="104" applyNumberFormat="1" applyFont="1" applyAlignment="1">
      <alignment horizontal="right" vertical="center"/>
    </xf>
    <xf numFmtId="4" fontId="12" fillId="0" borderId="0" xfId="208" applyNumberFormat="1" applyFont="1" applyAlignment="1">
      <alignment vertical="center"/>
    </xf>
    <xf numFmtId="0" fontId="31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127" fillId="0" borderId="0" xfId="104" applyFont="1" applyAlignment="1">
      <alignment horizontal="center" vertical="center"/>
    </xf>
    <xf numFmtId="0" fontId="128" fillId="0" borderId="0" xfId="104" applyFont="1" applyAlignment="1">
      <alignment horizontal="center" vertical="center"/>
    </xf>
    <xf numFmtId="4" fontId="7" fillId="0" borderId="0" xfId="104" applyNumberFormat="1" applyFont="1" applyAlignment="1">
      <alignment vertical="center"/>
    </xf>
    <xf numFmtId="2" fontId="7" fillId="0" borderId="0" xfId="104" applyNumberFormat="1" applyFont="1" applyAlignment="1">
      <alignment horizontal="right" vertical="center"/>
    </xf>
    <xf numFmtId="0" fontId="31" fillId="33" borderId="34" xfId="246" applyFont="1" applyFill="1" applyBorder="1" applyAlignment="1">
      <alignment vertical="center"/>
    </xf>
    <xf numFmtId="0" fontId="79" fillId="33" borderId="59" xfId="246" applyFont="1" applyFill="1" applyBorder="1" applyAlignment="1">
      <alignment horizontal="right" vertical="center"/>
    </xf>
    <xf numFmtId="0" fontId="31" fillId="33" borderId="0" xfId="0" applyFont="1" applyFill="1" applyAlignment="1">
      <alignment horizontal="center"/>
    </xf>
    <xf numFmtId="0" fontId="123" fillId="33" borderId="0" xfId="0" applyFont="1" applyFill="1" applyAlignment="1">
      <alignment horizontal="center"/>
    </xf>
    <xf numFmtId="172" fontId="79" fillId="33" borderId="0" xfId="104" applyNumberFormat="1" applyFont="1" applyFill="1" applyAlignment="1">
      <alignment horizontal="right" vertical="center"/>
    </xf>
    <xf numFmtId="0" fontId="123" fillId="33" borderId="0" xfId="0" applyFont="1" applyFill="1" applyAlignment="1">
      <alignment horizontal="center" vertical="center" wrapText="1"/>
    </xf>
    <xf numFmtId="0" fontId="31" fillId="33" borderId="7" xfId="208" applyFont="1" applyFill="1" applyBorder="1" applyAlignment="1">
      <alignment horizontal="center" vertical="center"/>
    </xf>
    <xf numFmtId="0" fontId="31" fillId="33" borderId="41" xfId="209" applyFont="1" applyFill="1" applyBorder="1" applyAlignment="1">
      <alignment horizontal="center" vertical="center"/>
    </xf>
    <xf numFmtId="0" fontId="0" fillId="33" borderId="0" xfId="0" applyFill="1" applyAlignment="1">
      <alignment horizontal="center"/>
    </xf>
    <xf numFmtId="0" fontId="118" fillId="33" borderId="0" xfId="0" applyFont="1" applyFill="1" applyAlignment="1">
      <alignment horizontal="center"/>
    </xf>
    <xf numFmtId="0" fontId="31" fillId="33" borderId="0" xfId="208" quotePrefix="1" applyFont="1" applyFill="1" applyAlignment="1">
      <alignment vertical="center"/>
    </xf>
    <xf numFmtId="2" fontId="6" fillId="33" borderId="0" xfId="104" applyNumberFormat="1" applyFont="1" applyFill="1" applyAlignment="1">
      <alignment horizontal="right" vertical="center"/>
    </xf>
    <xf numFmtId="4" fontId="8" fillId="33" borderId="0" xfId="208" applyNumberFormat="1" applyFont="1" applyFill="1" applyAlignment="1">
      <alignment vertical="center"/>
    </xf>
    <xf numFmtId="0" fontId="7" fillId="0" borderId="0" xfId="207" applyFont="1" applyAlignment="1">
      <alignment vertical="center"/>
    </xf>
    <xf numFmtId="0" fontId="7" fillId="0" borderId="0" xfId="117" applyFont="1" applyAlignment="1">
      <alignment vertical="center"/>
    </xf>
    <xf numFmtId="0" fontId="12" fillId="31" borderId="0" xfId="208" applyFont="1" applyFill="1" applyAlignment="1">
      <alignment horizontal="center" vertical="center"/>
    </xf>
    <xf numFmtId="0" fontId="7" fillId="33" borderId="0" xfId="208" applyFont="1" applyFill="1" applyAlignment="1">
      <alignment horizontal="center" vertical="center"/>
    </xf>
    <xf numFmtId="2" fontId="128" fillId="33" borderId="0" xfId="208" applyNumberFormat="1" applyFont="1" applyFill="1" applyAlignment="1">
      <alignment horizontal="center" vertical="center"/>
    </xf>
    <xf numFmtId="187" fontId="128" fillId="33" borderId="0" xfId="208" applyNumberFormat="1" applyFont="1" applyFill="1" applyAlignment="1">
      <alignment horizontal="right" vertical="center" indent="1"/>
    </xf>
    <xf numFmtId="187" fontId="127" fillId="33" borderId="0" xfId="208" applyNumberFormat="1" applyFont="1" applyFill="1" applyAlignment="1">
      <alignment horizontal="right" vertical="center" indent="1"/>
    </xf>
    <xf numFmtId="0" fontId="128" fillId="33" borderId="0" xfId="208" applyFont="1" applyFill="1" applyAlignment="1">
      <alignment vertical="center"/>
    </xf>
    <xf numFmtId="4" fontId="69" fillId="33" borderId="41" xfId="94" applyNumberFormat="1" applyFont="1" applyFill="1" applyBorder="1" applyAlignment="1">
      <alignment horizontal="center" vertical="center"/>
    </xf>
    <xf numFmtId="0" fontId="116" fillId="40" borderId="95" xfId="0" applyFont="1" applyFill="1" applyBorder="1" applyAlignment="1">
      <alignment horizontal="centerContinuous"/>
    </xf>
    <xf numFmtId="0" fontId="116" fillId="40" borderId="96" xfId="0" applyFont="1" applyFill="1" applyBorder="1" applyAlignment="1">
      <alignment horizontal="centerContinuous"/>
    </xf>
    <xf numFmtId="0" fontId="116" fillId="40" borderId="97" xfId="0" applyFont="1" applyFill="1" applyBorder="1" applyAlignment="1">
      <alignment horizontal="centerContinuous"/>
    </xf>
    <xf numFmtId="0" fontId="0" fillId="40" borderId="100" xfId="0" applyFill="1" applyBorder="1"/>
    <xf numFmtId="0" fontId="0" fillId="40" borderId="101" xfId="0" applyFill="1" applyBorder="1"/>
    <xf numFmtId="0" fontId="0" fillId="40" borderId="102" xfId="0" applyFill="1" applyBorder="1"/>
    <xf numFmtId="0" fontId="129" fillId="38" borderId="98" xfId="0" applyFont="1" applyFill="1" applyBorder="1" applyAlignment="1">
      <alignment horizontal="center"/>
    </xf>
    <xf numFmtId="0" fontId="130" fillId="0" borderId="98" xfId="0" applyFont="1" applyBorder="1" applyAlignment="1">
      <alignment horizontal="center"/>
    </xf>
    <xf numFmtId="2" fontId="0" fillId="0" borderId="124" xfId="0" applyNumberFormat="1" applyBorder="1" applyAlignment="1">
      <alignment horizontal="center"/>
    </xf>
    <xf numFmtId="165" fontId="111" fillId="0" borderId="40" xfId="293" applyBorder="1"/>
    <xf numFmtId="0" fontId="0" fillId="0" borderId="125" xfId="0" applyBorder="1"/>
    <xf numFmtId="0" fontId="0" fillId="0" borderId="12" xfId="0" applyBorder="1"/>
    <xf numFmtId="0" fontId="0" fillId="0" borderId="126" xfId="0" applyBorder="1"/>
    <xf numFmtId="165" fontId="116" fillId="0" borderId="127" xfId="293" applyFont="1" applyBorder="1"/>
    <xf numFmtId="10" fontId="126" fillId="0" borderId="0" xfId="127" applyNumberFormat="1" applyFont="1" applyAlignment="1">
      <alignment horizontal="center"/>
    </xf>
    <xf numFmtId="0" fontId="8" fillId="0" borderId="126" xfId="0" applyFont="1" applyBorder="1"/>
    <xf numFmtId="10" fontId="5" fillId="0" borderId="34" xfId="128" applyNumberFormat="1" applyFont="1" applyBorder="1"/>
    <xf numFmtId="0" fontId="0" fillId="40" borderId="97" xfId="0" applyFill="1" applyBorder="1"/>
    <xf numFmtId="0" fontId="0" fillId="40" borderId="96" xfId="0" applyFill="1" applyBorder="1"/>
    <xf numFmtId="0" fontId="0" fillId="40" borderId="95" xfId="0" applyFill="1" applyBorder="1"/>
    <xf numFmtId="167" fontId="0" fillId="0" borderId="7" xfId="0" applyNumberFormat="1" applyBorder="1" applyAlignment="1">
      <alignment horizontal="center"/>
    </xf>
    <xf numFmtId="167" fontId="0" fillId="0" borderId="0" xfId="0" applyNumberFormat="1"/>
    <xf numFmtId="4" fontId="85" fillId="0" borderId="0" xfId="35" applyNumberFormat="1" applyFont="1" applyAlignment="1">
      <alignment horizontal="center" vertical="center"/>
    </xf>
    <xf numFmtId="4" fontId="85" fillId="0" borderId="0" xfId="35" applyNumberFormat="1" applyFont="1" applyAlignment="1">
      <alignment vertical="center"/>
    </xf>
    <xf numFmtId="4" fontId="85" fillId="0" borderId="0" xfId="37" applyNumberFormat="1" applyFont="1" applyAlignment="1">
      <alignment vertical="center"/>
    </xf>
    <xf numFmtId="201" fontId="6" fillId="0" borderId="0" xfId="103" applyNumberFormat="1" applyAlignment="1">
      <alignment vertical="center"/>
    </xf>
    <xf numFmtId="0" fontId="14" fillId="0" borderId="44" xfId="212" applyFont="1" applyBorder="1" applyAlignment="1">
      <alignment horizontal="center" vertical="center"/>
    </xf>
    <xf numFmtId="0" fontId="85" fillId="0" borderId="0" xfId="35" applyFont="1" applyAlignment="1">
      <alignment horizontal="center" vertical="center"/>
    </xf>
    <xf numFmtId="171" fontId="85" fillId="0" borderId="0" xfId="35" applyNumberFormat="1" applyFont="1" applyAlignment="1">
      <alignment vertical="center"/>
    </xf>
    <xf numFmtId="171" fontId="85" fillId="0" borderId="0" xfId="35" applyNumberFormat="1" applyFont="1" applyAlignment="1">
      <alignment horizontal="center" vertical="center"/>
    </xf>
    <xf numFmtId="0" fontId="85" fillId="0" borderId="0" xfId="103" applyFont="1" applyAlignment="1">
      <alignment vertical="center"/>
    </xf>
    <xf numFmtId="201" fontId="85" fillId="0" borderId="0" xfId="103" applyNumberFormat="1" applyFont="1" applyAlignment="1">
      <alignment horizontal="center" vertical="center"/>
    </xf>
    <xf numFmtId="2" fontId="85" fillId="0" borderId="0" xfId="103" applyNumberFormat="1" applyFont="1" applyAlignment="1">
      <alignment vertical="center"/>
    </xf>
    <xf numFmtId="171" fontId="85" fillId="0" borderId="0" xfId="103" applyNumberFormat="1" applyFont="1" applyAlignment="1">
      <alignment horizontal="center" vertical="center"/>
    </xf>
    <xf numFmtId="0" fontId="8" fillId="33" borderId="98" xfId="0" applyFont="1" applyFill="1" applyBorder="1" applyAlignment="1">
      <alignment horizontal="center"/>
    </xf>
    <xf numFmtId="0" fontId="8" fillId="33" borderId="63" xfId="0" applyFont="1" applyFill="1" applyBorder="1"/>
    <xf numFmtId="0" fontId="12" fillId="33" borderId="41" xfId="0" applyFont="1" applyFill="1" applyBorder="1" applyAlignment="1">
      <alignment horizontal="center"/>
    </xf>
    <xf numFmtId="165" fontId="116" fillId="33" borderId="41" xfId="293" applyFont="1" applyFill="1" applyBorder="1" applyAlignment="1">
      <alignment horizontal="center"/>
    </xf>
    <xf numFmtId="0" fontId="116" fillId="33" borderId="41" xfId="0" applyFont="1" applyFill="1" applyBorder="1" applyAlignment="1">
      <alignment horizontal="center"/>
    </xf>
    <xf numFmtId="167" fontId="8" fillId="33" borderId="99" xfId="0" applyNumberFormat="1" applyFont="1" applyFill="1" applyBorder="1"/>
    <xf numFmtId="0" fontId="6" fillId="33" borderId="98" xfId="0" applyFont="1" applyFill="1" applyBorder="1"/>
    <xf numFmtId="0" fontId="0" fillId="33" borderId="63" xfId="0" applyFill="1" applyBorder="1"/>
    <xf numFmtId="165" fontId="6" fillId="33" borderId="41" xfId="293" applyFont="1" applyFill="1" applyBorder="1" applyAlignment="1">
      <alignment horizontal="center"/>
    </xf>
    <xf numFmtId="0" fontId="0" fillId="33" borderId="41" xfId="0" applyFill="1" applyBorder="1" applyAlignment="1">
      <alignment horizontal="center" vertical="center"/>
    </xf>
    <xf numFmtId="165" fontId="111" fillId="33" borderId="41" xfId="293" applyFill="1" applyBorder="1"/>
    <xf numFmtId="0" fontId="0" fillId="33" borderId="99" xfId="0" applyFill="1" applyBorder="1"/>
    <xf numFmtId="0" fontId="0" fillId="33" borderId="60" xfId="0" applyFill="1" applyBorder="1"/>
    <xf numFmtId="9" fontId="6" fillId="33" borderId="41" xfId="128" applyFont="1" applyFill="1" applyBorder="1" applyAlignment="1">
      <alignment horizontal="center" vertical="center"/>
    </xf>
    <xf numFmtId="4" fontId="69" fillId="0" borderId="0" xfId="114" applyNumberFormat="1" applyFont="1" applyAlignment="1">
      <alignment horizontal="center" vertical="center"/>
    </xf>
    <xf numFmtId="4" fontId="70" fillId="0" borderId="0" xfId="114" applyNumberFormat="1" applyFont="1" applyAlignment="1">
      <alignment horizontal="center" vertical="center"/>
    </xf>
    <xf numFmtId="4" fontId="69" fillId="33" borderId="0" xfId="114" applyNumberFormat="1" applyFont="1" applyFill="1" applyAlignment="1">
      <alignment horizontal="center" vertical="center"/>
    </xf>
    <xf numFmtId="4" fontId="70" fillId="33" borderId="0" xfId="114" applyNumberFormat="1" applyFont="1" applyFill="1" applyAlignment="1">
      <alignment horizontal="center" vertical="center"/>
    </xf>
    <xf numFmtId="4" fontId="16" fillId="0" borderId="0" xfId="114" applyNumberFormat="1" applyFont="1" applyAlignment="1">
      <alignment horizontal="center" vertical="center"/>
    </xf>
    <xf numFmtId="4" fontId="5" fillId="0" borderId="0" xfId="114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210" fontId="0" fillId="0" borderId="0" xfId="0" applyNumberFormat="1" applyAlignment="1">
      <alignment horizontal="center"/>
    </xf>
    <xf numFmtId="167" fontId="87" fillId="0" borderId="0" xfId="0" applyNumberFormat="1" applyFont="1" applyAlignment="1">
      <alignment horizontal="center"/>
    </xf>
    <xf numFmtId="0" fontId="105" fillId="0" borderId="37" xfId="289" applyFont="1" applyBorder="1" applyAlignment="1">
      <alignment vertical="center" wrapText="1"/>
    </xf>
    <xf numFmtId="172" fontId="6" fillId="33" borderId="0" xfId="103" applyNumberFormat="1" applyFill="1" applyAlignment="1">
      <alignment vertical="center"/>
    </xf>
    <xf numFmtId="4" fontId="6" fillId="0" borderId="0" xfId="114" applyNumberFormat="1" applyFont="1" applyAlignment="1">
      <alignment horizontal="left" vertical="center"/>
    </xf>
    <xf numFmtId="2" fontId="70" fillId="0" borderId="0" xfId="127" applyNumberFormat="1" applyFont="1" applyAlignment="1">
      <alignment horizontal="center" vertical="center"/>
    </xf>
    <xf numFmtId="2" fontId="69" fillId="0" borderId="0" xfId="127" applyNumberFormat="1" applyFont="1" applyFill="1" applyAlignment="1">
      <alignment horizontal="center" vertical="center"/>
    </xf>
    <xf numFmtId="4" fontId="6" fillId="0" borderId="0" xfId="114" applyNumberFormat="1" applyFont="1" applyAlignment="1">
      <alignment horizontal="center" vertical="center"/>
    </xf>
    <xf numFmtId="10" fontId="6" fillId="0" borderId="0" xfId="114" applyNumberFormat="1" applyFont="1" applyAlignment="1">
      <alignment horizontal="center" vertical="center"/>
    </xf>
    <xf numFmtId="4" fontId="135" fillId="0" borderId="0" xfId="114" applyNumberFormat="1" applyFont="1" applyAlignment="1">
      <alignment horizontal="center" vertical="center"/>
    </xf>
    <xf numFmtId="187" fontId="136" fillId="0" borderId="0" xfId="114" applyNumberFormat="1" applyFont="1" applyAlignment="1">
      <alignment horizontal="center" vertical="center"/>
    </xf>
    <xf numFmtId="0" fontId="69" fillId="33" borderId="27" xfId="114" applyFont="1" applyFill="1" applyBorder="1" applyAlignment="1">
      <alignment vertical="center" wrapText="1"/>
    </xf>
    <xf numFmtId="187" fontId="69" fillId="33" borderId="32" xfId="114" applyNumberFormat="1" applyFont="1" applyFill="1" applyBorder="1" applyAlignment="1">
      <alignment horizontal="center" vertical="center"/>
    </xf>
    <xf numFmtId="187" fontId="69" fillId="33" borderId="60" xfId="113" applyNumberFormat="1" applyFont="1" applyFill="1" applyBorder="1" applyAlignment="1">
      <alignment horizontal="center" vertical="center"/>
    </xf>
    <xf numFmtId="187" fontId="69" fillId="33" borderId="59" xfId="113" applyNumberFormat="1" applyFont="1" applyFill="1" applyBorder="1" applyAlignment="1">
      <alignment horizontal="center" vertical="center"/>
    </xf>
    <xf numFmtId="0" fontId="12" fillId="33" borderId="0" xfId="114" applyFont="1" applyFill="1" applyAlignment="1">
      <alignment vertical="center"/>
    </xf>
    <xf numFmtId="187" fontId="137" fillId="0" borderId="60" xfId="113" applyNumberFormat="1" applyFont="1" applyBorder="1" applyAlignment="1">
      <alignment horizontal="center" vertical="center"/>
    </xf>
    <xf numFmtId="167" fontId="0" fillId="0" borderId="0" xfId="0" applyNumberFormat="1" applyAlignment="1">
      <alignment horizontal="center"/>
    </xf>
    <xf numFmtId="0" fontId="8" fillId="0" borderId="15" xfId="103" applyFont="1" applyBorder="1" applyAlignment="1">
      <alignment horizontal="left" vertical="center" wrapText="1"/>
    </xf>
    <xf numFmtId="2" fontId="87" fillId="33" borderId="0" xfId="223" quotePrefix="1" applyNumberFormat="1" applyFont="1" applyFill="1" applyAlignment="1">
      <alignment horizontal="center" vertical="center" wrapText="1"/>
    </xf>
    <xf numFmtId="2" fontId="87" fillId="33" borderId="0" xfId="223" applyNumberFormat="1" applyFont="1" applyFill="1" applyAlignment="1">
      <alignment horizontal="center" vertical="center" wrapText="1"/>
    </xf>
    <xf numFmtId="0" fontId="23" fillId="0" borderId="0" xfId="223" applyFont="1" applyAlignment="1">
      <alignment horizontal="center" vertical="center"/>
    </xf>
    <xf numFmtId="0" fontId="11" fillId="23" borderId="78" xfId="35" applyFont="1" applyFill="1" applyBorder="1" applyAlignment="1">
      <alignment horizontal="center" vertical="center"/>
    </xf>
    <xf numFmtId="0" fontId="11" fillId="23" borderId="5" xfId="35" applyFont="1" applyFill="1" applyBorder="1" applyAlignment="1">
      <alignment horizontal="center" vertical="center"/>
    </xf>
    <xf numFmtId="0" fontId="11" fillId="23" borderId="24" xfId="35" applyFont="1" applyFill="1" applyBorder="1" applyAlignment="1">
      <alignment horizontal="center" vertical="center"/>
    </xf>
    <xf numFmtId="0" fontId="27" fillId="0" borderId="0" xfId="35" applyFont="1" applyAlignment="1">
      <alignment horizontal="center" vertical="center"/>
    </xf>
    <xf numFmtId="49" fontId="5" fillId="0" borderId="0" xfId="116" quotePrefix="1" applyNumberFormat="1" applyFont="1" applyAlignment="1">
      <alignment horizontal="left" vertical="top" wrapText="1"/>
    </xf>
    <xf numFmtId="0" fontId="5" fillId="31" borderId="22" xfId="35" applyFont="1" applyFill="1" applyBorder="1" applyAlignment="1">
      <alignment horizontal="center" vertical="center"/>
    </xf>
    <xf numFmtId="0" fontId="5" fillId="31" borderId="5" xfId="35" applyFont="1" applyFill="1" applyBorder="1" applyAlignment="1">
      <alignment horizontal="center" vertical="center"/>
    </xf>
    <xf numFmtId="0" fontId="5" fillId="31" borderId="24" xfId="35" applyFont="1" applyFill="1" applyBorder="1" applyAlignment="1">
      <alignment horizontal="center" vertical="center"/>
    </xf>
    <xf numFmtId="0" fontId="5" fillId="31" borderId="22" xfId="35" applyFont="1" applyFill="1" applyBorder="1" applyAlignment="1">
      <alignment horizontal="center" vertical="center" wrapText="1"/>
    </xf>
    <xf numFmtId="0" fontId="5" fillId="31" borderId="5" xfId="35" applyFont="1" applyFill="1" applyBorder="1" applyAlignment="1">
      <alignment horizontal="center" vertical="center" wrapText="1"/>
    </xf>
    <xf numFmtId="0" fontId="5" fillId="31" borderId="24" xfId="35" applyFont="1" applyFill="1" applyBorder="1" applyAlignment="1">
      <alignment horizontal="center" vertical="center" wrapText="1"/>
    </xf>
    <xf numFmtId="2" fontId="94" fillId="0" borderId="0" xfId="34" applyNumberFormat="1" applyFont="1" applyAlignment="1">
      <alignment horizontal="center" vertical="center" wrapText="1"/>
    </xf>
    <xf numFmtId="0" fontId="79" fillId="34" borderId="83" xfId="246" applyFont="1" applyFill="1" applyBorder="1" applyAlignment="1">
      <alignment horizontal="center" vertical="center"/>
    </xf>
    <xf numFmtId="0" fontId="79" fillId="34" borderId="74" xfId="246" applyFont="1" applyFill="1" applyBorder="1" applyAlignment="1">
      <alignment horizontal="center" vertical="center"/>
    </xf>
    <xf numFmtId="0" fontId="109" fillId="0" borderId="20" xfId="246" applyFont="1" applyBorder="1" applyAlignment="1">
      <alignment horizontal="center" vertical="center"/>
    </xf>
    <xf numFmtId="0" fontId="109" fillId="0" borderId="18" xfId="246" applyFont="1" applyBorder="1" applyAlignment="1">
      <alignment horizontal="center" vertical="center"/>
    </xf>
    <xf numFmtId="0" fontId="109" fillId="0" borderId="58" xfId="246" applyFont="1" applyBorder="1" applyAlignment="1">
      <alignment horizontal="center" vertical="center"/>
    </xf>
    <xf numFmtId="0" fontId="109" fillId="0" borderId="13" xfId="246" applyFont="1" applyBorder="1" applyAlignment="1">
      <alignment horizontal="center" vertical="center"/>
    </xf>
    <xf numFmtId="0" fontId="109" fillId="0" borderId="0" xfId="246" applyFont="1" applyAlignment="1">
      <alignment horizontal="center" vertical="center"/>
    </xf>
    <xf numFmtId="0" fontId="109" fillId="0" borderId="60" xfId="246" applyFont="1" applyBorder="1" applyAlignment="1">
      <alignment horizontal="center" vertical="center"/>
    </xf>
    <xf numFmtId="0" fontId="31" fillId="33" borderId="0" xfId="208" applyFont="1" applyFill="1" applyAlignment="1">
      <alignment horizontal="left" vertical="center" wrapText="1"/>
    </xf>
    <xf numFmtId="0" fontId="31" fillId="33" borderId="60" xfId="208" applyFont="1" applyFill="1" applyBorder="1" applyAlignment="1">
      <alignment horizontal="left" vertical="center" wrapText="1"/>
    </xf>
    <xf numFmtId="0" fontId="31" fillId="33" borderId="0" xfId="246" applyFont="1" applyFill="1" applyAlignment="1">
      <alignment horizontal="left" vertical="center" wrapText="1"/>
    </xf>
    <xf numFmtId="0" fontId="31" fillId="33" borderId="60" xfId="246" applyFont="1" applyFill="1" applyBorder="1" applyAlignment="1">
      <alignment horizontal="left" vertical="center" wrapText="1"/>
    </xf>
    <xf numFmtId="0" fontId="31" fillId="0" borderId="0" xfId="0" applyFont="1" applyAlignment="1">
      <alignment horizontal="left" vertical="center" wrapText="1"/>
    </xf>
    <xf numFmtId="0" fontId="31" fillId="0" borderId="60" xfId="0" applyFont="1" applyBorder="1" applyAlignment="1">
      <alignment horizontal="left" vertical="center" wrapText="1"/>
    </xf>
    <xf numFmtId="0" fontId="31" fillId="0" borderId="0" xfId="208" applyFont="1" applyAlignment="1">
      <alignment horizontal="left" vertical="center" wrapText="1"/>
    </xf>
    <xf numFmtId="0" fontId="31" fillId="0" borderId="60" xfId="208" applyFont="1" applyBorder="1" applyAlignment="1">
      <alignment horizontal="left" vertical="center" wrapText="1"/>
    </xf>
    <xf numFmtId="0" fontId="31" fillId="0" borderId="0" xfId="246" applyFont="1" applyAlignment="1">
      <alignment horizontal="left" vertical="center" wrapText="1"/>
    </xf>
    <xf numFmtId="0" fontId="31" fillId="0" borderId="60" xfId="246" applyFont="1" applyBorder="1" applyAlignment="1">
      <alignment horizontal="left" vertical="center" wrapText="1"/>
    </xf>
    <xf numFmtId="0" fontId="19" fillId="0" borderId="0" xfId="103" quotePrefix="1" applyFont="1" applyAlignment="1">
      <alignment horizontal="center" vertical="center" wrapText="1"/>
    </xf>
    <xf numFmtId="0" fontId="19" fillId="0" borderId="17" xfId="103" quotePrefix="1" applyFont="1" applyBorder="1" applyAlignment="1">
      <alignment horizontal="center" vertical="center" wrapText="1"/>
    </xf>
    <xf numFmtId="0" fontId="13" fillId="0" borderId="31" xfId="103" applyFont="1" applyBorder="1" applyAlignment="1">
      <alignment horizontal="center" vertical="center"/>
    </xf>
    <xf numFmtId="0" fontId="19" fillId="33" borderId="0" xfId="103" quotePrefix="1" applyFont="1" applyFill="1" applyAlignment="1">
      <alignment horizontal="center" vertical="center" wrapText="1"/>
    </xf>
    <xf numFmtId="0" fontId="19" fillId="33" borderId="17" xfId="103" quotePrefix="1" applyFont="1" applyFill="1" applyBorder="1" applyAlignment="1">
      <alignment horizontal="center" vertical="center" wrapText="1"/>
    </xf>
    <xf numFmtId="0" fontId="13" fillId="33" borderId="31" xfId="103" applyFont="1" applyFill="1" applyBorder="1" applyAlignment="1">
      <alignment horizontal="center" vertical="center"/>
    </xf>
    <xf numFmtId="0" fontId="79" fillId="34" borderId="83" xfId="284" applyFont="1" applyFill="1" applyBorder="1" applyAlignment="1">
      <alignment horizontal="center" vertical="center"/>
    </xf>
    <xf numFmtId="0" fontId="79" fillId="34" borderId="74" xfId="284" applyFont="1" applyFill="1" applyBorder="1" applyAlignment="1">
      <alignment horizontal="center" vertical="center"/>
    </xf>
    <xf numFmtId="0" fontId="31" fillId="0" borderId="0" xfId="208" applyFont="1" applyAlignment="1">
      <alignment vertical="center" wrapText="1"/>
    </xf>
    <xf numFmtId="0" fontId="31" fillId="0" borderId="0" xfId="0" applyFont="1" applyAlignment="1">
      <alignment vertical="center" wrapText="1"/>
    </xf>
    <xf numFmtId="0" fontId="31" fillId="0" borderId="60" xfId="0" applyFont="1" applyBorder="1" applyAlignment="1">
      <alignment vertical="center" wrapText="1"/>
    </xf>
    <xf numFmtId="0" fontId="31" fillId="0" borderId="60" xfId="208" applyFont="1" applyBorder="1" applyAlignment="1">
      <alignment vertical="center" wrapText="1"/>
    </xf>
    <xf numFmtId="0" fontId="3" fillId="33" borderId="33" xfId="35" applyFont="1" applyFill="1" applyBorder="1" applyAlignment="1">
      <alignment horizontal="center" vertical="center"/>
    </xf>
    <xf numFmtId="0" fontId="3" fillId="33" borderId="25" xfId="35" applyFont="1" applyFill="1" applyBorder="1" applyAlignment="1">
      <alignment vertical="center"/>
    </xf>
    <xf numFmtId="0" fontId="3" fillId="33" borderId="33" xfId="35" applyFont="1" applyFill="1" applyBorder="1" applyAlignment="1">
      <alignment vertical="center"/>
    </xf>
    <xf numFmtId="0" fontId="22" fillId="0" borderId="0" xfId="212" applyFont="1" applyAlignment="1">
      <alignment horizontal="center"/>
    </xf>
    <xf numFmtId="0" fontId="11" fillId="0" borderId="65" xfId="212" applyFont="1" applyBorder="1" applyAlignment="1">
      <alignment horizontal="center" vertical="center"/>
    </xf>
    <xf numFmtId="0" fontId="11" fillId="0" borderId="68" xfId="212" applyFont="1" applyBorder="1" applyAlignment="1">
      <alignment horizontal="center" vertical="center"/>
    </xf>
    <xf numFmtId="0" fontId="11" fillId="0" borderId="70" xfId="212" applyFont="1" applyBorder="1" applyAlignment="1">
      <alignment horizontal="center" vertical="center"/>
    </xf>
    <xf numFmtId="0" fontId="11" fillId="0" borderId="73" xfId="212" applyFont="1" applyBorder="1" applyAlignment="1">
      <alignment horizontal="center" vertical="center"/>
    </xf>
    <xf numFmtId="0" fontId="22" fillId="0" borderId="0" xfId="212" applyFont="1" applyAlignment="1">
      <alignment horizontal="center" vertical="center"/>
    </xf>
    <xf numFmtId="0" fontId="11" fillId="0" borderId="38" xfId="212" applyFont="1" applyBorder="1" applyAlignment="1">
      <alignment horizontal="center" vertical="center"/>
    </xf>
    <xf numFmtId="0" fontId="11" fillId="0" borderId="37" xfId="212" applyFont="1" applyBorder="1" applyAlignment="1">
      <alignment horizontal="center" vertical="center"/>
    </xf>
    <xf numFmtId="10" fontId="6" fillId="0" borderId="0" xfId="127" applyNumberFormat="1" applyFont="1"/>
    <xf numFmtId="221" fontId="79" fillId="0" borderId="118" xfId="104" applyNumberFormat="1" applyFont="1" applyBorder="1" applyAlignment="1">
      <alignment horizontal="right" vertical="center" indent="1"/>
    </xf>
    <xf numFmtId="205" fontId="79" fillId="0" borderId="7" xfId="208" applyNumberFormat="1" applyFont="1" applyBorder="1" applyAlignment="1">
      <alignment horizontal="right" vertical="center" indent="1"/>
    </xf>
    <xf numFmtId="10" fontId="89" fillId="0" borderId="0" xfId="127" applyNumberFormat="1" applyFont="1" applyAlignment="1">
      <alignment vertical="center"/>
    </xf>
    <xf numFmtId="173" fontId="5" fillId="0" borderId="0" xfId="127" applyNumberFormat="1" applyFont="1" applyAlignment="1">
      <alignment horizontal="center" vertical="center"/>
    </xf>
    <xf numFmtId="9" fontId="79" fillId="31" borderId="40" xfId="208" applyNumberFormat="1" applyFont="1" applyFill="1" applyBorder="1" applyAlignment="1">
      <alignment horizontal="center" vertical="center" wrapText="1"/>
    </xf>
    <xf numFmtId="9" fontId="79" fillId="31" borderId="7" xfId="208" applyNumberFormat="1" applyFont="1" applyFill="1" applyBorder="1" applyAlignment="1">
      <alignment horizontal="center" vertical="center" wrapText="1"/>
    </xf>
    <xf numFmtId="165" fontId="128" fillId="33" borderId="0" xfId="293" applyFont="1" applyFill="1" applyAlignment="1">
      <alignment horizontal="right" vertical="center" indent="1"/>
    </xf>
    <xf numFmtId="0" fontId="0" fillId="0" borderId="0" xfId="0" applyAlignment="1">
      <alignment vertical="center"/>
    </xf>
    <xf numFmtId="0" fontId="9" fillId="0" borderId="0" xfId="37" applyFont="1" applyAlignment="1">
      <alignment horizontal="center" vertical="center"/>
    </xf>
    <xf numFmtId="0" fontId="24" fillId="0" borderId="0" xfId="207" quotePrefix="1" applyFont="1" applyAlignment="1">
      <alignment horizontal="center" vertical="center"/>
    </xf>
    <xf numFmtId="0" fontId="25" fillId="0" borderId="0" xfId="207" applyFont="1" applyAlignment="1">
      <alignment horizontal="center" vertical="center"/>
    </xf>
    <xf numFmtId="0" fontId="8" fillId="0" borderId="0" xfId="37" applyFont="1" applyAlignment="1">
      <alignment horizontal="center" vertical="center"/>
    </xf>
    <xf numFmtId="0" fontId="14" fillId="0" borderId="0" xfId="37" applyFont="1" applyAlignment="1">
      <alignment horizontal="center" vertical="center"/>
    </xf>
    <xf numFmtId="0" fontId="5" fillId="35" borderId="115" xfId="0" applyFont="1" applyFill="1" applyBorder="1" applyAlignment="1">
      <alignment horizontal="center" vertical="center"/>
    </xf>
    <xf numFmtId="0" fontId="5" fillId="35" borderId="116" xfId="0" applyFont="1" applyFill="1" applyBorder="1" applyAlignment="1">
      <alignment horizontal="left" vertical="center"/>
    </xf>
    <xf numFmtId="0" fontId="116" fillId="35" borderId="116" xfId="0" applyFont="1" applyFill="1" applyBorder="1" applyAlignment="1">
      <alignment horizontal="center" vertical="center"/>
    </xf>
    <xf numFmtId="0" fontId="116" fillId="35" borderId="117" xfId="0" applyFont="1" applyFill="1" applyBorder="1" applyAlignment="1">
      <alignment horizontal="center" vertical="center"/>
    </xf>
    <xf numFmtId="0" fontId="0" fillId="35" borderId="115" xfId="0" applyFill="1" applyBorder="1" applyAlignment="1">
      <alignment vertical="center"/>
    </xf>
    <xf numFmtId="0" fontId="0" fillId="35" borderId="116" xfId="0" applyFill="1" applyBorder="1" applyAlignment="1">
      <alignment vertical="center"/>
    </xf>
    <xf numFmtId="0" fontId="5" fillId="35" borderId="116" xfId="0" applyFont="1" applyFill="1" applyBorder="1" applyAlignment="1">
      <alignment vertical="center"/>
    </xf>
    <xf numFmtId="0" fontId="5" fillId="35" borderId="116" xfId="0" applyFont="1" applyFill="1" applyBorder="1" applyAlignment="1">
      <alignment horizontal="right" vertical="center"/>
    </xf>
    <xf numFmtId="0" fontId="129" fillId="40" borderId="115" xfId="0" applyFont="1" applyFill="1" applyBorder="1" applyAlignment="1">
      <alignment horizontal="center" vertical="center"/>
    </xf>
    <xf numFmtId="0" fontId="5" fillId="40" borderId="116" xfId="0" applyFont="1" applyFill="1" applyBorder="1" applyAlignment="1">
      <alignment vertical="center"/>
    </xf>
    <xf numFmtId="0" fontId="5" fillId="40" borderId="116" xfId="0" applyFont="1" applyFill="1" applyBorder="1" applyAlignment="1">
      <alignment horizontal="right" vertical="center"/>
    </xf>
    <xf numFmtId="167" fontId="5" fillId="40" borderId="117" xfId="0" applyNumberFormat="1" applyFont="1" applyFill="1" applyBorder="1" applyAlignment="1">
      <alignment vertical="center"/>
    </xf>
    <xf numFmtId="0" fontId="0" fillId="33" borderId="0" xfId="0" applyFill="1" applyAlignment="1">
      <alignment vertical="center"/>
    </xf>
    <xf numFmtId="0" fontId="5" fillId="36" borderId="115" xfId="0" applyFont="1" applyFill="1" applyBorder="1" applyAlignment="1">
      <alignment horizontal="center" vertical="center"/>
    </xf>
    <xf numFmtId="0" fontId="5" fillId="36" borderId="116" xfId="0" applyFont="1" applyFill="1" applyBorder="1" applyAlignment="1">
      <alignment horizontal="left" vertical="center"/>
    </xf>
    <xf numFmtId="0" fontId="116" fillId="36" borderId="116" xfId="0" applyFont="1" applyFill="1" applyBorder="1" applyAlignment="1">
      <alignment horizontal="center" vertical="center"/>
    </xf>
    <xf numFmtId="0" fontId="116" fillId="36" borderId="117" xfId="0" applyFont="1" applyFill="1" applyBorder="1" applyAlignment="1">
      <alignment horizontal="center" vertical="center"/>
    </xf>
    <xf numFmtId="4" fontId="138" fillId="41" borderId="7" xfId="115" applyNumberFormat="1" applyFont="1" applyFill="1" applyBorder="1" applyAlignment="1">
      <alignment horizontal="center" vertical="center"/>
    </xf>
    <xf numFmtId="4" fontId="139" fillId="41" borderId="40" xfId="289" applyNumberFormat="1" applyFont="1" applyFill="1" applyBorder="1" applyAlignment="1">
      <alignment horizontal="center" vertical="center"/>
    </xf>
    <xf numFmtId="4" fontId="140" fillId="41" borderId="41" xfId="289" applyNumberFormat="1" applyFont="1" applyFill="1" applyBorder="1" applyAlignment="1">
      <alignment horizontal="center" vertical="center"/>
    </xf>
    <xf numFmtId="167" fontId="116" fillId="41" borderId="102" xfId="0" applyNumberFormat="1" applyFont="1" applyFill="1" applyBorder="1"/>
    <xf numFmtId="167" fontId="5" fillId="41" borderId="117" xfId="0" applyNumberFormat="1" applyFont="1" applyFill="1" applyBorder="1" applyAlignment="1">
      <alignment vertical="center"/>
    </xf>
    <xf numFmtId="0" fontId="6" fillId="31" borderId="0" xfId="208" applyFont="1" applyFill="1" applyAlignment="1">
      <alignment vertical="center" wrapText="1"/>
    </xf>
    <xf numFmtId="0" fontId="8" fillId="33" borderId="0" xfId="208" applyFont="1" applyFill="1" applyAlignment="1">
      <alignment horizontal="center" vertical="center" wrapText="1"/>
    </xf>
    <xf numFmtId="0" fontId="6" fillId="33" borderId="0" xfId="208" applyFont="1" applyFill="1" applyAlignment="1">
      <alignment horizontal="center" vertical="center" wrapText="1"/>
    </xf>
    <xf numFmtId="0" fontId="89" fillId="33" borderId="0" xfId="208" applyFont="1" applyFill="1" applyAlignment="1">
      <alignment horizontal="center" vertical="center"/>
    </xf>
    <xf numFmtId="2" fontId="141" fillId="0" borderId="0" xfId="208" applyNumberFormat="1" applyFont="1" applyAlignment="1">
      <alignment horizontal="center" vertical="center"/>
    </xf>
    <xf numFmtId="187" fontId="141" fillId="0" borderId="0" xfId="208" applyNumberFormat="1" applyFont="1" applyAlignment="1">
      <alignment horizontal="center" vertical="center"/>
    </xf>
    <xf numFmtId="2" fontId="8" fillId="0" borderId="135" xfId="208" applyNumberFormat="1" applyFont="1" applyBorder="1" applyAlignment="1">
      <alignment horizontal="center" vertical="center"/>
    </xf>
    <xf numFmtId="0" fontId="6" fillId="0" borderId="136" xfId="208" applyFont="1" applyBorder="1" applyAlignment="1">
      <alignment vertical="center"/>
    </xf>
    <xf numFmtId="0" fontId="6" fillId="0" borderId="138" xfId="208" applyFont="1" applyBorder="1" applyAlignment="1">
      <alignment vertical="center"/>
    </xf>
    <xf numFmtId="0" fontId="6" fillId="0" borderId="135" xfId="208" applyFont="1" applyBorder="1" applyAlignment="1">
      <alignment horizontal="center" vertical="center"/>
    </xf>
    <xf numFmtId="2" fontId="6" fillId="0" borderId="135" xfId="208" applyNumberFormat="1" applyFont="1" applyBorder="1" applyAlignment="1">
      <alignment horizontal="center" vertical="center"/>
    </xf>
    <xf numFmtId="0" fontId="6" fillId="0" borderId="135" xfId="208" applyFont="1" applyBorder="1" applyAlignment="1">
      <alignment vertical="center"/>
    </xf>
    <xf numFmtId="0" fontId="8" fillId="0" borderId="138" xfId="208" applyFont="1" applyBorder="1" applyAlignment="1">
      <alignment horizontal="right" vertical="center"/>
    </xf>
    <xf numFmtId="0" fontId="6" fillId="0" borderId="137" xfId="208" applyFont="1" applyBorder="1" applyAlignment="1">
      <alignment horizontal="left" vertical="center" wrapText="1"/>
    </xf>
    <xf numFmtId="0" fontId="6" fillId="0" borderId="138" xfId="208" applyFont="1" applyBorder="1" applyAlignment="1">
      <alignment horizontal="left" vertical="center" wrapText="1"/>
    </xf>
    <xf numFmtId="0" fontId="6" fillId="0" borderId="137" xfId="208" applyFont="1" applyBorder="1" applyAlignment="1">
      <alignment vertical="center"/>
    </xf>
    <xf numFmtId="2" fontId="8" fillId="33" borderId="135" xfId="208" applyNumberFormat="1" applyFont="1" applyFill="1" applyBorder="1" applyAlignment="1">
      <alignment horizontal="center" vertical="center"/>
    </xf>
    <xf numFmtId="0" fontId="6" fillId="33" borderId="136" xfId="208" applyFont="1" applyFill="1" applyBorder="1" applyAlignment="1">
      <alignment vertical="center"/>
    </xf>
    <xf numFmtId="0" fontId="6" fillId="33" borderId="137" xfId="208" applyFont="1" applyFill="1" applyBorder="1" applyAlignment="1">
      <alignment vertical="center"/>
    </xf>
    <xf numFmtId="0" fontId="6" fillId="33" borderId="138" xfId="208" applyFont="1" applyFill="1" applyBorder="1" applyAlignment="1">
      <alignment vertical="center"/>
    </xf>
    <xf numFmtId="0" fontId="6" fillId="33" borderId="135" xfId="208" applyFont="1" applyFill="1" applyBorder="1" applyAlignment="1">
      <alignment horizontal="center" vertical="center"/>
    </xf>
    <xf numFmtId="2" fontId="6" fillId="33" borderId="135" xfId="208" applyNumberFormat="1" applyFont="1" applyFill="1" applyBorder="1" applyAlignment="1">
      <alignment horizontal="center" vertical="center"/>
    </xf>
    <xf numFmtId="0" fontId="6" fillId="33" borderId="135" xfId="208" applyFont="1" applyFill="1" applyBorder="1" applyAlignment="1">
      <alignment vertical="center"/>
    </xf>
    <xf numFmtId="0" fontId="8" fillId="33" borderId="138" xfId="208" applyFont="1" applyFill="1" applyBorder="1" applyAlignment="1">
      <alignment horizontal="right" vertical="center"/>
    </xf>
    <xf numFmtId="0" fontId="6" fillId="33" borderId="124" xfId="208" applyFont="1" applyFill="1" applyBorder="1" applyAlignment="1">
      <alignment vertical="center"/>
    </xf>
    <xf numFmtId="0" fontId="6" fillId="33" borderId="144" xfId="208" applyFont="1" applyFill="1" applyBorder="1" applyAlignment="1">
      <alignment vertical="center"/>
    </xf>
    <xf numFmtId="0" fontId="6" fillId="33" borderId="145" xfId="208" applyFont="1" applyFill="1" applyBorder="1" applyAlignment="1">
      <alignment vertical="center"/>
    </xf>
    <xf numFmtId="0" fontId="8" fillId="33" borderId="146" xfId="208" applyFont="1" applyFill="1" applyBorder="1" applyAlignment="1">
      <alignment horizontal="right" vertical="center"/>
    </xf>
    <xf numFmtId="0" fontId="6" fillId="33" borderId="124" xfId="208" applyFont="1" applyFill="1" applyBorder="1" applyAlignment="1">
      <alignment horizontal="center" vertical="center"/>
    </xf>
    <xf numFmtId="0" fontId="142" fillId="33" borderId="40" xfId="208" applyFont="1" applyFill="1" applyBorder="1" applyAlignment="1">
      <alignment horizontal="center" vertical="center"/>
    </xf>
    <xf numFmtId="0" fontId="142" fillId="33" borderId="147" xfId="208" applyFont="1" applyFill="1" applyBorder="1" applyAlignment="1">
      <alignment horizontal="center" vertical="center"/>
    </xf>
    <xf numFmtId="0" fontId="8" fillId="33" borderId="134" xfId="208" applyFont="1" applyFill="1" applyBorder="1" applyAlignment="1">
      <alignment horizontal="center" vertical="center"/>
    </xf>
    <xf numFmtId="2" fontId="6" fillId="0" borderId="138" xfId="208" applyNumberFormat="1" applyFont="1" applyBorder="1" applyAlignment="1">
      <alignment horizontal="center" vertical="center"/>
    </xf>
    <xf numFmtId="187" fontId="6" fillId="0" borderId="138" xfId="208" applyNumberFormat="1" applyFont="1" applyBorder="1" applyAlignment="1">
      <alignment horizontal="center" vertical="center"/>
    </xf>
    <xf numFmtId="187" fontId="6" fillId="0" borderId="146" xfId="208" applyNumberFormat="1" applyFont="1" applyBorder="1" applyAlignment="1">
      <alignment horizontal="center" vertical="center"/>
    </xf>
    <xf numFmtId="4" fontId="6" fillId="33" borderId="124" xfId="208" applyNumberFormat="1" applyFont="1" applyFill="1" applyBorder="1" applyAlignment="1">
      <alignment horizontal="center" vertical="center"/>
    </xf>
    <xf numFmtId="4" fontId="6" fillId="0" borderId="135" xfId="208" applyNumberFormat="1" applyFont="1" applyBorder="1" applyAlignment="1">
      <alignment horizontal="center" vertical="center"/>
    </xf>
    <xf numFmtId="4" fontId="6" fillId="33" borderId="135" xfId="208" applyNumberFormat="1" applyFont="1" applyFill="1" applyBorder="1" applyAlignment="1">
      <alignment horizontal="center" vertical="center"/>
    </xf>
    <xf numFmtId="4" fontId="6" fillId="0" borderId="119" xfId="208" applyNumberFormat="1" applyFont="1" applyBorder="1" applyAlignment="1">
      <alignment horizontal="center" vertical="center"/>
    </xf>
    <xf numFmtId="0" fontId="81" fillId="0" borderId="137" xfId="208" applyFont="1" applyBorder="1" applyAlignment="1">
      <alignment vertical="center"/>
    </xf>
    <xf numFmtId="0" fontId="6" fillId="0" borderId="145" xfId="208" applyFont="1" applyBorder="1" applyAlignment="1">
      <alignment vertical="center"/>
    </xf>
    <xf numFmtId="4" fontId="6" fillId="33" borderId="119" xfId="208" applyNumberFormat="1" applyFont="1" applyFill="1" applyBorder="1" applyAlignment="1">
      <alignment horizontal="center" vertical="center"/>
    </xf>
    <xf numFmtId="0" fontId="6" fillId="0" borderId="119" xfId="208" applyFont="1" applyBorder="1" applyAlignment="1">
      <alignment horizontal="center" vertical="center"/>
    </xf>
    <xf numFmtId="0" fontId="141" fillId="33" borderId="0" xfId="104" applyFont="1" applyFill="1" applyAlignment="1">
      <alignment vertical="center"/>
    </xf>
    <xf numFmtId="194" fontId="89" fillId="33" borderId="0" xfId="208" applyNumberFormat="1" applyFont="1" applyFill="1" applyAlignment="1">
      <alignment horizontal="center" vertical="center"/>
    </xf>
    <xf numFmtId="4" fontId="141" fillId="33" borderId="0" xfId="208" applyNumberFormat="1" applyFont="1" applyFill="1" applyAlignment="1">
      <alignment vertical="center"/>
    </xf>
    <xf numFmtId="2" fontId="141" fillId="33" borderId="0" xfId="104" applyNumberFormat="1" applyFont="1" applyFill="1" applyAlignment="1">
      <alignment horizontal="right" vertical="center"/>
    </xf>
    <xf numFmtId="204" fontId="141" fillId="33" borderId="0" xfId="104" applyNumberFormat="1" applyFont="1" applyFill="1" applyAlignment="1">
      <alignment horizontal="right" vertical="center"/>
    </xf>
    <xf numFmtId="4" fontId="141" fillId="33" borderId="0" xfId="104" applyNumberFormat="1" applyFont="1" applyFill="1" applyAlignment="1">
      <alignment horizontal="right" vertical="center"/>
    </xf>
    <xf numFmtId="0" fontId="141" fillId="33" borderId="0" xfId="104" applyFont="1" applyFill="1" applyAlignment="1">
      <alignment horizontal="right" vertical="center"/>
    </xf>
    <xf numFmtId="0" fontId="6" fillId="33" borderId="0" xfId="207" applyFont="1" applyFill="1" applyAlignment="1">
      <alignment vertical="center"/>
    </xf>
    <xf numFmtId="0" fontId="8" fillId="42" borderId="7" xfId="208" applyFont="1" applyFill="1" applyBorder="1" applyAlignment="1">
      <alignment horizontal="center" vertical="center" wrapText="1"/>
    </xf>
    <xf numFmtId="0" fontId="6" fillId="42" borderId="13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142" fillId="0" borderId="148" xfId="208" applyFont="1" applyBorder="1" applyAlignment="1">
      <alignment vertical="center"/>
    </xf>
    <xf numFmtId="0" fontId="6" fillId="0" borderId="137" xfId="0" applyFont="1" applyBorder="1"/>
    <xf numFmtId="0" fontId="8" fillId="0" borderId="139" xfId="0" applyFont="1" applyBorder="1" applyAlignment="1">
      <alignment horizontal="center" vertical="center"/>
    </xf>
    <xf numFmtId="0" fontId="8" fillId="42" borderId="139" xfId="0" applyFont="1" applyFill="1" applyBorder="1" applyAlignment="1">
      <alignment horizontal="center" vertical="center"/>
    </xf>
    <xf numFmtId="0" fontId="8" fillId="0" borderId="140" xfId="0" applyFont="1" applyBorder="1" applyAlignment="1">
      <alignment horizontal="center" vertical="center"/>
    </xf>
    <xf numFmtId="0" fontId="142" fillId="0" borderId="147" xfId="208" applyFont="1" applyBorder="1" applyAlignment="1">
      <alignment vertical="center"/>
    </xf>
    <xf numFmtId="4" fontId="6" fillId="0" borderId="40" xfId="0" applyNumberFormat="1" applyFont="1" applyBorder="1" applyAlignment="1">
      <alignment horizontal="center" vertical="center"/>
    </xf>
    <xf numFmtId="4" fontId="6" fillId="0" borderId="135" xfId="0" applyNumberFormat="1" applyFont="1" applyBorder="1" applyAlignment="1">
      <alignment horizontal="center"/>
    </xf>
    <xf numFmtId="4" fontId="6" fillId="0" borderId="135" xfId="0" applyNumberFormat="1" applyFont="1" applyBorder="1" applyAlignment="1">
      <alignment horizontal="center" vertical="center"/>
    </xf>
    <xf numFmtId="4" fontId="6" fillId="0" borderId="137" xfId="0" applyNumberFormat="1" applyFont="1" applyBorder="1"/>
    <xf numFmtId="4" fontId="6" fillId="0" borderId="119" xfId="0" applyNumberFormat="1" applyFont="1" applyBorder="1" applyAlignment="1">
      <alignment horizontal="center"/>
    </xf>
    <xf numFmtId="0" fontId="141" fillId="0" borderId="0" xfId="0" applyFont="1"/>
    <xf numFmtId="0" fontId="81" fillId="0" borderId="0" xfId="117" applyFont="1" applyAlignment="1">
      <alignment horizontal="left" vertical="center"/>
    </xf>
    <xf numFmtId="0" fontId="6" fillId="0" borderId="0" xfId="207" applyFont="1" applyAlignment="1">
      <alignment horizontal="centerContinuous" vertical="center"/>
    </xf>
    <xf numFmtId="0" fontId="8" fillId="0" borderId="0" xfId="207" quotePrefix="1" applyFont="1" applyAlignment="1">
      <alignment horizontal="centerContinuous" vertical="center"/>
    </xf>
    <xf numFmtId="0" fontId="6" fillId="0" borderId="0" xfId="112" quotePrefix="1" applyAlignment="1">
      <alignment horizontal="centerContinuous" vertical="center"/>
    </xf>
    <xf numFmtId="0" fontId="141" fillId="0" borderId="0" xfId="207" applyFont="1" applyAlignment="1">
      <alignment vertical="center"/>
    </xf>
    <xf numFmtId="0" fontId="8" fillId="0" borderId="0" xfId="207" applyFont="1" applyAlignment="1">
      <alignment horizontal="left" vertical="center"/>
    </xf>
    <xf numFmtId="177" fontId="6" fillId="0" borderId="0" xfId="112" quotePrefix="1" applyNumberFormat="1" applyAlignment="1">
      <alignment horizontal="right" vertical="center"/>
    </xf>
    <xf numFmtId="0" fontId="6" fillId="0" borderId="0" xfId="207" applyFont="1" applyAlignment="1">
      <alignment horizontal="left" vertical="center"/>
    </xf>
    <xf numFmtId="0" fontId="6" fillId="0" borderId="0" xfId="207" quotePrefix="1" applyFont="1" applyAlignment="1">
      <alignment horizontal="center" vertical="center"/>
    </xf>
    <xf numFmtId="2" fontId="6" fillId="0" borderId="0" xfId="207" applyNumberFormat="1" applyFont="1" applyAlignment="1">
      <alignment horizontal="left" vertical="center"/>
    </xf>
    <xf numFmtId="0" fontId="8" fillId="0" borderId="0" xfId="207" applyFont="1" applyAlignment="1">
      <alignment horizontal="center" vertical="center"/>
    </xf>
    <xf numFmtId="4" fontId="8" fillId="0" borderId="0" xfId="207" applyNumberFormat="1" applyFont="1" applyAlignment="1">
      <alignment horizontal="left" vertical="center"/>
    </xf>
    <xf numFmtId="0" fontId="8" fillId="33" borderId="0" xfId="104" applyFont="1" applyFill="1" applyAlignment="1">
      <alignment vertical="center"/>
    </xf>
    <xf numFmtId="0" fontId="6" fillId="0" borderId="0" xfId="104" applyFont="1" applyAlignment="1">
      <alignment vertical="center"/>
    </xf>
    <xf numFmtId="0" fontId="8" fillId="42" borderId="7" xfId="112" applyFont="1" applyFill="1" applyBorder="1" applyAlignment="1">
      <alignment horizontal="center" vertical="center" wrapText="1"/>
    </xf>
    <xf numFmtId="0" fontId="89" fillId="42" borderId="41" xfId="208" applyFont="1" applyFill="1" applyBorder="1" applyAlignment="1">
      <alignment horizontal="center" vertical="center" wrapText="1"/>
    </xf>
    <xf numFmtId="172" fontId="8" fillId="33" borderId="0" xfId="104" applyNumberFormat="1" applyFont="1" applyFill="1" applyAlignment="1">
      <alignment horizontal="right" vertical="center"/>
    </xf>
    <xf numFmtId="0" fontId="143" fillId="0" borderId="130" xfId="0" applyFont="1" applyBorder="1" applyAlignment="1">
      <alignment horizontal="center" vertical="center" wrapText="1"/>
    </xf>
    <xf numFmtId="0" fontId="141" fillId="0" borderId="130" xfId="0" applyFont="1" applyBorder="1" applyAlignment="1">
      <alignment horizontal="center" vertical="center" wrapText="1"/>
    </xf>
    <xf numFmtId="0" fontId="141" fillId="0" borderId="129" xfId="0" applyFont="1" applyBorder="1" applyAlignment="1">
      <alignment horizontal="center" vertical="center" wrapText="1"/>
    </xf>
    <xf numFmtId="0" fontId="143" fillId="0" borderId="129" xfId="0" applyFont="1" applyBorder="1" applyAlignment="1">
      <alignment horizontal="center" vertical="center" wrapText="1"/>
    </xf>
    <xf numFmtId="0" fontId="6" fillId="33" borderId="133" xfId="208" applyFont="1" applyFill="1" applyBorder="1" applyAlignment="1">
      <alignment vertical="center"/>
    </xf>
    <xf numFmtId="0" fontId="6" fillId="33" borderId="134" xfId="208" applyFont="1" applyFill="1" applyBorder="1" applyAlignment="1">
      <alignment vertical="center"/>
    </xf>
    <xf numFmtId="4" fontId="141" fillId="33" borderId="0" xfId="208" applyNumberFormat="1" applyFont="1" applyFill="1" applyAlignment="1">
      <alignment horizontal="center" vertical="center"/>
    </xf>
    <xf numFmtId="0" fontId="6" fillId="0" borderId="137" xfId="0" applyFont="1" applyBorder="1" applyAlignment="1">
      <alignment vertical="center" wrapText="1"/>
    </xf>
    <xf numFmtId="0" fontId="6" fillId="0" borderId="138" xfId="0" applyFont="1" applyBorder="1" applyAlignment="1">
      <alignment vertical="center" wrapText="1"/>
    </xf>
    <xf numFmtId="4" fontId="141" fillId="33" borderId="60" xfId="208" applyNumberFormat="1" applyFont="1" applyFill="1" applyBorder="1" applyAlignment="1">
      <alignment horizontal="center" vertical="center"/>
    </xf>
    <xf numFmtId="4" fontId="141" fillId="33" borderId="41" xfId="208" applyNumberFormat="1" applyFont="1" applyFill="1" applyBorder="1" applyAlignment="1">
      <alignment horizontal="center" vertical="center"/>
    </xf>
    <xf numFmtId="0" fontId="6" fillId="43" borderId="0" xfId="0" applyFont="1" applyFill="1" applyAlignment="1">
      <alignment horizontal="center"/>
    </xf>
    <xf numFmtId="0" fontId="6" fillId="0" borderId="119" xfId="208" applyFont="1" applyBorder="1" applyAlignment="1">
      <alignment vertical="center"/>
    </xf>
    <xf numFmtId="0" fontId="6" fillId="0" borderId="141" xfId="208" applyFont="1" applyBorder="1" applyAlignment="1">
      <alignment vertical="center"/>
    </xf>
    <xf numFmtId="0" fontId="6" fillId="0" borderId="142" xfId="208" applyFont="1" applyBorder="1" applyAlignment="1">
      <alignment vertical="center"/>
    </xf>
    <xf numFmtId="0" fontId="8" fillId="0" borderId="143" xfId="208" applyFont="1" applyBorder="1" applyAlignment="1">
      <alignment horizontal="right" vertical="center"/>
    </xf>
    <xf numFmtId="0" fontId="145" fillId="33" borderId="0" xfId="208" applyFont="1" applyFill="1" applyAlignment="1">
      <alignment vertical="center"/>
    </xf>
    <xf numFmtId="0" fontId="6" fillId="41" borderId="137" xfId="208" applyFont="1" applyFill="1" applyBorder="1" applyAlignment="1">
      <alignment vertical="center"/>
    </xf>
    <xf numFmtId="0" fontId="6" fillId="41" borderId="137" xfId="0" applyFont="1" applyFill="1" applyBorder="1"/>
    <xf numFmtId="0" fontId="6" fillId="41" borderId="138" xfId="208" applyFont="1" applyFill="1" applyBorder="1" applyAlignment="1">
      <alignment vertical="center"/>
    </xf>
    <xf numFmtId="0" fontId="141" fillId="41" borderId="137" xfId="208" applyFont="1" applyFill="1" applyBorder="1" applyAlignment="1">
      <alignment vertical="center"/>
    </xf>
    <xf numFmtId="0" fontId="141" fillId="41" borderId="138" xfId="208" applyFont="1" applyFill="1" applyBorder="1" applyAlignment="1">
      <alignment vertical="center"/>
    </xf>
    <xf numFmtId="49" fontId="99" fillId="0" borderId="0" xfId="207" quotePrefix="1" applyNumberFormat="1" applyFont="1" applyAlignment="1">
      <alignment horizontal="center" vertical="center" wrapText="1"/>
    </xf>
    <xf numFmtId="0" fontId="38" fillId="32" borderId="66" xfId="207" applyFont="1" applyFill="1" applyBorder="1" applyAlignment="1">
      <alignment horizontal="center" vertical="center"/>
    </xf>
    <xf numFmtId="0" fontId="38" fillId="32" borderId="6" xfId="207" applyFont="1" applyFill="1" applyBorder="1" applyAlignment="1">
      <alignment horizontal="center" vertical="center"/>
    </xf>
    <xf numFmtId="0" fontId="38" fillId="32" borderId="118" xfId="207" applyFont="1" applyFill="1" applyBorder="1" applyAlignment="1">
      <alignment horizontal="center" vertical="center"/>
    </xf>
    <xf numFmtId="0" fontId="16" fillId="0" borderId="0" xfId="207" applyFont="1" applyAlignment="1">
      <alignment horizontal="center" vertical="center"/>
    </xf>
    <xf numFmtId="0" fontId="16" fillId="0" borderId="98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99" xfId="0" applyFont="1" applyBorder="1" applyAlignment="1">
      <alignment horizontal="center" vertical="center"/>
    </xf>
    <xf numFmtId="0" fontId="16" fillId="0" borderId="98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99" xfId="0" applyFont="1" applyBorder="1" applyAlignment="1">
      <alignment horizontal="center" vertical="center" wrapText="1"/>
    </xf>
    <xf numFmtId="0" fontId="11" fillId="0" borderId="0" xfId="115" applyFont="1" applyAlignment="1">
      <alignment horizontal="center" vertical="center"/>
    </xf>
    <xf numFmtId="2" fontId="87" fillId="0" borderId="0" xfId="34" quotePrefix="1" applyNumberFormat="1" applyFont="1" applyAlignment="1">
      <alignment horizontal="center" vertical="center" wrapText="1"/>
    </xf>
    <xf numFmtId="0" fontId="31" fillId="33" borderId="0" xfId="246" applyFont="1" applyFill="1" applyAlignment="1">
      <alignment horizontal="left" vertical="center" wrapText="1"/>
    </xf>
    <xf numFmtId="0" fontId="31" fillId="33" borderId="60" xfId="246" applyFont="1" applyFill="1" applyBorder="1" applyAlignment="1">
      <alignment horizontal="left" vertical="center" wrapText="1"/>
    </xf>
    <xf numFmtId="0" fontId="79" fillId="23" borderId="66" xfId="112" applyFont="1" applyFill="1" applyBorder="1" applyAlignment="1">
      <alignment horizontal="center" vertical="center"/>
    </xf>
    <xf numFmtId="0" fontId="79" fillId="23" borderId="6" xfId="112" applyFont="1" applyFill="1" applyBorder="1" applyAlignment="1">
      <alignment horizontal="center" vertical="center"/>
    </xf>
    <xf numFmtId="0" fontId="79" fillId="23" borderId="118" xfId="112" applyFont="1" applyFill="1" applyBorder="1" applyAlignment="1">
      <alignment horizontal="center" vertical="center"/>
    </xf>
    <xf numFmtId="0" fontId="79" fillId="0" borderId="78" xfId="37" applyFont="1" applyBorder="1" applyAlignment="1">
      <alignment horizontal="center" vertical="center"/>
    </xf>
    <xf numFmtId="0" fontId="79" fillId="0" borderId="5" xfId="37" applyFont="1" applyBorder="1" applyAlignment="1">
      <alignment horizontal="center" vertical="center"/>
    </xf>
    <xf numFmtId="0" fontId="79" fillId="0" borderId="24" xfId="37" applyFont="1" applyBorder="1" applyAlignment="1">
      <alignment horizontal="center" vertical="center"/>
    </xf>
    <xf numFmtId="0" fontId="144" fillId="42" borderId="132" xfId="0" applyFont="1" applyFill="1" applyBorder="1" applyAlignment="1">
      <alignment horizontal="center" vertical="center" textRotation="90" wrapText="1"/>
    </xf>
    <xf numFmtId="0" fontId="144" fillId="42" borderId="41" xfId="0" applyFont="1" applyFill="1" applyBorder="1" applyAlignment="1">
      <alignment horizontal="center" vertical="center" textRotation="90" wrapText="1"/>
    </xf>
    <xf numFmtId="0" fontId="144" fillId="42" borderId="42" xfId="0" applyFont="1" applyFill="1" applyBorder="1" applyAlignment="1">
      <alignment horizontal="center" vertical="center" textRotation="90" wrapText="1"/>
    </xf>
    <xf numFmtId="0" fontId="8" fillId="42" borderId="66" xfId="112" applyFont="1" applyFill="1" applyBorder="1" applyAlignment="1">
      <alignment horizontal="center" vertical="center" wrapText="1"/>
    </xf>
    <xf numFmtId="0" fontId="8" fillId="42" borderId="6" xfId="112" applyFont="1" applyFill="1" applyBorder="1" applyAlignment="1">
      <alignment horizontal="center" vertical="center" wrapText="1"/>
    </xf>
    <xf numFmtId="0" fontId="8" fillId="42" borderId="118" xfId="112" applyFont="1" applyFill="1" applyBorder="1" applyAlignment="1">
      <alignment horizontal="center" vertical="center" wrapText="1"/>
    </xf>
    <xf numFmtId="0" fontId="146" fillId="0" borderId="0" xfId="292" applyFont="1" applyAlignment="1">
      <alignment horizontal="center" vertical="center"/>
    </xf>
    <xf numFmtId="0" fontId="6" fillId="0" borderId="0" xfId="292"/>
    <xf numFmtId="0" fontId="6" fillId="0" borderId="0" xfId="292" applyAlignment="1">
      <alignment horizontal="center" vertical="center"/>
    </xf>
    <xf numFmtId="0" fontId="126" fillId="0" borderId="0" xfId="292" applyFont="1" applyAlignment="1">
      <alignment horizontal="right" vertical="center"/>
    </xf>
    <xf numFmtId="0" fontId="126" fillId="0" borderId="0" xfId="292" applyFont="1" applyAlignment="1">
      <alignment horizontal="left" vertical="center" wrapText="1"/>
    </xf>
    <xf numFmtId="0" fontId="126" fillId="0" borderId="0" xfId="292" applyFont="1" applyAlignment="1">
      <alignment vertical="center"/>
    </xf>
    <xf numFmtId="0" fontId="126" fillId="0" borderId="0" xfId="292" applyFont="1" applyAlignment="1">
      <alignment horizontal="center" vertical="center"/>
    </xf>
    <xf numFmtId="0" fontId="6" fillId="0" borderId="0" xfId="292" applyAlignment="1">
      <alignment horizontal="left" vertical="center"/>
    </xf>
    <xf numFmtId="223" fontId="6" fillId="0" borderId="0" xfId="292" applyNumberFormat="1"/>
    <xf numFmtId="224" fontId="6" fillId="0" borderId="0" xfId="292" applyNumberFormat="1"/>
    <xf numFmtId="222" fontId="6" fillId="0" borderId="0" xfId="292" applyNumberFormat="1"/>
    <xf numFmtId="222" fontId="6" fillId="0" borderId="149" xfId="292" applyNumberFormat="1" applyBorder="1" applyAlignment="1">
      <alignment horizontal="center" vertical="center"/>
    </xf>
    <xf numFmtId="0" fontId="147" fillId="0" borderId="149" xfId="292" applyFont="1" applyBorder="1" applyAlignment="1">
      <alignment horizontal="center" vertical="center"/>
    </xf>
    <xf numFmtId="222" fontId="141" fillId="0" borderId="149" xfId="292" applyNumberFormat="1" applyFont="1" applyBorder="1" applyAlignment="1">
      <alignment horizontal="center" vertical="center"/>
    </xf>
    <xf numFmtId="0" fontId="148" fillId="42" borderId="149" xfId="292" applyFont="1" applyFill="1" applyBorder="1" applyAlignment="1">
      <alignment horizontal="center" vertical="center"/>
    </xf>
    <xf numFmtId="222" fontId="141" fillId="0" borderId="149" xfId="292" applyNumberFormat="1" applyFont="1" applyBorder="1" applyAlignment="1">
      <alignment horizontal="left" vertical="center"/>
    </xf>
    <xf numFmtId="222" fontId="141" fillId="42" borderId="149" xfId="292" applyNumberFormat="1" applyFont="1" applyFill="1" applyBorder="1" applyAlignment="1">
      <alignment horizontal="center" vertical="center"/>
    </xf>
    <xf numFmtId="222" fontId="6" fillId="0" borderId="150" xfId="292" applyNumberFormat="1" applyBorder="1" applyAlignment="1">
      <alignment horizontal="center" vertical="center"/>
    </xf>
    <xf numFmtId="0" fontId="147" fillId="0" borderId="150" xfId="292" applyFont="1" applyBorder="1" applyAlignment="1">
      <alignment horizontal="center" vertical="center"/>
    </xf>
    <xf numFmtId="0" fontId="8" fillId="0" borderId="151" xfId="292" applyFont="1" applyBorder="1" applyAlignment="1">
      <alignment horizontal="center" vertical="center"/>
    </xf>
    <xf numFmtId="222" fontId="88" fillId="0" borderId="151" xfId="292" applyNumberFormat="1" applyFont="1" applyBorder="1" applyAlignment="1">
      <alignment horizontal="center" vertical="center"/>
    </xf>
    <xf numFmtId="0" fontId="6" fillId="33" borderId="0" xfId="292" applyFill="1" applyAlignment="1">
      <alignment horizontal="left" vertical="center"/>
    </xf>
    <xf numFmtId="0" fontId="6" fillId="33" borderId="0" xfId="292" applyFill="1" applyAlignment="1">
      <alignment horizontal="center" vertical="center"/>
    </xf>
    <xf numFmtId="0" fontId="89" fillId="41" borderId="0" xfId="292" applyFont="1" applyFill="1" applyAlignment="1">
      <alignment horizontal="center" vertical="center"/>
    </xf>
    <xf numFmtId="0" fontId="89" fillId="41" borderId="0" xfId="292" applyFont="1" applyFill="1" applyAlignment="1">
      <alignment horizontal="left" vertical="center"/>
    </xf>
    <xf numFmtId="0" fontId="89" fillId="41" borderId="0" xfId="292" applyFont="1" applyFill="1"/>
    <xf numFmtId="222" fontId="6" fillId="0" borderId="152" xfId="292" applyNumberFormat="1" applyBorder="1" applyAlignment="1">
      <alignment horizontal="center" vertical="center"/>
    </xf>
    <xf numFmtId="0" fontId="147" fillId="0" borderId="152" xfId="292" applyFont="1" applyBorder="1" applyAlignment="1">
      <alignment horizontal="center" vertical="center"/>
    </xf>
    <xf numFmtId="0" fontId="3" fillId="0" borderId="151" xfId="1" quotePrefix="1" applyFont="1" applyFill="1" applyBorder="1" applyAlignment="1" applyProtection="1">
      <alignment horizontal="center" vertical="center" wrapText="1"/>
      <protection locked="0"/>
    </xf>
    <xf numFmtId="0" fontId="3" fillId="0" borderId="151" xfId="1" quotePrefix="1" applyFont="1" applyFill="1" applyBorder="1" applyAlignment="1" applyProtection="1">
      <alignment horizontal="center" vertical="center" textRotation="90" wrapText="1"/>
      <protection locked="0"/>
    </xf>
    <xf numFmtId="0" fontId="3" fillId="0" borderId="151" xfId="1" quotePrefix="1" applyFont="1" applyFill="1" applyBorder="1" applyAlignment="1" applyProtection="1">
      <alignment horizontal="center" vertical="center" textRotation="90" wrapText="1"/>
      <protection locked="0"/>
    </xf>
  </cellXfs>
  <cellStyles count="352">
    <cellStyle name="20% - Énfasis1" xfId="2" builtinId="30" customBuiltin="1"/>
    <cellStyle name="20% - Énfasis2" xfId="3" builtinId="34" customBuiltin="1"/>
    <cellStyle name="20% - Énfasis3" xfId="4" builtinId="38" customBuiltin="1"/>
    <cellStyle name="20% - Énfasis4" xfId="5" builtinId="42" customBuiltin="1"/>
    <cellStyle name="20% - Énfasis5" xfId="6" builtinId="46" customBuiltin="1"/>
    <cellStyle name="20% - Énfasis6" xfId="7" builtinId="50" customBuiltin="1"/>
    <cellStyle name="40% - Énfasis1" xfId="8" builtinId="31" customBuiltin="1"/>
    <cellStyle name="40% - Énfasis2" xfId="9" builtinId="35" customBuiltin="1"/>
    <cellStyle name="40% - Énfasis3" xfId="10" builtinId="39" customBuiltin="1"/>
    <cellStyle name="40% - Énfasis4" xfId="11" builtinId="43" customBuiltin="1"/>
    <cellStyle name="40% - Énfasis5" xfId="12" builtinId="47" customBuiltin="1"/>
    <cellStyle name="40% - Énfasis6" xfId="13" builtinId="51" customBuiltin="1"/>
    <cellStyle name="60% - Énfasis1" xfId="14" builtinId="32" customBuiltin="1"/>
    <cellStyle name="60% - Énfasis2" xfId="15" builtinId="36" customBuiltin="1"/>
    <cellStyle name="60% - Énfasis3" xfId="16" builtinId="40" customBuiltin="1"/>
    <cellStyle name="60% - Énfasis4" xfId="17" builtinId="44" customBuiltin="1"/>
    <cellStyle name="60% - Énfasis5" xfId="18" builtinId="48" customBuiltin="1"/>
    <cellStyle name="60% - Énfasis6" xfId="19" builtinId="52" customBuiltin="1"/>
    <cellStyle name="args.style" xfId="20" xr:uid="{00000000-0005-0000-0000-000012000000}"/>
    <cellStyle name="Bueno 2" xfId="296" xr:uid="{00000000-0005-0000-0000-000013000000}"/>
    <cellStyle name="ç" xfId="21" xr:uid="{00000000-0005-0000-0000-000014000000}"/>
    <cellStyle name="ç 2" xfId="213" xr:uid="{00000000-0005-0000-0000-000015000000}"/>
    <cellStyle name="ç_Anex. 1.1 al 2.18-prefact" xfId="22" xr:uid="{00000000-0005-0000-0000-000016000000}"/>
    <cellStyle name="ç_Anex. 1.1 al 2.18-prefact 2" xfId="214" xr:uid="{00000000-0005-0000-0000-000017000000}"/>
    <cellStyle name="ç_criterios" xfId="23" xr:uid="{00000000-0005-0000-0000-000018000000}"/>
    <cellStyle name="ç_criterios 2" xfId="215" xr:uid="{00000000-0005-0000-0000-000019000000}"/>
    <cellStyle name="ç_D2.01-D2.06-D2.07 Res Gen -Gastos Gen-Estd Ing Proy 2" xfId="24" xr:uid="{00000000-0005-0000-0000-00001A000000}"/>
    <cellStyle name="ç_D2.01-D2.06-D2.07 Res Gen -Gastos Gen-Estd Ing Proy 2 2" xfId="216" xr:uid="{00000000-0005-0000-0000-00001B000000}"/>
    <cellStyle name="ç_Datos Generales-ok" xfId="25" xr:uid="{00000000-0005-0000-0000-00001C000000}"/>
    <cellStyle name="ç_Datos Generales-ok 2" xfId="217" xr:uid="{00000000-0005-0000-0000-00001D000000}"/>
    <cellStyle name="ç_Indicadores Mercado-ok-Amazonas" xfId="26" xr:uid="{00000000-0005-0000-0000-00001E000000}"/>
    <cellStyle name="ç_Indicadores Mercado-ok-Amazonas 2" xfId="218" xr:uid="{00000000-0005-0000-0000-00001F000000}"/>
    <cellStyle name="ç_Libro2" xfId="27" xr:uid="{00000000-0005-0000-0000-000020000000}"/>
    <cellStyle name="ç_Libro2 2" xfId="219" xr:uid="{00000000-0005-0000-0000-000021000000}"/>
    <cellStyle name="ç_Marco Logico" xfId="28" xr:uid="{00000000-0005-0000-0000-000022000000}"/>
    <cellStyle name="ç_Marco Logico 2" xfId="220" xr:uid="{00000000-0005-0000-0000-000023000000}"/>
    <cellStyle name="ç_Resumen de Gastos Generales" xfId="29" xr:uid="{00000000-0005-0000-0000-000024000000}"/>
    <cellStyle name="ç_Resumen de Gastos Generales 2" xfId="221" xr:uid="{00000000-0005-0000-0000-000025000000}"/>
    <cellStyle name="ç_xx" xfId="30" xr:uid="{00000000-0005-0000-0000-000026000000}"/>
    <cellStyle name="ç_xx_Resumen Gastos Generale E.R. GRUPO 2" xfId="31" xr:uid="{00000000-0005-0000-0000-000027000000}"/>
    <cellStyle name="ç_xx_Resumen Gastos Generale E.R. GRUPO 2 2" xfId="222" xr:uid="{00000000-0005-0000-0000-000028000000}"/>
    <cellStyle name="Calc Currency (0)" xfId="32" xr:uid="{00000000-0005-0000-0000-000029000000}"/>
    <cellStyle name="Cálculo" xfId="33" builtinId="22" customBuiltin="1"/>
    <cellStyle name="Cancel" xfId="34" xr:uid="{00000000-0005-0000-0000-00002B000000}"/>
    <cellStyle name="Cancel 10" xfId="207" xr:uid="{00000000-0005-0000-0000-00002C000000}"/>
    <cellStyle name="Cancel 2" xfId="35" xr:uid="{00000000-0005-0000-0000-00002D000000}"/>
    <cellStyle name="Cancel 2 2" xfId="223" xr:uid="{00000000-0005-0000-0000-00002E000000}"/>
    <cellStyle name="Cancel 2 2 2" xfId="288" xr:uid="{00000000-0005-0000-0000-00002F000000}"/>
    <cellStyle name="Cancel_Armados" xfId="36" xr:uid="{00000000-0005-0000-0000-000030000000}"/>
    <cellStyle name="Cancel_Resumen RS Grupo 3" xfId="37" xr:uid="{00000000-0005-0000-0000-000031000000}"/>
    <cellStyle name="Celda de comprobación" xfId="38" builtinId="23" customBuiltin="1"/>
    <cellStyle name="Celda vinculada" xfId="39" builtinId="24" customBuiltin="1"/>
    <cellStyle name="Comma" xfId="293" xr:uid="{00000000-0005-0000-0000-000034000000}"/>
    <cellStyle name="Comma 2" xfId="297" xr:uid="{00000000-0005-0000-0000-000036000000}"/>
    <cellStyle name="Comma 3" xfId="325" xr:uid="{00000000-0005-0000-0000-000037000000}"/>
    <cellStyle name="Comma 4" xfId="339" xr:uid="{00000000-0005-0000-0000-000038000000}"/>
    <cellStyle name="Comma0 - Style1" xfId="40" xr:uid="{00000000-0005-0000-0000-00003A000000}"/>
    <cellStyle name="Comma0 - Style2" xfId="41" xr:uid="{00000000-0005-0000-0000-00003B000000}"/>
    <cellStyle name="Comma1 - Estilo1" xfId="42" xr:uid="{00000000-0005-0000-0000-00003C000000}"/>
    <cellStyle name="Comma1 - Style1" xfId="43" xr:uid="{00000000-0005-0000-0000-00003D000000}"/>
    <cellStyle name="Comma1 - Style2" xfId="44" xr:uid="{00000000-0005-0000-0000-00003E000000}"/>
    <cellStyle name="Copied" xfId="45" xr:uid="{00000000-0005-0000-0000-00003F000000}"/>
    <cellStyle name="COST1" xfId="46" xr:uid="{00000000-0005-0000-0000-000040000000}"/>
    <cellStyle name="Currency" xfId="47" xr:uid="{00000000-0005-0000-0000-000041000000}"/>
    <cellStyle name="Currency 2" xfId="298" xr:uid="{00000000-0005-0000-0000-000043000000}"/>
    <cellStyle name="Currency 3" xfId="326" xr:uid="{00000000-0005-0000-0000-000044000000}"/>
    <cellStyle name="Currency 4" xfId="340" xr:uid="{00000000-0005-0000-0000-000045000000}"/>
    <cellStyle name="Date" xfId="48" xr:uid="{00000000-0005-0000-0000-000047000000}"/>
    <cellStyle name="Date 2" xfId="299" xr:uid="{00000000-0005-0000-0000-000048000000}"/>
    <cellStyle name="DIA" xfId="49" xr:uid="{00000000-0005-0000-0000-000049000000}"/>
    <cellStyle name="DIA 2" xfId="224" xr:uid="{00000000-0005-0000-0000-00004A000000}"/>
    <cellStyle name="Dia 3" xfId="300" xr:uid="{00000000-0005-0000-0000-00004B000000}"/>
    <cellStyle name="Dia 4" xfId="327" xr:uid="{00000000-0005-0000-0000-00004C000000}"/>
    <cellStyle name="Dia 5" xfId="341" xr:uid="{00000000-0005-0000-0000-00004D000000}"/>
    <cellStyle name="ENCABEZ1" xfId="50" xr:uid="{00000000-0005-0000-0000-00004E000000}"/>
    <cellStyle name="Encabez1 2" xfId="301" xr:uid="{00000000-0005-0000-0000-00004F000000}"/>
    <cellStyle name="ENCABEZ2" xfId="51" xr:uid="{00000000-0005-0000-0000-000050000000}"/>
    <cellStyle name="Encabez2 2" xfId="302" xr:uid="{00000000-0005-0000-0000-000051000000}"/>
    <cellStyle name="Encabezado 1 2" xfId="321" xr:uid="{00000000-0005-0000-0000-000052000000}"/>
    <cellStyle name="Encabezado 4" xfId="52" builtinId="19" customBuiltin="1"/>
    <cellStyle name="Énfasis1" xfId="53" builtinId="29" customBuiltin="1"/>
    <cellStyle name="Énfasis2" xfId="54" builtinId="33" customBuiltin="1"/>
    <cellStyle name="Énfasis3" xfId="55" builtinId="37" customBuiltin="1"/>
    <cellStyle name="Énfasis4" xfId="56" builtinId="41" customBuiltin="1"/>
    <cellStyle name="Énfasis5" xfId="57" builtinId="45" customBuiltin="1"/>
    <cellStyle name="Énfasis6" xfId="58" builtinId="49" customBuiltin="1"/>
    <cellStyle name="Entered" xfId="59" xr:uid="{00000000-0005-0000-0000-00005A000000}"/>
    <cellStyle name="Entrada" xfId="60" builtinId="20" customBuiltin="1"/>
    <cellStyle name="EST1" xfId="61" xr:uid="{00000000-0005-0000-0000-00005C000000}"/>
    <cellStyle name="Euro" xfId="62" xr:uid="{00000000-0005-0000-0000-00005D000000}"/>
    <cellStyle name="Euro 2" xfId="303" xr:uid="{00000000-0005-0000-0000-00005E000000}"/>
    <cellStyle name="F2" xfId="63" xr:uid="{00000000-0005-0000-0000-00005F000000}"/>
    <cellStyle name="F2 - Estilo1" xfId="64" xr:uid="{00000000-0005-0000-0000-000060000000}"/>
    <cellStyle name="F2 - Estilo1 2" xfId="226" xr:uid="{00000000-0005-0000-0000-000061000000}"/>
    <cellStyle name="F2 2" xfId="225" xr:uid="{00000000-0005-0000-0000-000062000000}"/>
    <cellStyle name="F2 3" xfId="252" xr:uid="{00000000-0005-0000-0000-000063000000}"/>
    <cellStyle name="F2 4" xfId="304" xr:uid="{00000000-0005-0000-0000-000064000000}"/>
    <cellStyle name="F2 5" xfId="328" xr:uid="{00000000-0005-0000-0000-000065000000}"/>
    <cellStyle name="F2 6" xfId="342" xr:uid="{00000000-0005-0000-0000-000066000000}"/>
    <cellStyle name="F2_00 Valor Referencial LP-RP-RS PSE CHINCHEROS II" xfId="65" xr:uid="{00000000-0005-0000-0000-000067000000}"/>
    <cellStyle name="F3" xfId="66" xr:uid="{00000000-0005-0000-0000-000068000000}"/>
    <cellStyle name="F3 - Estilo2" xfId="67" xr:uid="{00000000-0005-0000-0000-000069000000}"/>
    <cellStyle name="F3 - Estilo2 2" xfId="228" xr:uid="{00000000-0005-0000-0000-00006A000000}"/>
    <cellStyle name="F3 2" xfId="227" xr:uid="{00000000-0005-0000-0000-00006B000000}"/>
    <cellStyle name="F3 3" xfId="251" xr:uid="{00000000-0005-0000-0000-00006C000000}"/>
    <cellStyle name="F3 4" xfId="305" xr:uid="{00000000-0005-0000-0000-00006D000000}"/>
    <cellStyle name="F3 5" xfId="329" xr:uid="{00000000-0005-0000-0000-00006E000000}"/>
    <cellStyle name="F3 6" xfId="343" xr:uid="{00000000-0005-0000-0000-00006F000000}"/>
    <cellStyle name="F3_00 Valor Referencial LP-RP-RS PSE CHINCHEROS II" xfId="68" xr:uid="{00000000-0005-0000-0000-000070000000}"/>
    <cellStyle name="F4" xfId="69" xr:uid="{00000000-0005-0000-0000-000071000000}"/>
    <cellStyle name="F4 - Estilo3" xfId="70" xr:uid="{00000000-0005-0000-0000-000072000000}"/>
    <cellStyle name="F4 - Estilo3 2" xfId="230" xr:uid="{00000000-0005-0000-0000-000073000000}"/>
    <cellStyle name="F4 2" xfId="229" xr:uid="{00000000-0005-0000-0000-000074000000}"/>
    <cellStyle name="F4 3" xfId="250" xr:uid="{00000000-0005-0000-0000-000075000000}"/>
    <cellStyle name="F4 4" xfId="306" xr:uid="{00000000-0005-0000-0000-000076000000}"/>
    <cellStyle name="F4 5" xfId="330" xr:uid="{00000000-0005-0000-0000-000077000000}"/>
    <cellStyle name="F4 6" xfId="344" xr:uid="{00000000-0005-0000-0000-000078000000}"/>
    <cellStyle name="F4_00 Valor Referencial LP-RP-RS PSE CHINCHEROS II" xfId="71" xr:uid="{00000000-0005-0000-0000-000079000000}"/>
    <cellStyle name="F5" xfId="72" xr:uid="{00000000-0005-0000-0000-00007A000000}"/>
    <cellStyle name="F5 - Estilo4" xfId="73" xr:uid="{00000000-0005-0000-0000-00007B000000}"/>
    <cellStyle name="F5 - Estilo4 2" xfId="232" xr:uid="{00000000-0005-0000-0000-00007C000000}"/>
    <cellStyle name="F5 2" xfId="231" xr:uid="{00000000-0005-0000-0000-00007D000000}"/>
    <cellStyle name="F5 3" xfId="249" xr:uid="{00000000-0005-0000-0000-00007E000000}"/>
    <cellStyle name="F5 4" xfId="307" xr:uid="{00000000-0005-0000-0000-00007F000000}"/>
    <cellStyle name="F5 5" xfId="331" xr:uid="{00000000-0005-0000-0000-000080000000}"/>
    <cellStyle name="F5 6" xfId="345" xr:uid="{00000000-0005-0000-0000-000081000000}"/>
    <cellStyle name="F5_00 Valor Referencial LP-RP-RS PSE CHINCHEROS II" xfId="74" xr:uid="{00000000-0005-0000-0000-000082000000}"/>
    <cellStyle name="F6" xfId="75" xr:uid="{00000000-0005-0000-0000-000083000000}"/>
    <cellStyle name="F6 - Estilo5" xfId="76" xr:uid="{00000000-0005-0000-0000-000084000000}"/>
    <cellStyle name="F6 - Estilo5 2" xfId="234" xr:uid="{00000000-0005-0000-0000-000085000000}"/>
    <cellStyle name="F6 2" xfId="233" xr:uid="{00000000-0005-0000-0000-000086000000}"/>
    <cellStyle name="F6 3" xfId="245" xr:uid="{00000000-0005-0000-0000-000087000000}"/>
    <cellStyle name="F6 4" xfId="308" xr:uid="{00000000-0005-0000-0000-000088000000}"/>
    <cellStyle name="F6 5" xfId="332" xr:uid="{00000000-0005-0000-0000-000089000000}"/>
    <cellStyle name="F6 6" xfId="346" xr:uid="{00000000-0005-0000-0000-00008A000000}"/>
    <cellStyle name="F6_00 Valor Referencial LP-RP-RS PSE CHINCHEROS II" xfId="77" xr:uid="{00000000-0005-0000-0000-00008B000000}"/>
    <cellStyle name="F7" xfId="78" xr:uid="{00000000-0005-0000-0000-00008C000000}"/>
    <cellStyle name="F7 - Estilo6" xfId="79" xr:uid="{00000000-0005-0000-0000-00008D000000}"/>
    <cellStyle name="F7 - Estilo6 2" xfId="236" xr:uid="{00000000-0005-0000-0000-00008E000000}"/>
    <cellStyle name="F7 2" xfId="235" xr:uid="{00000000-0005-0000-0000-00008F000000}"/>
    <cellStyle name="F7 3" xfId="243" xr:uid="{00000000-0005-0000-0000-000090000000}"/>
    <cellStyle name="F7 4" xfId="309" xr:uid="{00000000-0005-0000-0000-000091000000}"/>
    <cellStyle name="F7 5" xfId="333" xr:uid="{00000000-0005-0000-0000-000092000000}"/>
    <cellStyle name="F7 6" xfId="347" xr:uid="{00000000-0005-0000-0000-000093000000}"/>
    <cellStyle name="F7_00 Valor Referencial LP-RP-RS PSE CHINCHEROS II" xfId="80" xr:uid="{00000000-0005-0000-0000-000094000000}"/>
    <cellStyle name="F8" xfId="81" xr:uid="{00000000-0005-0000-0000-000095000000}"/>
    <cellStyle name="F8 2" xfId="237" xr:uid="{00000000-0005-0000-0000-000096000000}"/>
    <cellStyle name="F8 3" xfId="310" xr:uid="{00000000-0005-0000-0000-000097000000}"/>
    <cellStyle name="FIJO" xfId="82" xr:uid="{00000000-0005-0000-0000-000098000000}"/>
    <cellStyle name="FIJO 2" xfId="238" xr:uid="{00000000-0005-0000-0000-000099000000}"/>
    <cellStyle name="Fijo 3" xfId="311" xr:uid="{00000000-0005-0000-0000-00009A000000}"/>
    <cellStyle name="Fijo 4" xfId="334" xr:uid="{00000000-0005-0000-0000-00009B000000}"/>
    <cellStyle name="Fijo 5" xfId="348" xr:uid="{00000000-0005-0000-0000-00009C000000}"/>
    <cellStyle name="FINANCIERO" xfId="83" xr:uid="{00000000-0005-0000-0000-00009D000000}"/>
    <cellStyle name="FINANCIERO 2" xfId="239" xr:uid="{00000000-0005-0000-0000-00009E000000}"/>
    <cellStyle name="Financiero 3" xfId="312" xr:uid="{00000000-0005-0000-0000-00009F000000}"/>
    <cellStyle name="Financiero 4" xfId="335" xr:uid="{00000000-0005-0000-0000-0000A0000000}"/>
    <cellStyle name="Financiero 5" xfId="349" xr:uid="{00000000-0005-0000-0000-0000A1000000}"/>
    <cellStyle name="Fixed" xfId="84" xr:uid="{00000000-0005-0000-0000-0000A2000000}"/>
    <cellStyle name="Fixed 2" xfId="313" xr:uid="{00000000-0005-0000-0000-0000A3000000}"/>
    <cellStyle name="Grey" xfId="85" xr:uid="{00000000-0005-0000-0000-0000A4000000}"/>
    <cellStyle name="Header1" xfId="86" xr:uid="{00000000-0005-0000-0000-0000A5000000}"/>
    <cellStyle name="Header1 2" xfId="240" xr:uid="{00000000-0005-0000-0000-0000A6000000}"/>
    <cellStyle name="Header2" xfId="87" xr:uid="{00000000-0005-0000-0000-0000A7000000}"/>
    <cellStyle name="Header2 2" xfId="241" xr:uid="{00000000-0005-0000-0000-0000A8000000}"/>
    <cellStyle name="Heading1" xfId="88" xr:uid="{00000000-0005-0000-0000-0000A9000000}"/>
    <cellStyle name="Heading1 2" xfId="314" xr:uid="{00000000-0005-0000-0000-0000AA000000}"/>
    <cellStyle name="Heading2" xfId="89" xr:uid="{00000000-0005-0000-0000-0000AB000000}"/>
    <cellStyle name="Heading2 2" xfId="315" xr:uid="{00000000-0005-0000-0000-0000AC000000}"/>
    <cellStyle name="Incorrecto" xfId="90" builtinId="27" customBuiltin="1"/>
    <cellStyle name="Input [yellow]" xfId="91" xr:uid="{00000000-0005-0000-0000-0000AE000000}"/>
    <cellStyle name="Input Cells" xfId="92" xr:uid="{00000000-0005-0000-0000-0000AF000000}"/>
    <cellStyle name="Linked Cells" xfId="93" xr:uid="{00000000-0005-0000-0000-0000B0000000}"/>
    <cellStyle name="Millares [0]" xfId="294" builtinId="6"/>
    <cellStyle name="Millares [0]_Gastos Generales-Azángaro_UU-GG-MO-ARANCELES_COBRIZA" xfId="94" xr:uid="{00000000-0005-0000-0000-0000B3000000}"/>
    <cellStyle name="Millares 2" xfId="316" xr:uid="{00000000-0005-0000-0000-0000B4000000}"/>
    <cellStyle name="Millares 3" xfId="95" xr:uid="{00000000-0005-0000-0000-0000B5000000}"/>
    <cellStyle name="Millares 3 2" xfId="242" xr:uid="{00000000-0005-0000-0000-0000B6000000}"/>
    <cellStyle name="Millares 4" xfId="336" xr:uid="{00000000-0005-0000-0000-0000B7000000}"/>
    <cellStyle name="Millares 5" xfId="350" xr:uid="{00000000-0005-0000-0000-0000B8000000}"/>
    <cellStyle name="Milliers [0]_!!!GO" xfId="96" xr:uid="{00000000-0005-0000-0000-0000B9000000}"/>
    <cellStyle name="Milliers_!!!GO" xfId="97" xr:uid="{00000000-0005-0000-0000-0000BA000000}"/>
    <cellStyle name="Monétaire [0]_!!!GO" xfId="98" xr:uid="{00000000-0005-0000-0000-0000BB000000}"/>
    <cellStyle name="Monétaire_!!!GO" xfId="99" xr:uid="{00000000-0005-0000-0000-0000BC000000}"/>
    <cellStyle name="MONETARIO" xfId="100" xr:uid="{00000000-0005-0000-0000-0000BD000000}"/>
    <cellStyle name="MONETARIO 2" xfId="244" xr:uid="{00000000-0005-0000-0000-0000BE000000}"/>
    <cellStyle name="Monetario 3" xfId="317" xr:uid="{00000000-0005-0000-0000-0000BF000000}"/>
    <cellStyle name="Monetario 4" xfId="337" xr:uid="{00000000-0005-0000-0000-0000C0000000}"/>
    <cellStyle name="Monetario 5" xfId="351" xr:uid="{00000000-0005-0000-0000-0000C1000000}"/>
    <cellStyle name="Neutral" xfId="101" builtinId="28" customBuiltin="1"/>
    <cellStyle name="Normal" xfId="0" builtinId="0"/>
    <cellStyle name="Normal - Style1" xfId="102" xr:uid="{00000000-0005-0000-0000-0000C4000000}"/>
    <cellStyle name="Normal - Style1 2 2" xfId="292" xr:uid="{00000000-0005-0000-0000-0000C5000000}"/>
    <cellStyle name="Normal 10" xfId="103" xr:uid="{00000000-0005-0000-0000-0000C6000000}"/>
    <cellStyle name="Normal 10 2" xfId="287" xr:uid="{00000000-0005-0000-0000-0000C7000000}"/>
    <cellStyle name="Normal 10 5" xfId="286" xr:uid="{00000000-0005-0000-0000-0000C8000000}"/>
    <cellStyle name="Normal 11" xfId="323" xr:uid="{00000000-0005-0000-0000-0000C9000000}"/>
    <cellStyle name="Normal 12" xfId="324" xr:uid="{00000000-0005-0000-0000-0000CA000000}"/>
    <cellStyle name="Normal 2" xfId="104" xr:uid="{00000000-0005-0000-0000-0000CB000000}"/>
    <cellStyle name="Normal 2 2" xfId="208" xr:uid="{00000000-0005-0000-0000-0000CC000000}"/>
    <cellStyle name="Normal 2 2 2" xfId="247" xr:uid="{00000000-0005-0000-0000-0000CD000000}"/>
    <cellStyle name="Normal 2 3" xfId="246" xr:uid="{00000000-0005-0000-0000-0000CE000000}"/>
    <cellStyle name="Normal 3" xfId="105" xr:uid="{00000000-0005-0000-0000-0000CF000000}"/>
    <cellStyle name="Normal 3 2" xfId="248" xr:uid="{00000000-0005-0000-0000-0000D0000000}"/>
    <cellStyle name="Normal 3 3" xfId="284" xr:uid="{00000000-0005-0000-0000-0000D1000000}"/>
    <cellStyle name="Normal 4" xfId="209" xr:uid="{00000000-0005-0000-0000-0000D2000000}"/>
    <cellStyle name="Normal 5" xfId="106" xr:uid="{00000000-0005-0000-0000-0000D3000000}"/>
    <cellStyle name="Normal 6" xfId="211" xr:uid="{00000000-0005-0000-0000-0000D4000000}"/>
    <cellStyle name="Normal 7" xfId="283" xr:uid="{00000000-0005-0000-0000-0000D5000000}"/>
    <cellStyle name="Normal 8" xfId="289" xr:uid="{00000000-0005-0000-0000-0000D6000000}"/>
    <cellStyle name="Normal 9" xfId="295" xr:uid="{00000000-0005-0000-0000-0000D7000000}"/>
    <cellStyle name="Normal_APU - LINEAS Y REDES PRIMARIAS" xfId="107" xr:uid="{00000000-0005-0000-0000-0000D8000000}"/>
    <cellStyle name="Normal_APU - REDES SECUNDARIAS" xfId="108" xr:uid="{00000000-0005-0000-0000-0000D9000000}"/>
    <cellStyle name="Normal_APU REDES SECUNDARIAS" xfId="109" xr:uid="{00000000-0005-0000-0000-0000DA000000}"/>
    <cellStyle name="Normal_APU-LINE" xfId="110" xr:uid="{00000000-0005-0000-0000-0000DB000000}"/>
    <cellStyle name="Normal_APU-LP_00 Valor Referencial LP-RP-RS PSE CHINCHEROS II" xfId="111" xr:uid="{00000000-0005-0000-0000-0000DC000000}"/>
    <cellStyle name="Normal_FORMATO" xfId="112" xr:uid="{00000000-0005-0000-0000-0000DD000000}"/>
    <cellStyle name="Normal_Hoja1_5.0 GG-NUEVO-CHAUPIHUARANGA_UU-GG-MO-ARANCELES_COBRIZA" xfId="113" xr:uid="{00000000-0005-0000-0000-0000DE000000}"/>
    <cellStyle name="Normal_Libro1" xfId="290" xr:uid="{00000000-0005-0000-0000-0000DF000000}"/>
    <cellStyle name="Normal_Libro1_UU-GG-MO-ARANCELES_COBRIZA" xfId="114" xr:uid="{00000000-0005-0000-0000-0000E0000000}"/>
    <cellStyle name="Normal_M y P Suministro S.E." xfId="115" xr:uid="{00000000-0005-0000-0000-0000E1000000}"/>
    <cellStyle name="Normal_METRADOR" xfId="116" xr:uid="{00000000-0005-0000-0000-0000E2000000}"/>
    <cellStyle name="Normal_-Presupuesto RP  Proy  1" xfId="117" xr:uid="{00000000-0005-0000-0000-0000E3000000}"/>
    <cellStyle name="Normal_Presupuesto-RP Villa Rica" xfId="118" xr:uid="{00000000-0005-0000-0000-0000E4000000}"/>
    <cellStyle name="Normal_Resumen RS Grupo 3" xfId="119" xr:uid="{00000000-0005-0000-0000-0000E5000000}"/>
    <cellStyle name="Normal_VALOR REFER. ELET_RURAL GRUPO 2" xfId="120" xr:uid="{00000000-0005-0000-0000-0000E6000000}"/>
    <cellStyle name="Normal_VALOR_REFERENCIAL_PSE_AZANGARO_IV-OLC 2" xfId="212" xr:uid="{00000000-0005-0000-0000-0000E7000000}"/>
    <cellStyle name="Notas" xfId="121" builtinId="10" customBuiltin="1"/>
    <cellStyle name="Notas 2" xfId="318" xr:uid="{00000000-0005-0000-0000-0000E9000000}"/>
    <cellStyle name="Œ…‹æØ‚è [0.00]_!!!GO" xfId="122" xr:uid="{00000000-0005-0000-0000-0000EA000000}"/>
    <cellStyle name="Œ…‹æØ‚è_!!!GO" xfId="123" xr:uid="{00000000-0005-0000-0000-0000EB000000}"/>
    <cellStyle name="per.style" xfId="124" xr:uid="{00000000-0005-0000-0000-0000EC000000}"/>
    <cellStyle name="Percent" xfId="127" xr:uid="{00000000-0005-0000-0000-0000ED000000}"/>
    <cellStyle name="Percent [2]" xfId="125" xr:uid="{00000000-0005-0000-0000-0000EE000000}"/>
    <cellStyle name="Percent 2" xfId="319" xr:uid="{00000000-0005-0000-0000-0000EF000000}"/>
    <cellStyle name="Percent 3" xfId="338" xr:uid="{00000000-0005-0000-0000-0000F0000000}"/>
    <cellStyle name="Percent 4" xfId="352" xr:uid="{00000000-0005-0000-0000-0000F1000000}"/>
    <cellStyle name="Percent_00 Valor Referencial LP-RP-RS PSE CHINCHEROS II" xfId="126" xr:uid="{00000000-0005-0000-0000-0000F2000000}"/>
    <cellStyle name="Porcentaje 2" xfId="128" xr:uid="{00000000-0005-0000-0000-0000F4000000}"/>
    <cellStyle name="PORCENTAJE 3" xfId="210" xr:uid="{00000000-0005-0000-0000-0000F5000000}"/>
    <cellStyle name="PORCENTAJE 4" xfId="291" xr:uid="{00000000-0005-0000-0000-0000F6000000}"/>
    <cellStyle name="Porcentual 2" xfId="285" xr:uid="{00000000-0005-0000-0000-0000F7000000}"/>
    <cellStyle name="pricing" xfId="129" xr:uid="{00000000-0005-0000-0000-0000F8000000}"/>
    <cellStyle name="PSChar" xfId="130" xr:uid="{00000000-0005-0000-0000-0000F9000000}"/>
    <cellStyle name="R" xfId="131" xr:uid="{00000000-0005-0000-0000-0000FA000000}"/>
    <cellStyle name="R_00 Valor Referencial LP-RP-RS PSE CHINCHEROS II" xfId="132" xr:uid="{00000000-0005-0000-0000-0000FB000000}"/>
    <cellStyle name="R_00 Valor Referencial LP-RP-RS PSE CHINCHEROS II 2" xfId="253" xr:uid="{00000000-0005-0000-0000-0000FC000000}"/>
    <cellStyle name="R_00 Valor Referencial LP-RP-RS PSE CHINCHEROS II_03_Valor Referencial_Grupo 8" xfId="133" xr:uid="{00000000-0005-0000-0000-0000FD000000}"/>
    <cellStyle name="R_05_VALOR REFERENCIAL_Jimbe Pamparomas" xfId="134" xr:uid="{00000000-0005-0000-0000-0000FE000000}"/>
    <cellStyle name="R_1. Presup RS ZONA NORTE - GRUPO 1" xfId="135" xr:uid="{00000000-0005-0000-0000-0000FF000000}"/>
    <cellStyle name="R_1. Presup RS ZONA NORTE - GRUPO 1 2" xfId="254" xr:uid="{00000000-0005-0000-0000-000000010000}"/>
    <cellStyle name="R_1. Presup RS ZONA NORTE - GRUPO 1_03_Valor Referencial_Grupo 8" xfId="136" xr:uid="{00000000-0005-0000-0000-000001010000}"/>
    <cellStyle name="R_47 PROYECTOS" xfId="320" xr:uid="{00000000-0005-0000-0000-000002010000}"/>
    <cellStyle name="R_7.2.3 a 7.2.6-SER San Francisco IV Etapa ok" xfId="137" xr:uid="{00000000-0005-0000-0000-000003010000}"/>
    <cellStyle name="R_7.2.3 a 7.2.6-SER San Francisco IV Etapa ok 2" xfId="255" xr:uid="{00000000-0005-0000-0000-000004010000}"/>
    <cellStyle name="R_7.2.3 a 7.2.6-SER San Francisco IV Etapa ok_03_Valor Referencial_Grupo 8" xfId="138" xr:uid="{00000000-0005-0000-0000-000005010000}"/>
    <cellStyle name="R_Anex. 1.1 al 2.18-prefact" xfId="139" xr:uid="{00000000-0005-0000-0000-000006010000}"/>
    <cellStyle name="R_Anex. 1.1 al 2.18-prefact 2" xfId="256" xr:uid="{00000000-0005-0000-0000-000007010000}"/>
    <cellStyle name="R_Anex. 1.1 al 2.18-prefact_03_Valor Referencial_Grupo 8" xfId="140" xr:uid="{00000000-0005-0000-0000-000008010000}"/>
    <cellStyle name="R_Anexo 6.1 y 6.2 - Suministro LP RP RS" xfId="141" xr:uid="{00000000-0005-0000-0000-000009010000}"/>
    <cellStyle name="R_Anexo 6.1 y 6.2 - Suministro LP RP RS_Resumen Gastos Generale E.R. GRUPO 2" xfId="142" xr:uid="{00000000-0005-0000-0000-00000A010000}"/>
    <cellStyle name="R_Anexo 6.1 y 6.2 - Suministro LP RP RS_Resumen Gastos Generale E.R. GRUPO 2 2" xfId="257" xr:uid="{00000000-0005-0000-0000-00000B010000}"/>
    <cellStyle name="R_Anexo 6.1 y 6.2 - Suministro LP RP RS_Resumen Gastos Generale E.R. GRUPO 2_03_Valor Referencial_Grupo 8" xfId="143" xr:uid="{00000000-0005-0000-0000-00000C010000}"/>
    <cellStyle name="R_criterios" xfId="144" xr:uid="{00000000-0005-0000-0000-00000D010000}"/>
    <cellStyle name="R_Datos de Entrada Evaluacion" xfId="145" xr:uid="{00000000-0005-0000-0000-00000E010000}"/>
    <cellStyle name="R_Datos de Entrada Evaluacion 2" xfId="258" xr:uid="{00000000-0005-0000-0000-00000F010000}"/>
    <cellStyle name="R_Datos de Entrada Evaluacion_03_Valor Referencial_Grupo 8" xfId="146" xr:uid="{00000000-0005-0000-0000-000010010000}"/>
    <cellStyle name="R_Marco Logico" xfId="147" xr:uid="{00000000-0005-0000-0000-000011010000}"/>
    <cellStyle name="R_Marco Logico 2" xfId="259" xr:uid="{00000000-0005-0000-0000-000012010000}"/>
    <cellStyle name="R_Marco Logico_03_Valor Referencial_Grupo 8" xfId="148" xr:uid="{00000000-0005-0000-0000-000013010000}"/>
    <cellStyle name="R_MeTRADO POR LOCALIDAD" xfId="149" xr:uid="{00000000-0005-0000-0000-000014010000}"/>
    <cellStyle name="R_MeTRADO POR LOCALIDAD 2" xfId="260" xr:uid="{00000000-0005-0000-0000-000015010000}"/>
    <cellStyle name="R_MeTRADO POR LOCALIDAD_03_Valor Referencial_Grupo 8" xfId="150" xr:uid="{00000000-0005-0000-0000-000016010000}"/>
    <cellStyle name="R_Metrado Presupuesto TM C II-II Etapa" xfId="151" xr:uid="{00000000-0005-0000-0000-000017010000}"/>
    <cellStyle name="R_Metrado Presupuesto TM C II-II Etapa 2" xfId="261" xr:uid="{00000000-0005-0000-0000-000018010000}"/>
    <cellStyle name="R_Metrado Presupuesto TM C II-II Etapa_03_Valor Referencial_Grupo 8" xfId="152" xr:uid="{00000000-0005-0000-0000-000019010000}"/>
    <cellStyle name="R_METRADO_TOTAL_RS-med prep mono cod  OK impreso" xfId="153" xr:uid="{00000000-0005-0000-0000-00001A010000}"/>
    <cellStyle name="R_METRADO_TOTAL_RS-med prep mono cod  OK impreso 2" xfId="262" xr:uid="{00000000-0005-0000-0000-00001B010000}"/>
    <cellStyle name="R_METRADO_TOTAL_RS-med prep mono cod  OK impreso_03_Valor Referencial_Grupo 8" xfId="154" xr:uid="{00000000-0005-0000-0000-00001C010000}"/>
    <cellStyle name="R_Metrados RRPP por localid" xfId="155" xr:uid="{00000000-0005-0000-0000-00001D010000}"/>
    <cellStyle name="R_Metrados RRPP por localid 2" xfId="263" xr:uid="{00000000-0005-0000-0000-00001E010000}"/>
    <cellStyle name="R_Metrados RRPP por localid_03_Valor Referencial_Grupo 8" xfId="156" xr:uid="{00000000-0005-0000-0000-00001F010000}"/>
    <cellStyle name="R_METRADOS -V2SySA_RP" xfId="157" xr:uid="{00000000-0005-0000-0000-000020010000}"/>
    <cellStyle name="R_METRADOS -V2SySA_RP 2" xfId="264" xr:uid="{00000000-0005-0000-0000-000021010000}"/>
    <cellStyle name="R_METRADOS -V2SySA_RP_03_Valor Referencial_Grupo 8" xfId="158" xr:uid="{00000000-0005-0000-0000-000022010000}"/>
    <cellStyle name="R_PRESUP METRADOS TOTAL" xfId="159" xr:uid="{00000000-0005-0000-0000-000023010000}"/>
    <cellStyle name="R_PRESUP METRADOS TOTAL 2" xfId="265" xr:uid="{00000000-0005-0000-0000-000024010000}"/>
    <cellStyle name="R_PRESUP METRADOS TOTAL_03_Valor Referencial_Grupo 8" xfId="160" xr:uid="{00000000-0005-0000-0000-000025010000}"/>
    <cellStyle name="R_-Presupuesto RS  Proy  1" xfId="161" xr:uid="{00000000-0005-0000-0000-000026010000}"/>
    <cellStyle name="R_-Presupuesto RS  Proy  1 2" xfId="266" xr:uid="{00000000-0005-0000-0000-000027010000}"/>
    <cellStyle name="R_-Presupuesto RS  Proy  1_03_Valor Referencial_Grupo 8" xfId="162" xr:uid="{00000000-0005-0000-0000-000028010000}"/>
    <cellStyle name="R_-Presupuesto RS  Proy  1_1" xfId="163" xr:uid="{00000000-0005-0000-0000-000029010000}"/>
    <cellStyle name="R_-Presupuesto RS  Proy  1_1 2" xfId="267" xr:uid="{00000000-0005-0000-0000-00002A010000}"/>
    <cellStyle name="R_-Presupuesto RS  Proy  1_1_03_Valor Referencial_Grupo 8" xfId="164" xr:uid="{00000000-0005-0000-0000-00002B010000}"/>
    <cellStyle name="R_-Presupuesto RS  Proy  1_Plantilla Valor Referencial" xfId="165" xr:uid="{00000000-0005-0000-0000-00002C010000}"/>
    <cellStyle name="R_-Presupuesto RS  Proy  1_Plantilla Valor Referencial 2" xfId="268" xr:uid="{00000000-0005-0000-0000-00002D010000}"/>
    <cellStyle name="R_-Presupuesto RS  Proy  1_Plantilla Valor Referencial_03_Valor Referencial_Grupo 8" xfId="166" xr:uid="{00000000-0005-0000-0000-00002E010000}"/>
    <cellStyle name="R_-Presupuesto RS  Proy  Fuente" xfId="167" xr:uid="{00000000-0005-0000-0000-00002F010000}"/>
    <cellStyle name="R_-Presupuesto RS  Proy  Fuente 2" xfId="269" xr:uid="{00000000-0005-0000-0000-000030010000}"/>
    <cellStyle name="R_-Presupuesto RS  Proy  Fuente_03_Valor Referencial_Grupo 8" xfId="168" xr:uid="{00000000-0005-0000-0000-000031010000}"/>
    <cellStyle name="R_-Presupuesto-RS Villa Rica" xfId="169" xr:uid="{00000000-0005-0000-0000-000032010000}"/>
    <cellStyle name="R_-Presupuesto-RS Villa Rica 2" xfId="270" xr:uid="{00000000-0005-0000-0000-000033010000}"/>
    <cellStyle name="R_-Presupuesto-RS Villa Rica_03_Valor Referencial_Grupo 8" xfId="170" xr:uid="{00000000-0005-0000-0000-000034010000}"/>
    <cellStyle name="R_REPCOSTO" xfId="171" xr:uid="{00000000-0005-0000-0000-000035010000}"/>
    <cellStyle name="R_REPCOSTO 2" xfId="271" xr:uid="{00000000-0005-0000-0000-000036010000}"/>
    <cellStyle name="R_REPCOSTO_03_Valor Referencial_Grupo 8" xfId="172" xr:uid="{00000000-0005-0000-0000-000037010000}"/>
    <cellStyle name="R_REPCOSTO_Anex. 1.1 al 2.18-prefact" xfId="173" xr:uid="{00000000-0005-0000-0000-000038010000}"/>
    <cellStyle name="R_REPCOSTO_Anex. 1.1 al 2.18-prefact 2" xfId="272" xr:uid="{00000000-0005-0000-0000-000039010000}"/>
    <cellStyle name="R_REPCOSTO_Anex. 1.1 al 2.18-prefact_03_Valor Referencial_Grupo 8" xfId="174" xr:uid="{00000000-0005-0000-0000-00003A010000}"/>
    <cellStyle name="R_REPCOSTO_criterios" xfId="175" xr:uid="{00000000-0005-0000-0000-00003B010000}"/>
    <cellStyle name="R_REPCOSTO_D2.01-D2.06-D2.07 Res Gen -Gastos Gen-Estd Ing Proy 2" xfId="176" xr:uid="{00000000-0005-0000-0000-00003C010000}"/>
    <cellStyle name="R_REPCOSTO_D2.01-D2.06-D2.07 Res Gen -Gastos Gen-Estd Ing Proy 2 2" xfId="273" xr:uid="{00000000-0005-0000-0000-00003D010000}"/>
    <cellStyle name="R_REPCOSTO_D2.01-D2.06-D2.07 Res Gen -Gastos Gen-Estd Ing Proy 2_03_Valor Referencial_Grupo 8" xfId="177" xr:uid="{00000000-0005-0000-0000-00003E010000}"/>
    <cellStyle name="R_REPCOSTO_Datos de Entrada Evaluacion" xfId="178" xr:uid="{00000000-0005-0000-0000-00003F010000}"/>
    <cellStyle name="R_REPCOSTO_Datos de Entrada Evaluacion 2" xfId="274" xr:uid="{00000000-0005-0000-0000-000040010000}"/>
    <cellStyle name="R_REPCOSTO_Datos de Entrada Evaluacion_03_Valor Referencial_Grupo 8" xfId="179" xr:uid="{00000000-0005-0000-0000-000041010000}"/>
    <cellStyle name="R_REPCOSTO_Datos Generales-ok" xfId="180" xr:uid="{00000000-0005-0000-0000-000042010000}"/>
    <cellStyle name="R_REPCOSTO_Datos Generales-ok 2" xfId="275" xr:uid="{00000000-0005-0000-0000-000043010000}"/>
    <cellStyle name="R_REPCOSTO_Datos Generales-ok_03_Valor Referencial_Grupo 8" xfId="181" xr:uid="{00000000-0005-0000-0000-000044010000}"/>
    <cellStyle name="R_REPCOSTO_Indicadores Mercado-ok-Amazonas" xfId="182" xr:uid="{00000000-0005-0000-0000-000045010000}"/>
    <cellStyle name="R_REPCOSTO_Indicadores Mercado-ok-Amazonas 2" xfId="276" xr:uid="{00000000-0005-0000-0000-000046010000}"/>
    <cellStyle name="R_REPCOSTO_Indicadores Mercado-ok-Amazonas_03_Valor Referencial_Grupo 8" xfId="183" xr:uid="{00000000-0005-0000-0000-000047010000}"/>
    <cellStyle name="R_REPCOSTO_Libro2" xfId="184" xr:uid="{00000000-0005-0000-0000-000048010000}"/>
    <cellStyle name="R_REPCOSTO_Libro2 2" xfId="277" xr:uid="{00000000-0005-0000-0000-000049010000}"/>
    <cellStyle name="R_REPCOSTO_Libro2_03_Valor Referencial_Grupo 8" xfId="185" xr:uid="{00000000-0005-0000-0000-00004A010000}"/>
    <cellStyle name="R_REPCOSTO_Marco Logico" xfId="186" xr:uid="{00000000-0005-0000-0000-00004B010000}"/>
    <cellStyle name="R_REPCOSTO_Marco Logico 2" xfId="278" xr:uid="{00000000-0005-0000-0000-00004C010000}"/>
    <cellStyle name="R_REPCOSTO_Marco Logico_03_Valor Referencial_Grupo 8" xfId="187" xr:uid="{00000000-0005-0000-0000-00004D010000}"/>
    <cellStyle name="R_REPCOSTO_Resumen de Gastos Generales" xfId="188" xr:uid="{00000000-0005-0000-0000-00004E010000}"/>
    <cellStyle name="R_REPCOSTO_Resumen de Gastos Generales 2" xfId="279" xr:uid="{00000000-0005-0000-0000-00004F010000}"/>
    <cellStyle name="R_REPCOSTO_Resumen de Gastos Generales_03_Valor Referencial_Grupo 8" xfId="189" xr:uid="{00000000-0005-0000-0000-000050010000}"/>
    <cellStyle name="R_REPCOSTO_Resumen Gastos Generale E.R. GRUPO 2" xfId="190" xr:uid="{00000000-0005-0000-0000-000051010000}"/>
    <cellStyle name="R_REPCOSTO_Resumen Gastos Generale E.R. GRUPO 2 2" xfId="280" xr:uid="{00000000-0005-0000-0000-000052010000}"/>
    <cellStyle name="R_REPCOSTO_Resumen Gastos Generale E.R. GRUPO 2_03_Valor Referencial_Grupo 8" xfId="191" xr:uid="{00000000-0005-0000-0000-000053010000}"/>
    <cellStyle name="R_Resumen Gastos Generale E.R. GRUPO 2" xfId="192" xr:uid="{00000000-0005-0000-0000-000054010000}"/>
    <cellStyle name="R_Resumen Gastos Generale E.R. GRUPO 2 2" xfId="281" xr:uid="{00000000-0005-0000-0000-000055010000}"/>
    <cellStyle name="R_Resumen Gastos Generale E.R. GRUPO 2_03_Valor Referencial_Grupo 8" xfId="193" xr:uid="{00000000-0005-0000-0000-000056010000}"/>
    <cellStyle name="R_Resumen RS Grupo 3" xfId="194" xr:uid="{00000000-0005-0000-0000-000057010000}"/>
    <cellStyle name="R_Resumen RS Grupo 3 2" xfId="282" xr:uid="{00000000-0005-0000-0000-000058010000}"/>
    <cellStyle name="R_Resumen RS Grupo 3_03_Valor Referencial_Grupo 8" xfId="195" xr:uid="{00000000-0005-0000-0000-000059010000}"/>
    <cellStyle name="R_VALOR REFER. ELET_RURAL GRUPO 2" xfId="196" xr:uid="{00000000-0005-0000-0000-00005A010000}"/>
    <cellStyle name="RevList" xfId="197" xr:uid="{00000000-0005-0000-0000-00005B010000}"/>
    <cellStyle name="RM" xfId="198" xr:uid="{00000000-0005-0000-0000-00005C010000}"/>
    <cellStyle name="Salida" xfId="199" builtinId="21" customBuiltin="1"/>
    <cellStyle name="Subtotal" xfId="200" xr:uid="{00000000-0005-0000-0000-00005E010000}"/>
    <cellStyle name="Texto de advertencia" xfId="201" builtinId="11" customBuiltin="1"/>
    <cellStyle name="Texto explicativo" xfId="202" builtinId="53" customBuiltin="1"/>
    <cellStyle name="Título" xfId="203" builtinId="15" customBuiltin="1"/>
    <cellStyle name="Título 2" xfId="204" builtinId="17" customBuiltin="1"/>
    <cellStyle name="Título 3" xfId="205" builtinId="18" customBuiltin="1"/>
    <cellStyle name="Total" xfId="206" builtinId="25" customBuiltin="1"/>
    <cellStyle name="Total 2" xfId="322" xr:uid="{00000000-0005-0000-0000-000065010000}"/>
  </cellStyles>
  <dxfs count="0"/>
  <tableStyles count="0" defaultTableStyle="TableStyleMedium9" defaultPivotStyle="PivotStyleLight16"/>
  <colors>
    <mruColors>
      <color rgb="FF0000FF"/>
      <color rgb="FF99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zoomScaleNormal="100" zoomScaleSheetLayoutView="110" workbookViewId="0">
      <selection activeCell="C18" sqref="C18"/>
    </sheetView>
  </sheetViews>
  <sheetFormatPr baseColWidth="10" defaultColWidth="9.33203125" defaultRowHeight="12.75"/>
  <cols>
    <col min="4" max="4" width="5.6640625" customWidth="1"/>
    <col min="5" max="6" width="14.1640625" customWidth="1"/>
    <col min="7" max="7" width="15.5" customWidth="1"/>
    <col min="8" max="8" width="15" customWidth="1"/>
    <col min="9" max="9" width="15.33203125" customWidth="1"/>
    <col min="12" max="12" width="14.6640625" bestFit="1" customWidth="1"/>
    <col min="14" max="14" width="10.1640625" bestFit="1" customWidth="1"/>
  </cols>
  <sheetData>
    <row r="1" spans="1:14" ht="15.75">
      <c r="A1" s="617"/>
      <c r="B1" s="617"/>
      <c r="C1" s="617"/>
      <c r="D1" s="617"/>
      <c r="E1" s="617"/>
      <c r="F1" s="617"/>
      <c r="G1" s="617"/>
      <c r="H1" s="617"/>
      <c r="I1" s="617"/>
      <c r="J1" s="617"/>
    </row>
    <row r="2" spans="1:14" ht="30">
      <c r="B2" s="2045" t="s">
        <v>495</v>
      </c>
      <c r="C2" s="2045"/>
      <c r="D2" s="2045"/>
      <c r="E2" s="2045"/>
      <c r="F2" s="2045"/>
      <c r="G2" s="2045"/>
      <c r="H2" s="2045"/>
      <c r="I2" s="2045"/>
      <c r="J2" s="619"/>
    </row>
    <row r="3" spans="1:14" ht="31.5" customHeight="1">
      <c r="B3" s="620" t="s">
        <v>496</v>
      </c>
      <c r="C3" s="621"/>
      <c r="D3" s="622" t="s">
        <v>10</v>
      </c>
      <c r="E3" s="2041" t="s">
        <v>543</v>
      </c>
      <c r="F3" s="2041"/>
      <c r="G3" s="2041"/>
      <c r="H3" s="2041"/>
      <c r="I3" s="2041"/>
      <c r="J3" s="314"/>
    </row>
    <row r="4" spans="1:14" ht="16.5">
      <c r="B4" s="623" t="s">
        <v>497</v>
      </c>
      <c r="C4" s="624"/>
      <c r="D4" s="625" t="s">
        <v>10</v>
      </c>
      <c r="E4" s="660" t="s">
        <v>544</v>
      </c>
      <c r="G4" s="626"/>
      <c r="H4" s="626" t="s">
        <v>498</v>
      </c>
      <c r="I4" s="627">
        <v>44711</v>
      </c>
      <c r="J4" s="628"/>
    </row>
    <row r="5" spans="1:14" ht="25.5">
      <c r="B5" s="629" t="s">
        <v>499</v>
      </c>
      <c r="C5" s="2042" t="s">
        <v>49</v>
      </c>
      <c r="D5" s="2043"/>
      <c r="E5" s="2043"/>
      <c r="F5" s="2044"/>
      <c r="G5" s="630" t="s">
        <v>994</v>
      </c>
      <c r="H5" s="631" t="s">
        <v>500</v>
      </c>
      <c r="I5" s="632" t="s">
        <v>995</v>
      </c>
      <c r="J5" s="308"/>
    </row>
    <row r="6" spans="1:14" ht="20.25" customHeight="1">
      <c r="B6" s="633" t="s">
        <v>189</v>
      </c>
      <c r="C6" s="634"/>
      <c r="D6" s="635" t="s">
        <v>501</v>
      </c>
      <c r="E6" s="635"/>
      <c r="F6" s="636"/>
      <c r="G6" s="637" t="e">
        <f>+#REF!</f>
        <v>#REF!</v>
      </c>
      <c r="H6" s="637" t="e">
        <f>ROUND(+G6*0.18,2)</f>
        <v>#REF!</v>
      </c>
      <c r="I6" s="1932" t="e">
        <f>SUM(G6:H6)</f>
        <v>#REF!</v>
      </c>
      <c r="J6" s="308"/>
      <c r="L6" s="646">
        <f>+I11-L11</f>
        <v>3137339.31</v>
      </c>
      <c r="N6" s="1900" t="e">
        <f>+L6/I6</f>
        <v>#REF!</v>
      </c>
    </row>
    <row r="7" spans="1:14" ht="20.25" customHeight="1">
      <c r="B7" s="633" t="s">
        <v>190</v>
      </c>
      <c r="C7" s="634"/>
      <c r="D7" s="635" t="s">
        <v>502</v>
      </c>
      <c r="E7" s="635"/>
      <c r="F7" s="638"/>
      <c r="G7" s="639">
        <f>+'EXPED-TECNICO'!K193</f>
        <v>200121.88</v>
      </c>
      <c r="H7" s="639">
        <f>ROUND(+G7*0.18,2)</f>
        <v>36021.94</v>
      </c>
      <c r="I7" s="1933">
        <f>SUM(G7:H7)</f>
        <v>236143.82</v>
      </c>
      <c r="J7" s="308"/>
      <c r="L7" s="1389"/>
    </row>
    <row r="8" spans="1:14" ht="20.25" customHeight="1">
      <c r="B8" s="640"/>
      <c r="C8" s="641"/>
      <c r="D8" s="642" t="s">
        <v>281</v>
      </c>
      <c r="E8" s="642"/>
      <c r="F8" s="643"/>
      <c r="G8" s="644" t="e">
        <f>SUM(G6:G7)</f>
        <v>#REF!</v>
      </c>
      <c r="H8" s="645" t="e">
        <f>SUM(H6:H7)</f>
        <v>#REF!</v>
      </c>
      <c r="I8" s="1931" t="e">
        <f>+ROUND(SUM(I6:I7),2)</f>
        <v>#REF!</v>
      </c>
      <c r="J8" s="308"/>
      <c r="K8" s="1416"/>
      <c r="L8" s="1426"/>
    </row>
    <row r="10" spans="1:14">
      <c r="I10" s="1403"/>
      <c r="K10" s="646"/>
      <c r="L10" s="646"/>
    </row>
    <row r="11" spans="1:14">
      <c r="H11" s="618">
        <v>3748314.58</v>
      </c>
      <c r="I11" s="618">
        <v>3373483.13</v>
      </c>
      <c r="K11" s="646"/>
      <c r="L11" s="646">
        <f>+ROUND(I11*7%,2)</f>
        <v>236143.82</v>
      </c>
    </row>
    <row r="12" spans="1:14">
      <c r="H12" s="646" t="e">
        <f>+I11-I8</f>
        <v>#REF!</v>
      </c>
      <c r="I12" s="1900" t="e">
        <f>+I11/I8</f>
        <v>#REF!</v>
      </c>
    </row>
    <row r="14" spans="1:14">
      <c r="F14" s="647" t="s">
        <v>503</v>
      </c>
      <c r="G14" s="648"/>
      <c r="H14" s="648"/>
    </row>
    <row r="15" spans="1:14">
      <c r="F15" s="649" t="s">
        <v>504</v>
      </c>
      <c r="G15" s="650" t="s">
        <v>505</v>
      </c>
      <c r="H15" s="650" t="s">
        <v>208</v>
      </c>
    </row>
    <row r="16" spans="1:14">
      <c r="F16" s="651" t="s">
        <v>506</v>
      </c>
      <c r="G16" s="652" t="e">
        <f>+#REF!</f>
        <v>#REF!</v>
      </c>
      <c r="H16" s="653" t="s">
        <v>507</v>
      </c>
    </row>
    <row r="17" spans="6:8">
      <c r="F17" s="651" t="s">
        <v>508</v>
      </c>
      <c r="G17" s="652" t="e">
        <f>+#REF!</f>
        <v>#REF!</v>
      </c>
      <c r="H17" s="653" t="s">
        <v>509</v>
      </c>
    </row>
    <row r="18" spans="6:8" ht="33.75">
      <c r="F18" s="1827" t="s">
        <v>510</v>
      </c>
      <c r="G18" s="652" t="e">
        <f>+#REF!</f>
        <v>#REF!</v>
      </c>
      <c r="H18" s="653" t="s">
        <v>509</v>
      </c>
    </row>
    <row r="19" spans="6:8" ht="45">
      <c r="F19" s="1827" t="s">
        <v>511</v>
      </c>
      <c r="G19" s="652" t="e">
        <f>+#REF!</f>
        <v>#REF!</v>
      </c>
      <c r="H19" s="653" t="s">
        <v>509</v>
      </c>
    </row>
    <row r="20" spans="6:8">
      <c r="F20" s="651" t="s">
        <v>512</v>
      </c>
      <c r="G20" s="652" t="e">
        <f>+#REF!</f>
        <v>#REF!</v>
      </c>
      <c r="H20" s="653" t="s">
        <v>509</v>
      </c>
    </row>
    <row r="21" spans="6:8">
      <c r="F21" s="654"/>
      <c r="G21" s="648"/>
      <c r="H21" s="648"/>
    </row>
    <row r="22" spans="6:8">
      <c r="F22" s="654"/>
      <c r="G22" s="648"/>
      <c r="H22" s="648"/>
    </row>
    <row r="23" spans="6:8">
      <c r="F23" s="654"/>
      <c r="G23" s="648"/>
      <c r="H23" s="648"/>
    </row>
    <row r="25" spans="6:8">
      <c r="G25" s="646"/>
    </row>
    <row r="26" spans="6:8">
      <c r="H26" s="655"/>
    </row>
    <row r="27" spans="6:8">
      <c r="G27" s="646"/>
    </row>
    <row r="28" spans="6:8">
      <c r="G28" s="646"/>
    </row>
    <row r="31" spans="6:8">
      <c r="G31" s="656"/>
    </row>
    <row r="32" spans="6:8">
      <c r="G32" s="656"/>
    </row>
    <row r="33" spans="7:7">
      <c r="G33" s="657"/>
    </row>
  </sheetData>
  <mergeCells count="3">
    <mergeCell ref="E3:I3"/>
    <mergeCell ref="C5:F5"/>
    <mergeCell ref="B2:I2"/>
  </mergeCells>
  <pageMargins left="0.70866141732283472" right="0.31496062992125984" top="0.74803149606299213" bottom="0.74803149606299213" header="0.31496062992125984" footer="0.31496062992125984"/>
  <pageSetup paperSize="9" orientation="portrait" verticalDpi="1200" r:id="rId1"/>
  <colBreaks count="1" manualBreakCount="1">
    <brk id="9" max="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7"/>
  <sheetViews>
    <sheetView workbookViewId="0"/>
  </sheetViews>
  <sheetFormatPr baseColWidth="10" defaultColWidth="9.33203125" defaultRowHeight="12.75"/>
  <sheetData>
    <row r="1" spans="1:13" ht="409.5">
      <c r="A1" s="1844" t="s">
        <v>543</v>
      </c>
      <c r="B1" s="1845"/>
      <c r="C1" s="1845"/>
      <c r="D1" s="1845"/>
      <c r="E1" s="1845"/>
      <c r="F1" s="1845"/>
      <c r="G1" s="1845"/>
      <c r="H1" s="1845"/>
      <c r="I1" s="664"/>
      <c r="J1" s="665"/>
    </row>
    <row r="2" spans="1:13" ht="15.75">
      <c r="A2" s="666"/>
      <c r="B2" s="666"/>
      <c r="C2" s="666"/>
      <c r="D2" s="666"/>
      <c r="E2" s="664"/>
      <c r="F2" s="664"/>
      <c r="G2" s="664"/>
      <c r="H2" s="667"/>
      <c r="I2" s="664"/>
    </row>
    <row r="3" spans="1:13" ht="15.75">
      <c r="A3" s="1846" t="s">
        <v>224</v>
      </c>
      <c r="B3" s="1846"/>
      <c r="C3" s="1846"/>
      <c r="D3" s="1846"/>
      <c r="E3" s="1846"/>
      <c r="F3" s="1846"/>
      <c r="G3" s="1846"/>
      <c r="H3" s="1846"/>
      <c r="I3" s="664"/>
      <c r="J3" s="287"/>
      <c r="M3" s="668"/>
    </row>
    <row r="4" spans="1:13" ht="15.75">
      <c r="A4" s="1846"/>
      <c r="B4" s="1846"/>
      <c r="C4" s="1846"/>
      <c r="D4" s="1846"/>
      <c r="E4" s="1846"/>
      <c r="F4" s="1846"/>
      <c r="G4" s="1846"/>
      <c r="H4" s="1846"/>
      <c r="I4" s="664"/>
      <c r="J4" s="669"/>
      <c r="M4" s="668"/>
    </row>
    <row r="5" spans="1:13" ht="15.75">
      <c r="A5" s="5"/>
      <c r="B5" s="157" t="s">
        <v>225</v>
      </c>
      <c r="C5" s="670" t="s">
        <v>168</v>
      </c>
      <c r="D5" s="5"/>
      <c r="E5" s="5"/>
      <c r="F5" s="5"/>
      <c r="G5" s="5"/>
      <c r="H5" s="86"/>
      <c r="I5" s="5"/>
      <c r="J5" s="288"/>
      <c r="M5" s="668"/>
    </row>
    <row r="6" spans="1:13" ht="15.75">
      <c r="A6" s="5"/>
      <c r="B6" s="157" t="s">
        <v>291</v>
      </c>
      <c r="C6" s="671" t="s">
        <v>544</v>
      </c>
      <c r="D6" s="5"/>
      <c r="E6" s="5"/>
      <c r="F6" s="5"/>
      <c r="G6" s="5"/>
      <c r="H6" s="565"/>
      <c r="I6" s="5"/>
      <c r="J6" s="672"/>
    </row>
    <row r="7" spans="1:13" ht="15.75">
      <c r="A7" s="5"/>
      <c r="B7" s="157" t="s">
        <v>527</v>
      </c>
      <c r="C7" s="712">
        <f>+F9+F10</f>
        <v>10</v>
      </c>
      <c r="D7" s="157" t="s">
        <v>46</v>
      </c>
      <c r="E7" s="5"/>
      <c r="F7" s="5"/>
      <c r="H7" s="566"/>
      <c r="I7" s="673"/>
      <c r="J7" s="709"/>
    </row>
    <row r="8" spans="1:13" ht="15.75">
      <c r="A8" s="5"/>
      <c r="B8" s="157"/>
      <c r="C8" s="674"/>
      <c r="D8" s="157"/>
      <c r="E8" s="5"/>
      <c r="F8" s="5"/>
      <c r="H8" s="158"/>
      <c r="I8" s="673"/>
      <c r="J8" s="6"/>
    </row>
    <row r="9" spans="1:13" ht="15.75">
      <c r="A9" s="159" t="s">
        <v>47</v>
      </c>
      <c r="B9" s="157" t="s">
        <v>226</v>
      </c>
      <c r="C9" s="5"/>
      <c r="D9" s="5"/>
      <c r="E9" s="716" t="s">
        <v>528</v>
      </c>
      <c r="F9" s="763">
        <v>4</v>
      </c>
      <c r="G9" s="717" t="s">
        <v>46</v>
      </c>
      <c r="H9" s="86"/>
      <c r="I9" s="5"/>
      <c r="J9" s="6"/>
    </row>
    <row r="10" spans="1:13">
      <c r="A10" s="6"/>
      <c r="B10" s="5"/>
      <c r="C10" s="5"/>
      <c r="D10" s="5"/>
      <c r="E10" s="716" t="s">
        <v>529</v>
      </c>
      <c r="F10" s="763">
        <v>6</v>
      </c>
      <c r="G10" s="717" t="s">
        <v>46</v>
      </c>
      <c r="H10" s="86"/>
      <c r="I10" s="5"/>
      <c r="J10" s="6"/>
    </row>
    <row r="11" spans="1:13">
      <c r="A11" s="7">
        <v>1.1000000000000001</v>
      </c>
      <c r="B11" s="8" t="s">
        <v>48</v>
      </c>
      <c r="C11" s="5"/>
      <c r="D11" s="5"/>
      <c r="E11" s="5"/>
      <c r="F11" s="5"/>
      <c r="G11" s="5"/>
      <c r="H11" s="86"/>
      <c r="I11" s="5"/>
      <c r="J11" s="1834"/>
    </row>
    <row r="12" spans="1:13">
      <c r="A12" s="6"/>
      <c r="B12" s="9" t="s">
        <v>49</v>
      </c>
      <c r="C12" s="10" t="s">
        <v>50</v>
      </c>
      <c r="D12" s="10" t="s">
        <v>124</v>
      </c>
      <c r="E12" s="11" t="s">
        <v>51</v>
      </c>
      <c r="F12" s="10" t="s">
        <v>52</v>
      </c>
      <c r="G12" s="11" t="s">
        <v>53</v>
      </c>
      <c r="H12" s="87" t="s">
        <v>54</v>
      </c>
      <c r="I12" s="675"/>
      <c r="J12" s="675"/>
      <c r="M12" s="709"/>
    </row>
    <row r="13" spans="1:13">
      <c r="A13" s="6"/>
      <c r="B13" s="12"/>
      <c r="C13" s="13"/>
      <c r="D13" s="13"/>
      <c r="E13" s="14" t="s">
        <v>55</v>
      </c>
      <c r="F13" s="13" t="s">
        <v>56</v>
      </c>
      <c r="G13" s="14" t="s">
        <v>1000</v>
      </c>
      <c r="H13" s="88" t="s">
        <v>1000</v>
      </c>
      <c r="I13" s="675"/>
      <c r="J13" s="675"/>
      <c r="K13" s="709"/>
      <c r="L13" s="709"/>
      <c r="M13" s="709"/>
    </row>
    <row r="14" spans="1:13">
      <c r="A14" s="6"/>
      <c r="B14" s="15" t="s">
        <v>57</v>
      </c>
      <c r="C14" s="16" t="s">
        <v>58</v>
      </c>
      <c r="D14" s="16">
        <v>1</v>
      </c>
      <c r="E14" s="160">
        <v>1</v>
      </c>
      <c r="F14" s="161">
        <v>10</v>
      </c>
      <c r="G14" s="39">
        <v>7500</v>
      </c>
      <c r="H14" s="162">
        <f>+ROUND(+G14*F14*D14*E14,2)</f>
        <v>75000</v>
      </c>
      <c r="I14" s="39"/>
      <c r="J14" s="1817"/>
      <c r="K14" s="1832"/>
      <c r="L14" s="709"/>
      <c r="M14" s="1833"/>
    </row>
    <row r="15" spans="1:13">
      <c r="A15" s="6"/>
      <c r="B15" s="15" t="s">
        <v>853</v>
      </c>
      <c r="C15" s="16" t="s">
        <v>58</v>
      </c>
      <c r="D15" s="16">
        <v>1</v>
      </c>
      <c r="E15" s="160">
        <v>1</v>
      </c>
      <c r="F15" s="161">
        <v>6</v>
      </c>
      <c r="G15" s="39">
        <v>5500</v>
      </c>
      <c r="H15" s="162">
        <f t="shared" ref="H15" si="0">+ROUND(+G15*F15*D15*E15,2)</f>
        <v>33000</v>
      </c>
      <c r="I15" s="39"/>
      <c r="J15" s="1817"/>
      <c r="K15" s="1832"/>
      <c r="L15" s="709"/>
      <c r="M15" s="1833"/>
    </row>
    <row r="16" spans="1:13">
      <c r="A16" s="6"/>
      <c r="B16" s="15" t="s">
        <v>855</v>
      </c>
      <c r="C16" s="16" t="s">
        <v>58</v>
      </c>
      <c r="D16" s="16">
        <v>1</v>
      </c>
      <c r="E16" s="160">
        <v>0.4</v>
      </c>
      <c r="F16" s="161">
        <v>6</v>
      </c>
      <c r="G16" s="39">
        <v>5500</v>
      </c>
      <c r="H16" s="162">
        <f>+ROUND(+G16*F16*D16*E16,2)</f>
        <v>13200</v>
      </c>
      <c r="I16" s="39"/>
      <c r="J16" s="1817"/>
      <c r="K16" s="1832"/>
      <c r="L16" s="709"/>
      <c r="M16" s="1833"/>
    </row>
    <row r="17" spans="1:13">
      <c r="A17" s="6"/>
      <c r="B17" s="15" t="s">
        <v>854</v>
      </c>
      <c r="C17" s="16" t="s">
        <v>58</v>
      </c>
      <c r="D17" s="16">
        <v>1</v>
      </c>
      <c r="E17" s="160">
        <v>0.5</v>
      </c>
      <c r="F17" s="161">
        <v>6</v>
      </c>
      <c r="G17" s="39">
        <v>5500</v>
      </c>
      <c r="H17" s="162">
        <f>+ROUND(+G17*F17*D17*E17,2)</f>
        <v>16500</v>
      </c>
      <c r="I17" s="39"/>
      <c r="J17" s="1817"/>
      <c r="K17" s="1832"/>
      <c r="L17" s="709"/>
      <c r="M17" s="1833"/>
    </row>
    <row r="18" spans="1:13">
      <c r="A18" s="6"/>
      <c r="B18" s="17"/>
      <c r="C18" s="18"/>
      <c r="D18" s="18"/>
      <c r="E18" s="713"/>
      <c r="F18" s="161"/>
      <c r="G18" s="39"/>
      <c r="H18" s="162"/>
      <c r="I18" s="39"/>
      <c r="J18" s="1817"/>
      <c r="L18" s="709"/>
      <c r="M18" s="709"/>
    </row>
    <row r="19" spans="1:13">
      <c r="A19" s="6"/>
      <c r="B19" s="19" t="s">
        <v>59</v>
      </c>
      <c r="C19" s="20"/>
      <c r="D19" s="20"/>
      <c r="E19" s="714"/>
      <c r="F19" s="715"/>
      <c r="G19" s="715"/>
      <c r="H19" s="89">
        <f>SUM(H14:H18)</f>
        <v>137700</v>
      </c>
      <c r="I19" s="676"/>
      <c r="J19" s="1818"/>
      <c r="K19" s="1832"/>
      <c r="L19" s="709"/>
      <c r="M19" s="709"/>
    </row>
    <row r="20" spans="1:13">
      <c r="A20" s="6"/>
      <c r="B20" s="677" t="s">
        <v>121</v>
      </c>
      <c r="C20" s="5"/>
      <c r="D20" s="5"/>
      <c r="E20" s="21"/>
      <c r="F20" s="22"/>
      <c r="G20" s="22"/>
      <c r="H20" s="678"/>
      <c r="I20" s="679"/>
      <c r="J20" s="1818"/>
      <c r="L20" s="709"/>
      <c r="M20" s="709"/>
    </row>
    <row r="21" spans="1:13">
      <c r="A21" s="6"/>
      <c r="B21" s="5"/>
      <c r="C21" s="5"/>
      <c r="H21" s="86"/>
      <c r="I21" s="22"/>
      <c r="J21" s="6"/>
      <c r="L21" s="709"/>
      <c r="M21" s="709"/>
    </row>
    <row r="22" spans="1:13">
      <c r="A22" s="7">
        <v>1.2</v>
      </c>
      <c r="B22" s="8" t="s">
        <v>60</v>
      </c>
      <c r="C22" s="5"/>
      <c r="H22" s="86"/>
      <c r="I22" s="22"/>
      <c r="J22" s="6"/>
      <c r="L22" s="709"/>
      <c r="M22" s="709"/>
    </row>
    <row r="23" spans="1:13">
      <c r="A23" s="6"/>
      <c r="B23" s="9" t="s">
        <v>49</v>
      </c>
      <c r="C23" s="10" t="s">
        <v>58</v>
      </c>
      <c r="D23" s="23" t="s">
        <v>124</v>
      </c>
      <c r="E23" s="24" t="s">
        <v>51</v>
      </c>
      <c r="F23" s="25" t="s">
        <v>52</v>
      </c>
      <c r="G23" s="25" t="s">
        <v>53</v>
      </c>
      <c r="H23" s="87" t="s">
        <v>54</v>
      </c>
      <c r="I23" s="676"/>
      <c r="J23" s="675"/>
      <c r="L23" s="709"/>
      <c r="M23" s="709"/>
    </row>
    <row r="24" spans="1:13">
      <c r="A24" s="6"/>
      <c r="B24" s="26"/>
      <c r="C24" s="13"/>
      <c r="D24" s="680"/>
      <c r="E24" s="27" t="s">
        <v>55</v>
      </c>
      <c r="F24" s="28" t="s">
        <v>56</v>
      </c>
      <c r="G24" s="14" t="s">
        <v>1000</v>
      </c>
      <c r="H24" s="88" t="s">
        <v>1000</v>
      </c>
      <c r="I24" s="675"/>
      <c r="J24" s="675"/>
      <c r="L24" s="709"/>
      <c r="M24" s="709"/>
    </row>
    <row r="25" spans="1:13">
      <c r="A25" s="6"/>
      <c r="B25" s="608" t="s">
        <v>61</v>
      </c>
      <c r="C25" s="16" t="s">
        <v>58</v>
      </c>
      <c r="D25" s="30">
        <v>1</v>
      </c>
      <c r="E25" s="718">
        <v>0.8</v>
      </c>
      <c r="F25" s="719">
        <v>6</v>
      </c>
      <c r="G25" s="720">
        <v>3000</v>
      </c>
      <c r="H25" s="162">
        <f>+ROUND(+G25*F25*D25*E25,2)</f>
        <v>14400</v>
      </c>
      <c r="I25" s="39"/>
      <c r="J25" s="1817"/>
      <c r="K25" s="1832"/>
      <c r="L25" s="709"/>
      <c r="M25" s="1833"/>
    </row>
    <row r="26" spans="1:13">
      <c r="A26" s="6"/>
      <c r="B26" s="594" t="s">
        <v>62</v>
      </c>
      <c r="C26" s="16" t="s">
        <v>58</v>
      </c>
      <c r="D26" s="6">
        <v>1</v>
      </c>
      <c r="E26" s="721">
        <v>0.5</v>
      </c>
      <c r="F26" s="719">
        <v>6</v>
      </c>
      <c r="G26" s="719">
        <v>1800</v>
      </c>
      <c r="H26" s="162">
        <f t="shared" ref="H26:H30" si="1">+ROUND(+G26*F26*D26*E26,2)</f>
        <v>5400</v>
      </c>
      <c r="I26" s="39"/>
      <c r="J26" s="1817"/>
      <c r="K26" s="1832"/>
      <c r="L26" s="709"/>
      <c r="M26" s="1833"/>
    </row>
    <row r="27" spans="1:13">
      <c r="A27" s="6"/>
      <c r="B27" s="594" t="s">
        <v>63</v>
      </c>
      <c r="C27" s="16" t="s">
        <v>58</v>
      </c>
      <c r="D27" s="6">
        <v>1</v>
      </c>
      <c r="E27" s="721">
        <v>0.8</v>
      </c>
      <c r="F27" s="719">
        <v>6</v>
      </c>
      <c r="G27" s="719">
        <v>1800</v>
      </c>
      <c r="H27" s="162">
        <f t="shared" si="1"/>
        <v>8640</v>
      </c>
      <c r="I27" s="39"/>
      <c r="J27" s="1817"/>
      <c r="K27" s="1832"/>
      <c r="L27" s="709"/>
      <c r="M27" s="1833"/>
    </row>
    <row r="28" spans="1:13">
      <c r="A28" s="6"/>
      <c r="B28" s="594" t="s">
        <v>318</v>
      </c>
      <c r="C28" s="16" t="s">
        <v>58</v>
      </c>
      <c r="D28" s="6">
        <v>1</v>
      </c>
      <c r="E28" s="721">
        <v>0.3</v>
      </c>
      <c r="F28" s="719">
        <v>6</v>
      </c>
      <c r="G28" s="719">
        <v>1800</v>
      </c>
      <c r="H28" s="162">
        <f t="shared" si="1"/>
        <v>3240</v>
      </c>
      <c r="I28" s="39"/>
      <c r="J28" s="1817"/>
      <c r="K28" s="1832"/>
      <c r="L28" s="709"/>
      <c r="M28" s="1833"/>
    </row>
    <row r="29" spans="1:13">
      <c r="A29" s="6"/>
      <c r="B29" s="594" t="s">
        <v>64</v>
      </c>
      <c r="C29" s="16" t="s">
        <v>58</v>
      </c>
      <c r="D29" s="6">
        <v>1</v>
      </c>
      <c r="E29" s="721">
        <v>1</v>
      </c>
      <c r="F29" s="719">
        <v>6</v>
      </c>
      <c r="G29" s="719">
        <v>1700</v>
      </c>
      <c r="H29" s="162">
        <f t="shared" si="1"/>
        <v>10200</v>
      </c>
      <c r="I29" s="39"/>
      <c r="J29" s="1817"/>
      <c r="K29" s="1832"/>
      <c r="L29" s="709"/>
      <c r="M29" s="1833"/>
    </row>
    <row r="30" spans="1:13">
      <c r="A30" s="6"/>
      <c r="B30" s="594" t="s">
        <v>319</v>
      </c>
      <c r="C30" s="16" t="s">
        <v>58</v>
      </c>
      <c r="D30" s="6">
        <v>1</v>
      </c>
      <c r="E30" s="721">
        <v>0.7</v>
      </c>
      <c r="F30" s="719">
        <v>6</v>
      </c>
      <c r="G30" s="719">
        <v>1500</v>
      </c>
      <c r="H30" s="162">
        <f t="shared" si="1"/>
        <v>6300</v>
      </c>
      <c r="I30" s="39"/>
      <c r="J30" s="1817"/>
      <c r="K30" s="1832"/>
      <c r="L30" s="709"/>
      <c r="M30" s="1833"/>
    </row>
    <row r="31" spans="1:13">
      <c r="A31" s="6"/>
      <c r="B31" s="17"/>
      <c r="C31" s="18"/>
      <c r="D31" s="722"/>
      <c r="E31" s="723"/>
      <c r="F31" s="724"/>
      <c r="G31" s="725"/>
      <c r="H31" s="726"/>
      <c r="I31" s="39"/>
      <c r="J31" s="1817"/>
      <c r="L31" s="709"/>
      <c r="M31" s="709"/>
    </row>
    <row r="32" spans="1:13">
      <c r="A32" s="6"/>
      <c r="B32" s="19" t="s">
        <v>65</v>
      </c>
      <c r="C32" s="727"/>
      <c r="D32" s="728"/>
      <c r="E32" s="729"/>
      <c r="F32" s="730"/>
      <c r="G32" s="730"/>
      <c r="H32" s="731">
        <f>SUM(H25:H31)</f>
        <v>48180</v>
      </c>
      <c r="I32" s="676"/>
      <c r="J32" s="1818"/>
      <c r="K32" s="1832"/>
      <c r="L32" s="709"/>
      <c r="M32" s="709"/>
    </row>
    <row r="33" spans="1:13">
      <c r="A33" s="6"/>
      <c r="B33" s="677" t="s">
        <v>122</v>
      </c>
      <c r="C33" s="5"/>
      <c r="D33" s="6"/>
      <c r="E33" s="21"/>
      <c r="F33" s="22"/>
      <c r="G33" s="22"/>
      <c r="H33" s="678"/>
      <c r="I33" s="679"/>
      <c r="J33" s="1818"/>
      <c r="L33" s="709"/>
      <c r="M33" s="709"/>
    </row>
    <row r="34" spans="1:13">
      <c r="A34" s="6"/>
      <c r="B34" s="5"/>
      <c r="C34" s="5"/>
      <c r="D34" s="6"/>
      <c r="E34" s="21"/>
      <c r="F34" s="22"/>
      <c r="G34" s="22"/>
      <c r="H34" s="86"/>
      <c r="I34" s="22"/>
      <c r="J34" s="6"/>
      <c r="L34" s="709"/>
      <c r="M34" s="709"/>
    </row>
    <row r="35" spans="1:13">
      <c r="A35" s="7">
        <v>1.3</v>
      </c>
      <c r="B35" s="8" t="s">
        <v>66</v>
      </c>
      <c r="C35" s="8"/>
      <c r="D35" s="6"/>
      <c r="E35" s="21"/>
      <c r="F35" s="22"/>
      <c r="G35" s="22"/>
      <c r="H35" s="86"/>
      <c r="I35" s="22"/>
      <c r="J35" s="6"/>
      <c r="L35" s="709"/>
      <c r="M35" s="709"/>
    </row>
    <row r="36" spans="1:13">
      <c r="A36" s="6"/>
      <c r="B36" s="9" t="s">
        <v>49</v>
      </c>
      <c r="C36" s="10" t="s">
        <v>58</v>
      </c>
      <c r="D36" s="11" t="s">
        <v>124</v>
      </c>
      <c r="E36" s="24" t="s">
        <v>51</v>
      </c>
      <c r="F36" s="31" t="s">
        <v>52</v>
      </c>
      <c r="G36" s="25" t="s">
        <v>67</v>
      </c>
      <c r="H36" s="87" t="s">
        <v>54</v>
      </c>
      <c r="I36" s="676"/>
      <c r="J36" s="675"/>
      <c r="L36" s="709"/>
      <c r="M36" s="709"/>
    </row>
    <row r="37" spans="1:13">
      <c r="A37" s="6"/>
      <c r="B37" s="32"/>
      <c r="C37" s="13"/>
      <c r="D37" s="14"/>
      <c r="E37" s="27" t="s">
        <v>55</v>
      </c>
      <c r="F37" s="33" t="s">
        <v>56</v>
      </c>
      <c r="G37" s="13" t="s">
        <v>1000</v>
      </c>
      <c r="H37" s="88" t="s">
        <v>1000</v>
      </c>
      <c r="I37" s="675"/>
      <c r="J37" s="675"/>
      <c r="L37" s="709"/>
      <c r="M37" s="709"/>
    </row>
    <row r="38" spans="1:13">
      <c r="A38" s="6"/>
      <c r="B38" s="732" t="s">
        <v>320</v>
      </c>
      <c r="C38" s="16" t="s">
        <v>68</v>
      </c>
      <c r="D38" s="6">
        <v>1</v>
      </c>
      <c r="E38" s="721">
        <v>1</v>
      </c>
      <c r="F38" s="161">
        <v>6</v>
      </c>
      <c r="G38" s="719">
        <v>1200</v>
      </c>
      <c r="H38" s="162">
        <f>+ROUND(+G38*F38*D38*E38,2)</f>
        <v>7200</v>
      </c>
      <c r="I38" s="39"/>
      <c r="J38" s="1817"/>
      <c r="K38" s="1832"/>
      <c r="L38" s="709"/>
      <c r="M38" s="1833"/>
    </row>
    <row r="39" spans="1:13">
      <c r="A39" s="6"/>
      <c r="B39" s="733" t="s">
        <v>321</v>
      </c>
      <c r="C39" s="16" t="s">
        <v>68</v>
      </c>
      <c r="D39" s="6">
        <v>1</v>
      </c>
      <c r="E39" s="721">
        <v>1</v>
      </c>
      <c r="F39" s="161">
        <v>6</v>
      </c>
      <c r="G39" s="161">
        <v>350</v>
      </c>
      <c r="H39" s="162">
        <f t="shared" ref="H39:H43" si="2">+ROUND(+G39*F39*D39*E39,2)</f>
        <v>2100</v>
      </c>
      <c r="I39" s="39"/>
      <c r="J39" s="1817"/>
      <c r="K39" s="1832"/>
      <c r="L39" s="709"/>
      <c r="M39" s="1833"/>
    </row>
    <row r="40" spans="1:13">
      <c r="A40" s="6"/>
      <c r="B40" s="15" t="s">
        <v>227</v>
      </c>
      <c r="C40" s="16" t="s">
        <v>68</v>
      </c>
      <c r="D40" s="6">
        <v>1</v>
      </c>
      <c r="E40" s="721">
        <v>1</v>
      </c>
      <c r="F40" s="161">
        <v>6</v>
      </c>
      <c r="G40" s="161">
        <v>450</v>
      </c>
      <c r="H40" s="162">
        <f t="shared" si="2"/>
        <v>2700</v>
      </c>
      <c r="I40" s="39"/>
      <c r="J40" s="1817"/>
      <c r="K40" s="1832"/>
      <c r="L40" s="709"/>
      <c r="M40" s="1833"/>
    </row>
    <row r="41" spans="1:13">
      <c r="A41" s="6"/>
      <c r="B41" s="15" t="s">
        <v>69</v>
      </c>
      <c r="C41" s="16" t="s">
        <v>68</v>
      </c>
      <c r="D41" s="6">
        <v>1</v>
      </c>
      <c r="E41" s="721">
        <v>1</v>
      </c>
      <c r="F41" s="161">
        <v>6</v>
      </c>
      <c r="G41" s="161">
        <v>550</v>
      </c>
      <c r="H41" s="162">
        <f t="shared" si="2"/>
        <v>3300</v>
      </c>
      <c r="I41" s="39"/>
      <c r="J41" s="1817"/>
      <c r="K41" s="1832"/>
      <c r="L41" s="709"/>
      <c r="M41" s="1833"/>
    </row>
    <row r="42" spans="1:13">
      <c r="A42" s="6"/>
      <c r="B42" s="15" t="s">
        <v>70</v>
      </c>
      <c r="C42" s="16" t="s">
        <v>68</v>
      </c>
      <c r="D42" s="6">
        <v>1</v>
      </c>
      <c r="E42" s="721">
        <v>1</v>
      </c>
      <c r="F42" s="161">
        <v>6</v>
      </c>
      <c r="G42" s="734">
        <v>1200</v>
      </c>
      <c r="H42" s="162">
        <f t="shared" si="2"/>
        <v>7200</v>
      </c>
      <c r="I42" s="39"/>
      <c r="J42" s="1817"/>
      <c r="K42" s="1832"/>
      <c r="L42" s="709"/>
      <c r="M42" s="1833"/>
    </row>
    <row r="43" spans="1:13">
      <c r="A43" s="6"/>
      <c r="B43" s="15" t="s">
        <v>71</v>
      </c>
      <c r="C43" s="16" t="s">
        <v>68</v>
      </c>
      <c r="D43" s="6">
        <v>1</v>
      </c>
      <c r="E43" s="721">
        <v>1</v>
      </c>
      <c r="F43" s="161">
        <v>6</v>
      </c>
      <c r="G43" s="734">
        <v>650</v>
      </c>
      <c r="H43" s="162">
        <f t="shared" si="2"/>
        <v>3900</v>
      </c>
      <c r="I43" s="39"/>
      <c r="J43" s="1817"/>
      <c r="K43" s="1832"/>
      <c r="L43" s="709"/>
      <c r="M43" s="1833"/>
    </row>
    <row r="44" spans="1:13">
      <c r="A44" s="6"/>
      <c r="B44" s="17"/>
      <c r="C44" s="18"/>
      <c r="D44" s="722"/>
      <c r="E44" s="34"/>
      <c r="F44" s="735"/>
      <c r="G44" s="736"/>
      <c r="H44" s="737"/>
      <c r="I44" s="39"/>
      <c r="J44" s="1817"/>
      <c r="L44" s="709"/>
      <c r="M44" s="709"/>
    </row>
    <row r="45" spans="1:13">
      <c r="A45" s="6"/>
      <c r="B45" s="19" t="s">
        <v>72</v>
      </c>
      <c r="C45" s="727"/>
      <c r="D45" s="728"/>
      <c r="E45" s="729"/>
      <c r="F45" s="730"/>
      <c r="G45" s="730"/>
      <c r="H45" s="89">
        <f>SUM(H38:H44)</f>
        <v>26400</v>
      </c>
      <c r="I45" s="676"/>
      <c r="J45" s="1818"/>
      <c r="K45" s="1832"/>
      <c r="L45" s="709"/>
      <c r="M45" s="709"/>
    </row>
    <row r="46" spans="1:13">
      <c r="A46" s="6"/>
      <c r="B46" s="5"/>
      <c r="C46" s="5"/>
      <c r="D46" s="6"/>
      <c r="E46" s="21"/>
      <c r="F46" s="22"/>
      <c r="G46" s="22"/>
      <c r="H46" s="86"/>
      <c r="I46" s="22"/>
      <c r="J46" s="6"/>
      <c r="L46" s="709"/>
      <c r="M46" s="709"/>
    </row>
    <row r="47" spans="1:13">
      <c r="A47" s="7">
        <v>1.4</v>
      </c>
      <c r="B47" s="8" t="s">
        <v>73</v>
      </c>
      <c r="C47" s="8"/>
      <c r="D47" s="6"/>
      <c r="E47" s="21"/>
      <c r="F47" s="22"/>
      <c r="G47" s="22"/>
      <c r="H47" s="86"/>
      <c r="I47" s="22"/>
      <c r="J47" s="6"/>
      <c r="L47" s="709"/>
      <c r="M47" s="709"/>
    </row>
    <row r="48" spans="1:13">
      <c r="A48" s="6"/>
      <c r="B48" s="738" t="s">
        <v>49</v>
      </c>
      <c r="C48" s="739" t="s">
        <v>58</v>
      </c>
      <c r="D48" s="740" t="s">
        <v>124</v>
      </c>
      <c r="E48" s="741" t="s">
        <v>74</v>
      </c>
      <c r="F48" s="742" t="s">
        <v>52</v>
      </c>
      <c r="G48" s="743" t="s">
        <v>75</v>
      </c>
      <c r="H48" s="744" t="s">
        <v>54</v>
      </c>
      <c r="I48" s="682"/>
      <c r="J48" s="603"/>
      <c r="L48" s="709"/>
      <c r="M48" s="709"/>
    </row>
    <row r="49" spans="1:13">
      <c r="A49" s="6"/>
      <c r="B49" s="745"/>
      <c r="C49" s="746"/>
      <c r="D49" s="747"/>
      <c r="E49" s="748" t="s">
        <v>55</v>
      </c>
      <c r="F49" s="749" t="s">
        <v>56</v>
      </c>
      <c r="G49" s="746" t="s">
        <v>1000</v>
      </c>
      <c r="H49" s="750" t="s">
        <v>1000</v>
      </c>
      <c r="I49" s="683"/>
      <c r="J49" s="603"/>
      <c r="L49" s="709"/>
      <c r="M49" s="709"/>
    </row>
    <row r="50" spans="1:13">
      <c r="A50" s="6"/>
      <c r="B50" s="29" t="s">
        <v>76</v>
      </c>
      <c r="C50" s="16" t="s">
        <v>68</v>
      </c>
      <c r="D50" s="35">
        <v>1</v>
      </c>
      <c r="E50" s="721">
        <v>0.05</v>
      </c>
      <c r="F50" s="734">
        <v>6</v>
      </c>
      <c r="G50" s="734">
        <v>900</v>
      </c>
      <c r="H50" s="752">
        <f t="shared" ref="H50:H56" si="3">+ROUND(G50*F50*E50*D50,2)</f>
        <v>270</v>
      </c>
      <c r="I50" s="39"/>
      <c r="J50" s="6"/>
      <c r="K50" s="1832"/>
      <c r="L50" s="709"/>
      <c r="M50" s="1833"/>
    </row>
    <row r="51" spans="1:13">
      <c r="A51" s="6"/>
      <c r="B51" s="15" t="s">
        <v>77</v>
      </c>
      <c r="C51" s="16" t="s">
        <v>68</v>
      </c>
      <c r="D51" s="35">
        <v>1</v>
      </c>
      <c r="E51" s="721">
        <v>0.05</v>
      </c>
      <c r="F51" s="734">
        <v>6</v>
      </c>
      <c r="G51" s="734">
        <v>900</v>
      </c>
      <c r="H51" s="162">
        <f t="shared" si="3"/>
        <v>270</v>
      </c>
      <c r="I51" s="39"/>
      <c r="J51" s="1831"/>
      <c r="K51" s="1832"/>
      <c r="L51" s="709"/>
      <c r="M51" s="1833"/>
    </row>
    <row r="52" spans="1:13">
      <c r="A52" s="6"/>
      <c r="B52" s="15" t="s">
        <v>78</v>
      </c>
      <c r="C52" s="16" t="s">
        <v>68</v>
      </c>
      <c r="D52" s="35">
        <v>1</v>
      </c>
      <c r="E52" s="721">
        <v>0.05</v>
      </c>
      <c r="F52" s="734">
        <v>6</v>
      </c>
      <c r="G52" s="734">
        <v>350</v>
      </c>
      <c r="H52" s="162">
        <f t="shared" si="3"/>
        <v>105</v>
      </c>
      <c r="I52" s="39"/>
      <c r="J52" s="6"/>
      <c r="K52" s="1832"/>
      <c r="L52" s="709"/>
      <c r="M52" s="1833"/>
    </row>
    <row r="53" spans="1:13">
      <c r="A53" s="6"/>
      <c r="B53" s="15" t="s">
        <v>79</v>
      </c>
      <c r="C53" s="16" t="s">
        <v>68</v>
      </c>
      <c r="D53" s="35">
        <v>1</v>
      </c>
      <c r="E53" s="721">
        <v>0.1</v>
      </c>
      <c r="F53" s="734">
        <v>6</v>
      </c>
      <c r="G53" s="734">
        <v>300</v>
      </c>
      <c r="H53" s="162">
        <f t="shared" si="3"/>
        <v>180</v>
      </c>
      <c r="I53" s="39"/>
      <c r="J53" s="6"/>
      <c r="K53" s="1832"/>
      <c r="L53" s="709"/>
      <c r="M53" s="1833"/>
    </row>
    <row r="54" spans="1:13">
      <c r="A54" s="6"/>
      <c r="B54" s="15" t="s">
        <v>1007</v>
      </c>
      <c r="C54" s="16" t="s">
        <v>68</v>
      </c>
      <c r="D54" s="35">
        <v>1</v>
      </c>
      <c r="E54" s="721">
        <v>1.6666666666666666E-2</v>
      </c>
      <c r="F54" s="734">
        <v>6</v>
      </c>
      <c r="G54" s="734">
        <v>114763.5</v>
      </c>
      <c r="H54" s="162">
        <f t="shared" si="3"/>
        <v>11476.35</v>
      </c>
      <c r="I54" s="1835"/>
      <c r="J54" s="6"/>
      <c r="K54" s="1832"/>
      <c r="L54" s="709"/>
      <c r="M54" s="1833"/>
    </row>
    <row r="55" spans="1:13">
      <c r="A55" s="6"/>
      <c r="B55" s="15" t="s">
        <v>80</v>
      </c>
      <c r="C55" s="16" t="s">
        <v>68</v>
      </c>
      <c r="D55" s="35">
        <v>1</v>
      </c>
      <c r="E55" s="721">
        <v>1</v>
      </c>
      <c r="F55" s="734">
        <v>6</v>
      </c>
      <c r="G55" s="734">
        <v>650</v>
      </c>
      <c r="H55" s="162">
        <f t="shared" si="3"/>
        <v>3900</v>
      </c>
      <c r="I55" s="39"/>
      <c r="J55" s="6"/>
      <c r="K55" s="1832"/>
      <c r="L55" s="709"/>
      <c r="M55" s="1833"/>
    </row>
    <row r="56" spans="1:13">
      <c r="A56" s="6"/>
      <c r="B56" s="15" t="s">
        <v>81</v>
      </c>
      <c r="C56" s="16" t="s">
        <v>68</v>
      </c>
      <c r="D56" s="35">
        <v>1</v>
      </c>
      <c r="E56" s="721">
        <v>1</v>
      </c>
      <c r="F56" s="734">
        <v>6</v>
      </c>
      <c r="G56" s="734">
        <v>550</v>
      </c>
      <c r="H56" s="162">
        <f t="shared" si="3"/>
        <v>3300</v>
      </c>
      <c r="I56" s="39"/>
      <c r="J56" s="6"/>
      <c r="K56" s="1832"/>
      <c r="L56" s="709"/>
      <c r="M56" s="1833"/>
    </row>
    <row r="57" spans="1:13">
      <c r="A57" s="6"/>
      <c r="B57" s="17"/>
      <c r="C57" s="18"/>
      <c r="D57" s="722"/>
      <c r="E57" s="34"/>
      <c r="F57" s="735"/>
      <c r="G57" s="735"/>
      <c r="H57" s="737"/>
      <c r="I57" s="39"/>
      <c r="J57" s="6"/>
      <c r="L57" s="709"/>
      <c r="M57" s="709"/>
    </row>
    <row r="58" spans="1:13">
      <c r="A58" s="6"/>
      <c r="B58" s="19" t="s">
        <v>82</v>
      </c>
      <c r="C58" s="727"/>
      <c r="D58" s="727"/>
      <c r="E58" s="729"/>
      <c r="F58" s="730"/>
      <c r="G58" s="730"/>
      <c r="H58" s="731">
        <f>SUM(H50:H57)</f>
        <v>19501.349999999999</v>
      </c>
      <c r="I58" s="676"/>
      <c r="J58" s="6"/>
      <c r="K58" s="1832"/>
      <c r="L58" s="709"/>
      <c r="M58" s="709"/>
    </row>
    <row r="59" spans="1:13">
      <c r="A59" s="6"/>
      <c r="B59" s="1840" t="s">
        <v>1010</v>
      </c>
      <c r="C59" s="602"/>
      <c r="D59" s="602"/>
      <c r="E59" s="604"/>
      <c r="F59" s="605"/>
      <c r="G59" s="605"/>
      <c r="H59" s="606"/>
      <c r="I59" s="605"/>
      <c r="J59" s="603"/>
      <c r="L59" s="709"/>
      <c r="M59" s="709"/>
    </row>
    <row r="60" spans="1:13">
      <c r="A60" s="6"/>
      <c r="B60" s="602" t="s">
        <v>1008</v>
      </c>
      <c r="C60" s="602"/>
      <c r="D60" s="602"/>
      <c r="E60" s="604"/>
      <c r="F60" s="605"/>
      <c r="G60" s="605"/>
      <c r="H60" s="606"/>
      <c r="I60" s="605"/>
      <c r="J60" s="603"/>
      <c r="L60" s="709"/>
      <c r="M60" s="709"/>
    </row>
    <row r="61" spans="1:13">
      <c r="A61" s="6"/>
      <c r="C61" s="602"/>
      <c r="D61" s="602"/>
      <c r="E61" s="604"/>
      <c r="F61" s="605"/>
      <c r="G61" s="605"/>
      <c r="H61" s="606"/>
      <c r="I61" s="605"/>
      <c r="J61" s="603"/>
      <c r="L61" s="709"/>
      <c r="M61" s="709"/>
    </row>
    <row r="62" spans="1:13">
      <c r="A62" s="7">
        <v>1.5</v>
      </c>
      <c r="B62" s="607" t="s">
        <v>83</v>
      </c>
      <c r="C62" s="602"/>
      <c r="D62" s="602"/>
      <c r="E62" s="604"/>
      <c r="F62" s="605"/>
      <c r="G62" s="605"/>
      <c r="H62" s="606"/>
      <c r="I62" s="605"/>
      <c r="J62" s="603"/>
      <c r="L62" s="709"/>
      <c r="M62" s="709"/>
    </row>
    <row r="63" spans="1:13">
      <c r="A63" s="6"/>
      <c r="B63" s="738" t="s">
        <v>49</v>
      </c>
      <c r="C63" s="739" t="s">
        <v>58</v>
      </c>
      <c r="D63" s="753" t="s">
        <v>84</v>
      </c>
      <c r="E63" s="741" t="s">
        <v>85</v>
      </c>
      <c r="F63" s="754" t="s">
        <v>86</v>
      </c>
      <c r="G63" s="755" t="s">
        <v>87</v>
      </c>
      <c r="H63" s="744" t="s">
        <v>54</v>
      </c>
      <c r="I63" s="682"/>
      <c r="J63" s="683"/>
      <c r="L63" s="709"/>
      <c r="M63" s="709"/>
    </row>
    <row r="64" spans="1:13">
      <c r="A64" s="6"/>
      <c r="B64" s="751"/>
      <c r="C64" s="746"/>
      <c r="D64" s="756" t="s">
        <v>1001</v>
      </c>
      <c r="E64" s="748" t="s">
        <v>88</v>
      </c>
      <c r="F64" s="757" t="s">
        <v>999</v>
      </c>
      <c r="G64" s="758" t="s">
        <v>56</v>
      </c>
      <c r="H64" s="750" t="s">
        <v>999</v>
      </c>
      <c r="I64" s="682"/>
      <c r="J64" s="683"/>
      <c r="L64" s="709"/>
      <c r="M64" s="709"/>
    </row>
    <row r="65" spans="1:13" ht="132">
      <c r="A65" s="6"/>
      <c r="B65" s="1836" t="s">
        <v>1009</v>
      </c>
      <c r="C65" s="595" t="s">
        <v>90</v>
      </c>
      <c r="D65" s="1768"/>
      <c r="E65" s="609"/>
      <c r="F65" s="596"/>
      <c r="G65" s="596"/>
      <c r="H65" s="597">
        <v>35494.32</v>
      </c>
      <c r="I65" s="681"/>
      <c r="J65" s="1819"/>
      <c r="K65" s="1832"/>
      <c r="L65" s="709"/>
      <c r="M65" s="1833"/>
    </row>
    <row r="66" spans="1:13">
      <c r="A66" s="6"/>
      <c r="B66" s="594" t="s">
        <v>89</v>
      </c>
      <c r="C66" s="598" t="s">
        <v>90</v>
      </c>
      <c r="D66" s="610"/>
      <c r="E66" s="599"/>
      <c r="F66" s="611"/>
      <c r="G66" s="611"/>
      <c r="H66" s="597">
        <v>5084.75</v>
      </c>
      <c r="I66" s="681"/>
      <c r="J66" s="1819"/>
      <c r="K66" s="1832"/>
      <c r="L66" s="709"/>
      <c r="M66" s="1833"/>
    </row>
    <row r="67" spans="1:13">
      <c r="A67" s="6"/>
      <c r="B67" s="600" t="s">
        <v>91</v>
      </c>
      <c r="C67" s="612"/>
      <c r="D67" s="613"/>
      <c r="E67" s="614"/>
      <c r="F67" s="615"/>
      <c r="G67" s="615"/>
      <c r="H67" s="601">
        <f>SUM(H65:H66)</f>
        <v>40579.07</v>
      </c>
      <c r="I67" s="682"/>
      <c r="J67" s="1820"/>
      <c r="K67" s="1832"/>
      <c r="L67" s="709"/>
      <c r="M67" s="709"/>
    </row>
    <row r="68" spans="1:13">
      <c r="A68" s="6"/>
      <c r="B68" s="684"/>
      <c r="C68" s="602"/>
      <c r="D68" s="603"/>
      <c r="E68" s="685"/>
      <c r="F68" s="681"/>
      <c r="G68" s="681"/>
      <c r="H68" s="686"/>
      <c r="I68" s="682"/>
      <c r="J68" s="1820"/>
      <c r="L68" s="709"/>
      <c r="M68" s="709"/>
    </row>
    <row r="69" spans="1:13" ht="15">
      <c r="A69" s="6"/>
      <c r="B69" s="40" t="s">
        <v>92</v>
      </c>
      <c r="C69" s="41"/>
      <c r="D69" s="42"/>
      <c r="E69" s="43"/>
      <c r="F69" s="44"/>
      <c r="G69" s="44"/>
      <c r="H69" s="91">
        <f>ROUND(+H67+H58+H45+H32+H19,2)</f>
        <v>272360.42</v>
      </c>
      <c r="I69" s="687"/>
      <c r="J69" s="1821"/>
      <c r="K69" s="1832"/>
      <c r="L69" s="709"/>
      <c r="M69" s="709"/>
    </row>
    <row r="70" spans="1:13">
      <c r="A70" s="6"/>
      <c r="B70" s="5"/>
      <c r="C70" s="5"/>
      <c r="D70" s="5"/>
      <c r="E70" s="21"/>
      <c r="F70" s="22"/>
      <c r="G70" s="22"/>
      <c r="H70" s="86"/>
      <c r="I70" s="22"/>
      <c r="J70" s="6"/>
      <c r="L70" s="709"/>
      <c r="M70" s="709"/>
    </row>
    <row r="71" spans="1:13" ht="15.75">
      <c r="A71" s="159" t="s">
        <v>93</v>
      </c>
      <c r="B71" s="157" t="s">
        <v>94</v>
      </c>
      <c r="C71" s="5"/>
      <c r="D71" s="5"/>
      <c r="E71" s="21"/>
      <c r="F71" s="22"/>
      <c r="G71" s="22"/>
      <c r="H71" s="86"/>
      <c r="I71" s="22"/>
      <c r="J71" s="6"/>
      <c r="L71" s="709"/>
      <c r="M71" s="709"/>
    </row>
    <row r="72" spans="1:13">
      <c r="A72" s="45" t="s">
        <v>95</v>
      </c>
      <c r="B72" s="46" t="s">
        <v>163</v>
      </c>
      <c r="C72" s="5"/>
      <c r="D72" s="5"/>
      <c r="E72" s="21"/>
      <c r="F72" s="22"/>
      <c r="G72" s="22"/>
      <c r="H72" s="86"/>
      <c r="I72" s="22"/>
      <c r="J72" s="6"/>
      <c r="L72" s="709"/>
      <c r="M72" s="709"/>
    </row>
    <row r="73" spans="1:13">
      <c r="A73" s="6"/>
      <c r="B73" s="5"/>
      <c r="C73" s="5"/>
      <c r="D73" s="5"/>
      <c r="E73" s="21"/>
      <c r="F73" s="22"/>
      <c r="G73" s="22"/>
      <c r="H73" s="86"/>
      <c r="I73" s="22"/>
      <c r="J73" s="6"/>
      <c r="L73" s="709"/>
      <c r="M73" s="709"/>
    </row>
    <row r="74" spans="1:13">
      <c r="A74" s="6"/>
      <c r="B74" s="47" t="s">
        <v>49</v>
      </c>
      <c r="C74" s="48" t="s">
        <v>58</v>
      </c>
      <c r="D74" s="49" t="s">
        <v>124</v>
      </c>
      <c r="E74" s="50" t="s">
        <v>96</v>
      </c>
      <c r="F74" s="51" t="s">
        <v>67</v>
      </c>
      <c r="G74" s="52" t="s">
        <v>97</v>
      </c>
      <c r="H74" s="92" t="s">
        <v>98</v>
      </c>
      <c r="I74" s="688"/>
      <c r="J74" s="689"/>
      <c r="L74" s="709"/>
      <c r="M74" s="709"/>
    </row>
    <row r="75" spans="1:13">
      <c r="A75" s="6"/>
      <c r="B75" s="53"/>
      <c r="C75" s="54"/>
      <c r="D75" s="55"/>
      <c r="E75" s="56" t="s">
        <v>55</v>
      </c>
      <c r="F75" s="36" t="s">
        <v>999</v>
      </c>
      <c r="G75" s="37" t="s">
        <v>56</v>
      </c>
      <c r="H75" s="88" t="s">
        <v>999</v>
      </c>
      <c r="I75" s="676"/>
      <c r="J75" s="690"/>
      <c r="L75" s="709"/>
      <c r="M75" s="709"/>
    </row>
    <row r="76" spans="1:13">
      <c r="A76" s="6"/>
      <c r="B76" s="144" t="s">
        <v>99</v>
      </c>
      <c r="C76" s="66" t="s">
        <v>58</v>
      </c>
      <c r="D76" s="30">
        <v>1</v>
      </c>
      <c r="E76" s="718">
        <v>0.05</v>
      </c>
      <c r="F76" s="39">
        <v>6000</v>
      </c>
      <c r="G76" s="145">
        <v>10</v>
      </c>
      <c r="H76" s="146">
        <f t="shared" ref="H76:H81" si="4">+ROUND(+G76*F76*E76*D76,2)</f>
        <v>3000</v>
      </c>
      <c r="I76" s="691"/>
      <c r="J76" s="692"/>
      <c r="K76" s="1832"/>
      <c r="L76" s="709"/>
      <c r="M76" s="1833"/>
    </row>
    <row r="77" spans="1:13">
      <c r="A77" s="6"/>
      <c r="B77" s="147" t="s">
        <v>100</v>
      </c>
      <c r="C77" s="16" t="s">
        <v>58</v>
      </c>
      <c r="D77" s="693">
        <v>1</v>
      </c>
      <c r="E77" s="721">
        <v>0.05</v>
      </c>
      <c r="F77" s="759">
        <v>5000</v>
      </c>
      <c r="G77" s="760">
        <v>10</v>
      </c>
      <c r="H77" s="148">
        <f>+ROUND(+G77*F77*E77*D77,2)</f>
        <v>2500</v>
      </c>
      <c r="I77" s="691"/>
      <c r="J77" s="692"/>
      <c r="K77" s="1832"/>
      <c r="L77" s="709"/>
      <c r="M77" s="1833"/>
    </row>
    <row r="78" spans="1:13">
      <c r="A78" s="6"/>
      <c r="B78" s="147" t="s">
        <v>101</v>
      </c>
      <c r="C78" s="16" t="s">
        <v>58</v>
      </c>
      <c r="D78" s="693">
        <v>1</v>
      </c>
      <c r="E78" s="721">
        <v>0.05</v>
      </c>
      <c r="F78" s="759">
        <v>3500</v>
      </c>
      <c r="G78" s="760">
        <v>10</v>
      </c>
      <c r="H78" s="148">
        <f>+ROUND(+G78*F78*E78*D78,2)</f>
        <v>1750</v>
      </c>
      <c r="I78" s="691"/>
      <c r="J78" s="692"/>
      <c r="K78" s="1832"/>
      <c r="L78" s="709"/>
      <c r="M78" s="1833"/>
    </row>
    <row r="79" spans="1:13">
      <c r="A79" s="6"/>
      <c r="B79" s="147" t="s">
        <v>414</v>
      </c>
      <c r="C79" s="16" t="s">
        <v>58</v>
      </c>
      <c r="D79" s="693">
        <v>1</v>
      </c>
      <c r="E79" s="721">
        <v>0.05</v>
      </c>
      <c r="F79" s="759">
        <v>2500</v>
      </c>
      <c r="G79" s="760">
        <v>10</v>
      </c>
      <c r="H79" s="148">
        <f>+ROUND(+G79*F79*E79*D79,2)</f>
        <v>1250</v>
      </c>
      <c r="I79" s="691"/>
      <c r="J79" s="692"/>
      <c r="K79" s="1832"/>
      <c r="L79" s="709"/>
      <c r="M79" s="1833"/>
    </row>
    <row r="80" spans="1:13">
      <c r="A80" s="6"/>
      <c r="B80" s="149" t="s">
        <v>102</v>
      </c>
      <c r="C80" s="16" t="s">
        <v>58</v>
      </c>
      <c r="D80" s="693">
        <v>1</v>
      </c>
      <c r="E80" s="721">
        <v>0.05</v>
      </c>
      <c r="F80" s="759">
        <v>1500</v>
      </c>
      <c r="G80" s="760">
        <v>10</v>
      </c>
      <c r="H80" s="148">
        <f t="shared" si="4"/>
        <v>750</v>
      </c>
      <c r="I80" s="691"/>
      <c r="J80" s="692"/>
      <c r="K80" s="1832"/>
      <c r="L80" s="709"/>
      <c r="M80" s="1833"/>
    </row>
    <row r="81" spans="1:13">
      <c r="A81" s="6"/>
      <c r="B81" s="147" t="s">
        <v>64</v>
      </c>
      <c r="C81" s="18" t="s">
        <v>58</v>
      </c>
      <c r="D81" s="693">
        <v>1</v>
      </c>
      <c r="E81" s="721">
        <v>0.05</v>
      </c>
      <c r="F81" s="1841">
        <v>1700</v>
      </c>
      <c r="G81" s="760">
        <v>10</v>
      </c>
      <c r="H81" s="151">
        <f t="shared" si="4"/>
        <v>850</v>
      </c>
      <c r="I81" s="691"/>
      <c r="J81" s="692"/>
      <c r="K81" s="1832"/>
      <c r="L81" s="709"/>
      <c r="M81" s="1833"/>
    </row>
    <row r="82" spans="1:13">
      <c r="A82" s="6"/>
      <c r="B82" s="19" t="s">
        <v>103</v>
      </c>
      <c r="C82" s="57"/>
      <c r="D82" s="58"/>
      <c r="E82" s="59"/>
      <c r="F82" s="60"/>
      <c r="G82" s="61"/>
      <c r="H82" s="89">
        <f>SUM(H76:H81)</f>
        <v>10100</v>
      </c>
      <c r="I82" s="676"/>
      <c r="J82" s="1817"/>
      <c r="K82" s="1832"/>
      <c r="L82" s="709"/>
      <c r="M82" s="709"/>
    </row>
    <row r="83" spans="1:13">
      <c r="A83" s="6"/>
      <c r="B83" s="5"/>
      <c r="C83" s="5"/>
      <c r="D83" s="5"/>
      <c r="E83" s="21"/>
      <c r="F83" s="22"/>
      <c r="G83" s="22"/>
      <c r="H83" s="86"/>
      <c r="I83" s="22"/>
      <c r="J83" s="6"/>
      <c r="L83" s="709"/>
      <c r="M83" s="709"/>
    </row>
    <row r="84" spans="1:13">
      <c r="A84" s="45" t="s">
        <v>104</v>
      </c>
      <c r="B84" s="46" t="s">
        <v>105</v>
      </c>
      <c r="C84" s="5"/>
      <c r="D84" s="5"/>
      <c r="E84" s="21"/>
      <c r="F84" s="22"/>
      <c r="G84" s="22"/>
      <c r="H84" s="86"/>
      <c r="I84" s="22"/>
      <c r="J84" s="6"/>
      <c r="L84" s="709"/>
      <c r="M84" s="709"/>
    </row>
    <row r="85" spans="1:13">
      <c r="A85" s="6"/>
      <c r="B85" s="62" t="s">
        <v>49</v>
      </c>
      <c r="C85" s="48" t="s">
        <v>58</v>
      </c>
      <c r="D85" s="49" t="s">
        <v>208</v>
      </c>
      <c r="E85" s="50" t="s">
        <v>96</v>
      </c>
      <c r="F85" s="51" t="s">
        <v>67</v>
      </c>
      <c r="G85" s="52" t="s">
        <v>97</v>
      </c>
      <c r="H85" s="92" t="s">
        <v>98</v>
      </c>
      <c r="I85" s="688"/>
      <c r="J85" s="689"/>
      <c r="L85" s="709"/>
      <c r="M85" s="709"/>
    </row>
    <row r="86" spans="1:13">
      <c r="A86" s="6"/>
      <c r="B86" s="63"/>
      <c r="C86" s="64"/>
      <c r="D86" s="55"/>
      <c r="E86" s="56" t="s">
        <v>55</v>
      </c>
      <c r="F86" s="36" t="s">
        <v>999</v>
      </c>
      <c r="G86" s="37" t="s">
        <v>56</v>
      </c>
      <c r="H86" s="88" t="s">
        <v>999</v>
      </c>
      <c r="I86" s="676"/>
      <c r="J86" s="690"/>
      <c r="L86" s="709"/>
      <c r="M86" s="709"/>
    </row>
    <row r="87" spans="1:13">
      <c r="A87" s="6"/>
      <c r="B87" s="152" t="s">
        <v>106</v>
      </c>
      <c r="C87" s="153" t="s">
        <v>58</v>
      </c>
      <c r="D87" s="153">
        <v>1</v>
      </c>
      <c r="E87" s="718">
        <v>0.05</v>
      </c>
      <c r="F87" s="1837">
        <v>450</v>
      </c>
      <c r="G87" s="145">
        <v>10</v>
      </c>
      <c r="H87" s="146">
        <f>+ROUND(+G87*F87*E87*D87,2)</f>
        <v>225</v>
      </c>
      <c r="I87" s="691"/>
      <c r="J87" s="692"/>
      <c r="K87" s="1832"/>
      <c r="L87" s="709"/>
      <c r="M87" s="1833"/>
    </row>
    <row r="88" spans="1:13">
      <c r="A88" s="6"/>
      <c r="B88" s="152" t="s">
        <v>107</v>
      </c>
      <c r="C88" s="16" t="s">
        <v>272</v>
      </c>
      <c r="D88" s="154">
        <v>1</v>
      </c>
      <c r="E88" s="721">
        <v>0.05</v>
      </c>
      <c r="F88" s="1838">
        <v>400</v>
      </c>
      <c r="G88" s="760">
        <v>10</v>
      </c>
      <c r="H88" s="148">
        <f>+ROUND(+G88*F88*E88*D88,2)</f>
        <v>200</v>
      </c>
      <c r="I88" s="691"/>
      <c r="J88" s="692"/>
      <c r="K88" s="1832"/>
      <c r="L88" s="709"/>
      <c r="M88" s="1833"/>
    </row>
    <row r="89" spans="1:13">
      <c r="A89" s="6"/>
      <c r="B89" s="155" t="s">
        <v>108</v>
      </c>
      <c r="C89" s="35" t="s">
        <v>272</v>
      </c>
      <c r="D89" s="154">
        <v>1</v>
      </c>
      <c r="E89" s="721">
        <v>0.05</v>
      </c>
      <c r="F89" s="1838">
        <v>500</v>
      </c>
      <c r="G89" s="760">
        <v>10</v>
      </c>
      <c r="H89" s="148">
        <f>+ROUND(+G89*F89*E89*D89,2)</f>
        <v>250</v>
      </c>
      <c r="I89" s="691"/>
      <c r="J89" s="692"/>
      <c r="K89" s="1832"/>
      <c r="L89" s="709"/>
      <c r="M89" s="1833"/>
    </row>
    <row r="90" spans="1:13">
      <c r="A90" s="6"/>
      <c r="B90" s="152" t="s">
        <v>109</v>
      </c>
      <c r="C90" s="18" t="s">
        <v>272</v>
      </c>
      <c r="D90" s="156">
        <v>1</v>
      </c>
      <c r="E90" s="723">
        <v>0.05</v>
      </c>
      <c r="F90" s="1839">
        <v>500</v>
      </c>
      <c r="G90" s="150">
        <v>10</v>
      </c>
      <c r="H90" s="151">
        <f>+ROUND(+G90*F90*E90*D90,2)</f>
        <v>250</v>
      </c>
      <c r="I90" s="691"/>
      <c r="J90" s="692"/>
      <c r="K90" s="1832"/>
      <c r="L90" s="709"/>
      <c r="M90" s="1833"/>
    </row>
    <row r="91" spans="1:13">
      <c r="A91" s="6"/>
      <c r="B91" s="19" t="s">
        <v>110</v>
      </c>
      <c r="C91" s="58"/>
      <c r="D91" s="163"/>
      <c r="E91" s="59"/>
      <c r="F91" s="60"/>
      <c r="G91" s="61"/>
      <c r="H91" s="89">
        <f>SUM(H87:H90)</f>
        <v>925</v>
      </c>
      <c r="I91" s="694"/>
      <c r="J91" s="1817"/>
      <c r="K91" s="1832"/>
      <c r="L91" s="709"/>
      <c r="M91" s="1833"/>
    </row>
    <row r="92" spans="1:13">
      <c r="A92" s="6"/>
      <c r="B92" s="5"/>
      <c r="C92" s="5"/>
      <c r="D92" s="6"/>
      <c r="E92" s="21"/>
      <c r="F92" s="22"/>
      <c r="G92" s="22"/>
      <c r="H92" s="86"/>
      <c r="I92" s="22"/>
      <c r="J92" s="6"/>
      <c r="L92" s="709"/>
      <c r="M92" s="709"/>
    </row>
    <row r="93" spans="1:13">
      <c r="A93" s="7" t="s">
        <v>111</v>
      </c>
      <c r="B93" s="8" t="s">
        <v>112</v>
      </c>
      <c r="C93" s="5"/>
      <c r="D93" s="6"/>
      <c r="E93" s="21"/>
      <c r="F93" s="22"/>
      <c r="G93" s="22"/>
      <c r="H93" s="86"/>
      <c r="I93" s="22"/>
      <c r="J93" s="6"/>
      <c r="L93" s="709"/>
      <c r="M93" s="709"/>
    </row>
    <row r="94" spans="1:13">
      <c r="A94" s="6"/>
      <c r="B94" s="9" t="s">
        <v>49</v>
      </c>
      <c r="C94" s="10" t="s">
        <v>58</v>
      </c>
      <c r="D94" s="49" t="s">
        <v>208</v>
      </c>
      <c r="E94" s="24" t="s">
        <v>85</v>
      </c>
      <c r="F94" s="65" t="s">
        <v>84</v>
      </c>
      <c r="G94" s="52" t="s">
        <v>97</v>
      </c>
      <c r="H94" s="87" t="s">
        <v>54</v>
      </c>
      <c r="I94" s="676"/>
      <c r="J94" s="675"/>
      <c r="L94" s="709"/>
      <c r="M94" s="709"/>
    </row>
    <row r="95" spans="1:13">
      <c r="A95" s="6"/>
      <c r="B95" s="12"/>
      <c r="C95" s="13"/>
      <c r="D95" s="55"/>
      <c r="E95" s="27"/>
      <c r="F95" s="36" t="s">
        <v>999</v>
      </c>
      <c r="G95" s="37" t="s">
        <v>56</v>
      </c>
      <c r="H95" s="88" t="s">
        <v>999</v>
      </c>
      <c r="I95" s="676"/>
      <c r="J95" s="675"/>
      <c r="L95" s="709"/>
      <c r="M95" s="709"/>
    </row>
    <row r="96" spans="1:13">
      <c r="A96" s="6"/>
      <c r="B96" s="29" t="s">
        <v>113</v>
      </c>
      <c r="C96" s="66" t="s">
        <v>90</v>
      </c>
      <c r="D96" s="153">
        <v>1</v>
      </c>
      <c r="E96" s="38">
        <v>2.0000000000000001E-4</v>
      </c>
      <c r="F96" s="67" t="e">
        <f>+#REF!</f>
        <v>#REF!</v>
      </c>
      <c r="G96" s="145">
        <v>1</v>
      </c>
      <c r="H96" s="146" t="e">
        <f>+ROUND(+G96*F96*E96*D96,2)</f>
        <v>#REF!</v>
      </c>
      <c r="I96" s="691"/>
      <c r="J96" s="1817"/>
      <c r="K96" s="1832"/>
      <c r="L96" s="709"/>
      <c r="M96" s="1833"/>
    </row>
    <row r="97" spans="1:13">
      <c r="A97" s="6"/>
      <c r="B97" s="17" t="s">
        <v>114</v>
      </c>
      <c r="C97" s="18" t="s">
        <v>90</v>
      </c>
      <c r="D97" s="156">
        <v>1</v>
      </c>
      <c r="E97" s="34">
        <v>2.0000000000000001E-4</v>
      </c>
      <c r="F97" s="68" t="e">
        <f>+F96</f>
        <v>#REF!</v>
      </c>
      <c r="G97" s="150">
        <v>1</v>
      </c>
      <c r="H97" s="151" t="e">
        <f>+ROUND(+G97*F97*E97*D97,2)</f>
        <v>#REF!</v>
      </c>
      <c r="I97" s="691"/>
      <c r="J97" s="1817"/>
      <c r="K97" s="1832"/>
      <c r="L97" s="709"/>
      <c r="M97" s="1833"/>
    </row>
    <row r="98" spans="1:13">
      <c r="A98" s="6"/>
      <c r="B98" s="19" t="s">
        <v>115</v>
      </c>
      <c r="C98" s="20"/>
      <c r="D98" s="20"/>
      <c r="E98" s="20"/>
      <c r="F98" s="262"/>
      <c r="G98" s="262"/>
      <c r="H98" s="89" t="e">
        <f>+H97+H96</f>
        <v>#REF!</v>
      </c>
      <c r="I98" s="694"/>
      <c r="J98" s="1818"/>
      <c r="K98" s="1832"/>
      <c r="L98" s="709"/>
      <c r="M98" s="709"/>
    </row>
    <row r="99" spans="1:13">
      <c r="A99" s="6"/>
      <c r="B99" s="695"/>
      <c r="C99" s="5"/>
      <c r="D99" s="5"/>
      <c r="E99" s="5"/>
      <c r="F99" s="22"/>
      <c r="G99" s="22"/>
      <c r="H99" s="696"/>
      <c r="I99" s="694"/>
      <c r="J99" s="1818"/>
      <c r="L99" s="709"/>
      <c r="M99" s="709"/>
    </row>
    <row r="100" spans="1:13">
      <c r="A100" s="264">
        <v>2.4</v>
      </c>
      <c r="B100" s="762" t="s">
        <v>375</v>
      </c>
      <c r="C100" s="265"/>
      <c r="D100" s="265"/>
      <c r="E100" s="266"/>
      <c r="F100" s="267"/>
      <c r="G100" s="267"/>
      <c r="H100" s="268"/>
      <c r="I100" s="694"/>
      <c r="J100" s="1818"/>
      <c r="L100" s="709"/>
      <c r="M100" s="709"/>
    </row>
    <row r="101" spans="1:13">
      <c r="A101" s="269"/>
      <c r="B101" s="270" t="s">
        <v>49</v>
      </c>
      <c r="C101" s="271" t="s">
        <v>58</v>
      </c>
      <c r="D101" s="271" t="s">
        <v>124</v>
      </c>
      <c r="E101" s="272" t="s">
        <v>51</v>
      </c>
      <c r="F101" s="271" t="s">
        <v>52</v>
      </c>
      <c r="G101" s="272" t="s">
        <v>53</v>
      </c>
      <c r="H101" s="273" t="s">
        <v>54</v>
      </c>
      <c r="I101" s="694"/>
      <c r="J101" s="1818"/>
      <c r="L101" s="709"/>
      <c r="M101" s="709"/>
    </row>
    <row r="102" spans="1:13">
      <c r="A102" s="269"/>
      <c r="B102" s="274"/>
      <c r="C102" s="275"/>
      <c r="D102" s="275"/>
      <c r="E102" s="276" t="s">
        <v>55</v>
      </c>
      <c r="F102" s="275" t="s">
        <v>56</v>
      </c>
      <c r="G102" s="276" t="s">
        <v>1000</v>
      </c>
      <c r="H102" s="277" t="s">
        <v>1000</v>
      </c>
      <c r="I102" s="694"/>
      <c r="J102" s="1818"/>
      <c r="L102" s="709"/>
      <c r="M102" s="709"/>
    </row>
    <row r="103" spans="1:13">
      <c r="A103" s="269"/>
      <c r="B103" s="278" t="s">
        <v>57</v>
      </c>
      <c r="C103" s="279" t="s">
        <v>376</v>
      </c>
      <c r="D103" s="280">
        <v>1</v>
      </c>
      <c r="E103" s="281">
        <v>0.15</v>
      </c>
      <c r="F103" s="282">
        <v>1</v>
      </c>
      <c r="G103" s="761">
        <v>7500</v>
      </c>
      <c r="H103" s="283">
        <f>+ROUND(+G103*F103*E103*D103,2)</f>
        <v>1125</v>
      </c>
      <c r="I103" s="694"/>
      <c r="J103" s="1818"/>
      <c r="K103" s="1832"/>
      <c r="L103" s="709"/>
      <c r="M103" s="1833"/>
    </row>
    <row r="104" spans="1:13">
      <c r="A104" s="269"/>
      <c r="B104" s="284" t="s">
        <v>244</v>
      </c>
      <c r="C104" s="279" t="s">
        <v>376</v>
      </c>
      <c r="D104" s="280">
        <v>1</v>
      </c>
      <c r="E104" s="281">
        <v>0.15</v>
      </c>
      <c r="F104" s="282">
        <v>1</v>
      </c>
      <c r="G104" s="282">
        <v>1800</v>
      </c>
      <c r="H104" s="283">
        <f>+ROUND(+G104*F104*E104*D104,2)</f>
        <v>270</v>
      </c>
      <c r="I104" s="694"/>
      <c r="J104" s="1818"/>
      <c r="K104" s="1832"/>
      <c r="L104" s="709"/>
      <c r="M104" s="1833"/>
    </row>
    <row r="105" spans="1:13">
      <c r="A105" s="269"/>
      <c r="B105" s="284" t="s">
        <v>592</v>
      </c>
      <c r="C105" s="279" t="s">
        <v>376</v>
      </c>
      <c r="D105" s="280">
        <v>1</v>
      </c>
      <c r="E105" s="281">
        <v>0.15</v>
      </c>
      <c r="F105" s="282">
        <v>1</v>
      </c>
      <c r="G105" s="282">
        <v>9000</v>
      </c>
      <c r="H105" s="283">
        <f>+ROUND(+G105*F105*E105*D105,2)</f>
        <v>1350</v>
      </c>
      <c r="I105" s="694"/>
      <c r="J105" s="1818"/>
      <c r="K105" s="1832"/>
      <c r="L105" s="709"/>
      <c r="M105" s="1833"/>
    </row>
    <row r="106" spans="1:13">
      <c r="A106" s="269"/>
      <c r="B106" s="15"/>
      <c r="C106" s="16"/>
      <c r="D106" s="280"/>
      <c r="E106" s="281"/>
      <c r="F106" s="282"/>
      <c r="G106" s="761"/>
      <c r="H106" s="283"/>
      <c r="I106" s="694"/>
      <c r="J106" s="1818"/>
      <c r="L106" s="709"/>
      <c r="M106" s="709"/>
    </row>
    <row r="107" spans="1:13">
      <c r="A107" s="269"/>
      <c r="B107" s="697" t="s">
        <v>377</v>
      </c>
      <c r="C107" s="698"/>
      <c r="D107" s="699"/>
      <c r="E107" s="700"/>
      <c r="F107" s="701"/>
      <c r="G107" s="701"/>
      <c r="H107" s="702">
        <f>SUM(H103:H106)</f>
        <v>2745</v>
      </c>
      <c r="I107" s="694"/>
      <c r="J107" s="1818"/>
      <c r="K107" s="1832"/>
    </row>
    <row r="108" spans="1:13">
      <c r="A108" s="6"/>
      <c r="B108" s="695"/>
      <c r="C108" s="5"/>
      <c r="D108" s="5"/>
      <c r="E108" s="5"/>
      <c r="F108" s="22"/>
      <c r="G108" s="22"/>
      <c r="H108" s="696"/>
      <c r="I108" s="694"/>
      <c r="J108" s="1818"/>
    </row>
    <row r="109" spans="1:13" ht="344.25">
      <c r="A109" s="264">
        <v>2.5</v>
      </c>
      <c r="B109" s="1843" t="s">
        <v>378</v>
      </c>
      <c r="C109" s="1843"/>
      <c r="D109" s="1843"/>
      <c r="E109" s="1843"/>
      <c r="F109" s="1843"/>
      <c r="G109" s="1843"/>
      <c r="H109" s="1843"/>
      <c r="I109" s="694"/>
      <c r="J109" s="1818"/>
    </row>
    <row r="110" spans="1:13">
      <c r="A110" s="269"/>
      <c r="B110" s="270" t="s">
        <v>49</v>
      </c>
      <c r="C110" s="271" t="s">
        <v>58</v>
      </c>
      <c r="D110" s="271" t="s">
        <v>124</v>
      </c>
      <c r="E110" s="272" t="s">
        <v>51</v>
      </c>
      <c r="F110" s="271" t="s">
        <v>52</v>
      </c>
      <c r="G110" s="272" t="s">
        <v>53</v>
      </c>
      <c r="H110" s="273" t="s">
        <v>54</v>
      </c>
      <c r="I110" s="694"/>
      <c r="J110" s="1818"/>
      <c r="L110" s="709"/>
    </row>
    <row r="111" spans="1:13">
      <c r="A111" s="269"/>
      <c r="B111" s="274"/>
      <c r="C111" s="275"/>
      <c r="D111" s="275"/>
      <c r="E111" s="276" t="s">
        <v>55</v>
      </c>
      <c r="F111" s="275" t="s">
        <v>56</v>
      </c>
      <c r="G111" s="276" t="s">
        <v>1000</v>
      </c>
      <c r="H111" s="277" t="s">
        <v>1000</v>
      </c>
      <c r="I111" s="694"/>
      <c r="J111" s="1818"/>
      <c r="L111" s="709"/>
    </row>
    <row r="112" spans="1:13" ht="144">
      <c r="A112" s="269"/>
      <c r="B112" s="703" t="s">
        <v>409</v>
      </c>
      <c r="C112" s="704" t="s">
        <v>376</v>
      </c>
      <c r="D112" s="285">
        <v>1</v>
      </c>
      <c r="E112" s="705">
        <v>1</v>
      </c>
      <c r="F112" s="706">
        <v>0.8</v>
      </c>
      <c r="G112" s="706">
        <v>2714.08</v>
      </c>
      <c r="H112" s="707">
        <f>+ROUND(+G112*F112*E112*D112,2)</f>
        <v>2171.2600000000002</v>
      </c>
      <c r="I112" s="694"/>
      <c r="J112" s="1818"/>
      <c r="K112" s="1832"/>
      <c r="L112" s="709"/>
    </row>
    <row r="113" spans="1:11">
      <c r="A113" s="269"/>
      <c r="B113" s="703"/>
      <c r="C113" s="704"/>
      <c r="D113" s="285"/>
      <c r="E113" s="705"/>
      <c r="F113" s="706"/>
      <c r="G113" s="706"/>
      <c r="H113" s="707"/>
      <c r="I113" s="694"/>
      <c r="J113" s="1818"/>
    </row>
    <row r="114" spans="1:11">
      <c r="A114" s="269"/>
      <c r="B114" s="697" t="s">
        <v>411</v>
      </c>
      <c r="C114" s="698"/>
      <c r="D114" s="699"/>
      <c r="E114" s="700"/>
      <c r="F114" s="701"/>
      <c r="G114" s="701"/>
      <c r="H114" s="702">
        <f>SUM(H112:H113)</f>
        <v>2171.2600000000002</v>
      </c>
      <c r="I114" s="694"/>
      <c r="J114" s="1830"/>
      <c r="K114" s="1832"/>
    </row>
    <row r="115" spans="1:11" ht="15">
      <c r="A115" s="6"/>
      <c r="B115" s="40" t="s">
        <v>116</v>
      </c>
      <c r="C115" s="41"/>
      <c r="D115" s="41"/>
      <c r="E115" s="41"/>
      <c r="F115" s="263"/>
      <c r="G115" s="263"/>
      <c r="H115" s="91" t="e">
        <f>+ROUND(H98+H91+H82+H107+H114,2)</f>
        <v>#REF!</v>
      </c>
      <c r="I115" s="687"/>
      <c r="J115" s="1821"/>
      <c r="K115" s="1832"/>
    </row>
    <row r="116" spans="1:11" ht="15">
      <c r="A116" s="6"/>
      <c r="B116" s="5"/>
      <c r="C116" s="5"/>
      <c r="D116" s="5"/>
      <c r="E116" s="5"/>
      <c r="F116" s="22"/>
      <c r="G116" s="22"/>
      <c r="H116" s="90"/>
      <c r="I116" s="39"/>
      <c r="J116" s="1821"/>
    </row>
    <row r="117" spans="1:11" ht="15.75">
      <c r="A117" s="6"/>
      <c r="B117" s="164" t="s">
        <v>117</v>
      </c>
      <c r="C117" s="165"/>
      <c r="D117" s="165"/>
      <c r="E117" s="165"/>
      <c r="F117" s="166"/>
      <c r="G117" s="166"/>
      <c r="H117" s="167" t="e">
        <f>+H115+H69</f>
        <v>#REF!</v>
      </c>
      <c r="I117" s="708"/>
      <c r="J117" s="1821"/>
      <c r="K117" s="1832"/>
    </row>
    <row r="118" spans="1:11" ht="15">
      <c r="A118" s="6"/>
      <c r="B118" s="5"/>
      <c r="C118" s="5"/>
      <c r="D118" s="5"/>
      <c r="E118" s="5"/>
      <c r="F118" s="22"/>
      <c r="G118" s="22"/>
      <c r="H118" s="86"/>
      <c r="I118" s="22"/>
      <c r="J118" s="1821"/>
    </row>
    <row r="119" spans="1:11" ht="15.75">
      <c r="A119" s="159" t="s">
        <v>118</v>
      </c>
      <c r="B119" s="157" t="s">
        <v>119</v>
      </c>
      <c r="C119" s="5"/>
      <c r="D119" s="5"/>
      <c r="E119" s="5"/>
      <c r="F119" s="22"/>
      <c r="H119" s="93" t="s">
        <v>999</v>
      </c>
      <c r="I119" s="676"/>
      <c r="J119" s="1821"/>
    </row>
    <row r="120" spans="1:11" ht="15.75">
      <c r="A120" s="6"/>
      <c r="B120" s="71" t="s">
        <v>120</v>
      </c>
      <c r="C120" s="69"/>
      <c r="D120" s="69"/>
      <c r="E120" s="69"/>
      <c r="F120" s="70"/>
      <c r="G120" s="70"/>
      <c r="H120" s="94">
        <f>+H69</f>
        <v>272360.42</v>
      </c>
      <c r="I120" s="694"/>
      <c r="J120" s="1822"/>
      <c r="K120" s="1829"/>
    </row>
    <row r="121" spans="1:11" ht="15.75">
      <c r="A121" s="6"/>
      <c r="B121" s="71" t="s">
        <v>94</v>
      </c>
      <c r="C121" s="69"/>
      <c r="D121" s="69"/>
      <c r="E121" s="69"/>
      <c r="F121" s="70"/>
      <c r="G121" s="70"/>
      <c r="H121" s="94" t="e">
        <f>+H115</f>
        <v>#REF!</v>
      </c>
      <c r="I121" s="694"/>
      <c r="J121" s="1904"/>
      <c r="K121" s="1829"/>
    </row>
    <row r="122" spans="1:11" ht="15.75">
      <c r="A122" s="6"/>
      <c r="B122" s="72" t="s">
        <v>117</v>
      </c>
      <c r="C122" s="69"/>
      <c r="D122" s="69"/>
      <c r="E122" s="69"/>
      <c r="F122" s="70"/>
      <c r="G122" s="70"/>
      <c r="H122" s="94" t="e">
        <f>+H121+H120</f>
        <v>#REF!</v>
      </c>
      <c r="I122" s="694"/>
      <c r="J122" s="1822"/>
      <c r="K122" s="1829"/>
    </row>
    <row r="123" spans="1:11">
      <c r="A123" s="6"/>
      <c r="B123" s="677"/>
      <c r="C123" s="5"/>
      <c r="D123" s="5"/>
      <c r="E123" s="5"/>
      <c r="F123" s="22"/>
      <c r="G123" s="22"/>
      <c r="H123" s="86"/>
      <c r="I123" s="22"/>
      <c r="J123" s="6"/>
    </row>
    <row r="124" spans="1:11">
      <c r="A124" s="6"/>
      <c r="F124" s="168"/>
      <c r="G124" s="168"/>
      <c r="I124" s="168"/>
      <c r="J124" s="1817"/>
    </row>
    <row r="125" spans="1:11">
      <c r="A125" s="709"/>
      <c r="F125" s="168"/>
      <c r="G125" s="168"/>
      <c r="H125" s="169"/>
      <c r="I125" s="168"/>
    </row>
    <row r="126" spans="1:11">
      <c r="A126" s="709"/>
      <c r="F126" s="168"/>
      <c r="G126" s="168"/>
      <c r="H126" s="169"/>
      <c r="I126" s="168"/>
    </row>
    <row r="127" spans="1:11" ht="15">
      <c r="A127" s="709"/>
      <c r="B127" s="670"/>
      <c r="C127" s="670"/>
      <c r="D127" s="670"/>
      <c r="E127" s="670"/>
      <c r="F127" s="710"/>
      <c r="G127" s="710"/>
      <c r="H127" s="95"/>
      <c r="I127" s="2"/>
    </row>
    <row r="128" spans="1:11">
      <c r="F128" s="168"/>
      <c r="G128" s="168"/>
      <c r="H128" s="96"/>
      <c r="I128" s="694"/>
    </row>
    <row r="129" spans="6:9">
      <c r="F129" s="168"/>
      <c r="G129" s="168"/>
      <c r="H129" s="711"/>
      <c r="I129" s="694"/>
    </row>
    <row r="130" spans="6:9">
      <c r="F130" s="168"/>
      <c r="G130" s="168"/>
      <c r="H130" s="711"/>
      <c r="I130" s="694"/>
    </row>
    <row r="131" spans="6:9">
      <c r="F131" s="168"/>
      <c r="G131" s="168"/>
      <c r="I131" s="168"/>
    </row>
    <row r="141" spans="6:9">
      <c r="H141" s="711"/>
    </row>
    <row r="142" spans="6:9">
      <c r="H142" s="711"/>
    </row>
    <row r="143" spans="6:9">
      <c r="H143" s="711"/>
    </row>
    <row r="144" spans="6:9">
      <c r="H144" s="711"/>
    </row>
    <row r="145" spans="8:8">
      <c r="H145" s="711"/>
    </row>
    <row r="146" spans="8:8">
      <c r="H146" s="711"/>
    </row>
    <row r="147" spans="8:8">
      <c r="H147" s="711"/>
    </row>
    <row r="148" spans="8:8">
      <c r="H148" s="711"/>
    </row>
    <row r="149" spans="8:8">
      <c r="H149" s="711"/>
    </row>
    <row r="150" spans="8:8">
      <c r="H150" s="711"/>
    </row>
    <row r="151" spans="8:8">
      <c r="H151" s="711"/>
    </row>
    <row r="152" spans="8:8">
      <c r="H152" s="711"/>
    </row>
    <row r="153" spans="8:8">
      <c r="H153" s="711"/>
    </row>
    <row r="154" spans="8:8">
      <c r="H154" s="711"/>
    </row>
    <row r="155" spans="8:8">
      <c r="H155" s="711"/>
    </row>
    <row r="156" spans="8:8">
      <c r="H156" s="711"/>
    </row>
    <row r="157" spans="8:8">
      <c r="H157" s="7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K61"/>
  <sheetViews>
    <sheetView workbookViewId="0"/>
  </sheetViews>
  <sheetFormatPr baseColWidth="10" defaultColWidth="9.33203125" defaultRowHeight="12.75"/>
  <sheetData>
    <row r="1" spans="2:37" ht="27.75">
      <c r="B1" s="1850" t="s">
        <v>216</v>
      </c>
      <c r="C1" s="1850"/>
      <c r="D1" s="1850"/>
      <c r="E1" s="1850"/>
      <c r="F1" s="1850"/>
      <c r="G1" s="1850"/>
      <c r="H1" s="1850"/>
      <c r="I1" s="1850"/>
      <c r="J1" s="1850"/>
      <c r="K1" s="1850"/>
      <c r="L1" s="1850"/>
      <c r="M1" s="1850"/>
      <c r="N1" s="1850"/>
      <c r="O1" s="1850"/>
      <c r="P1" s="1850"/>
      <c r="Q1" s="1850"/>
    </row>
    <row r="2" spans="2:37" ht="15.75">
      <c r="B2" s="195"/>
      <c r="C2" s="195"/>
      <c r="D2" s="195"/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S2" s="196"/>
      <c r="T2" s="196"/>
      <c r="U2" s="196"/>
      <c r="V2" s="197"/>
      <c r="W2" s="197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</row>
    <row r="3" spans="2:37" ht="409.5">
      <c r="B3" s="198" t="s">
        <v>211</v>
      </c>
      <c r="C3" s="199"/>
      <c r="D3" s="200"/>
      <c r="E3" s="201" t="s">
        <v>10</v>
      </c>
      <c r="F3" s="1851" t="s">
        <v>543</v>
      </c>
      <c r="G3" s="1851"/>
      <c r="H3" s="1851"/>
      <c r="I3" s="1851"/>
      <c r="J3" s="1851"/>
      <c r="K3" s="1851"/>
      <c r="L3" s="1851"/>
      <c r="M3" s="1851"/>
      <c r="N3" s="1851"/>
      <c r="O3" s="1851"/>
      <c r="P3" s="1851"/>
      <c r="Q3" s="1851"/>
      <c r="S3" s="196"/>
      <c r="T3" s="196"/>
      <c r="U3" s="196"/>
      <c r="V3" s="197"/>
      <c r="W3" s="197"/>
      <c r="X3" s="197"/>
      <c r="Y3" s="197"/>
      <c r="Z3" s="197"/>
      <c r="AA3" s="197"/>
      <c r="AB3" s="197"/>
      <c r="AC3" s="197"/>
      <c r="AD3" s="197"/>
      <c r="AE3" s="197"/>
      <c r="AF3" s="197"/>
      <c r="AG3" s="197"/>
      <c r="AH3" s="197"/>
      <c r="AI3" s="197"/>
    </row>
    <row r="4" spans="2:37" ht="15.75">
      <c r="B4" s="202" t="s">
        <v>899</v>
      </c>
      <c r="C4" s="203"/>
      <c r="D4" s="204"/>
      <c r="E4" s="194" t="s">
        <v>10</v>
      </c>
      <c r="F4" s="205" t="s">
        <v>168</v>
      </c>
      <c r="G4" s="205"/>
      <c r="H4" s="205"/>
      <c r="I4" s="205"/>
      <c r="J4" s="205"/>
      <c r="K4" s="205"/>
      <c r="L4" s="205"/>
      <c r="M4" s="205"/>
      <c r="N4" s="205"/>
      <c r="O4" s="206"/>
      <c r="P4" s="206"/>
      <c r="Q4" s="206"/>
      <c r="S4" s="196"/>
      <c r="T4" s="196"/>
      <c r="U4" s="196"/>
      <c r="V4" s="197"/>
      <c r="W4" s="197"/>
      <c r="X4" s="197"/>
      <c r="Y4" s="197"/>
      <c r="Z4" s="197"/>
      <c r="AA4" s="197"/>
      <c r="AB4" s="197"/>
      <c r="AC4" s="197"/>
      <c r="AD4" s="197"/>
      <c r="AE4" s="197"/>
      <c r="AF4" s="197"/>
      <c r="AG4" s="197"/>
      <c r="AH4" s="197"/>
      <c r="AI4" s="197"/>
    </row>
    <row r="5" spans="2:37" ht="15.75">
      <c r="B5" s="202" t="s">
        <v>289</v>
      </c>
      <c r="C5" s="199"/>
      <c r="D5" s="207"/>
      <c r="E5" s="194" t="s">
        <v>10</v>
      </c>
      <c r="F5" s="205" t="s">
        <v>544</v>
      </c>
      <c r="G5" s="208"/>
      <c r="H5" s="208"/>
      <c r="I5" s="208"/>
      <c r="J5" s="208"/>
      <c r="K5" s="208"/>
      <c r="L5" s="208"/>
      <c r="M5" s="209"/>
      <c r="N5" s="210"/>
      <c r="O5" s="210"/>
      <c r="P5" s="210"/>
      <c r="Q5" s="210"/>
      <c r="R5" s="210"/>
      <c r="S5" s="211"/>
      <c r="T5" s="211"/>
      <c r="U5" s="211"/>
      <c r="V5" s="210"/>
      <c r="W5" s="210"/>
      <c r="X5" s="197"/>
      <c r="Y5" s="197"/>
      <c r="Z5" s="197"/>
      <c r="AA5" s="197"/>
      <c r="AB5" s="197"/>
      <c r="AC5" s="197"/>
      <c r="AD5" s="197"/>
      <c r="AE5" s="197"/>
      <c r="AF5" s="197"/>
      <c r="AG5" s="197"/>
      <c r="AH5" s="197"/>
      <c r="AI5" s="197"/>
    </row>
    <row r="6" spans="2:37" ht="15.75">
      <c r="B6" s="202" t="s">
        <v>900</v>
      </c>
      <c r="C6" s="199"/>
      <c r="D6" s="207"/>
      <c r="E6" s="194" t="s">
        <v>10</v>
      </c>
      <c r="F6" s="576" t="s">
        <v>545</v>
      </c>
      <c r="G6" s="208"/>
      <c r="H6" s="208"/>
      <c r="I6" s="208"/>
      <c r="J6" s="208"/>
      <c r="K6" s="208"/>
      <c r="L6" s="208"/>
      <c r="M6" s="209"/>
      <c r="N6" s="210"/>
      <c r="O6" s="210"/>
      <c r="P6" s="210"/>
      <c r="Q6" s="210"/>
      <c r="R6" s="210"/>
      <c r="S6" s="211"/>
      <c r="T6" s="211"/>
      <c r="U6" s="211"/>
      <c r="V6" s="210"/>
      <c r="W6" s="210"/>
      <c r="X6" s="197"/>
      <c r="Y6" s="197"/>
      <c r="Z6" s="197"/>
      <c r="AA6" s="197"/>
      <c r="AB6" s="197"/>
      <c r="AC6" s="197"/>
      <c r="AD6" s="197"/>
      <c r="AE6" s="197"/>
      <c r="AF6" s="197"/>
      <c r="AG6" s="197"/>
      <c r="AH6" s="197"/>
      <c r="AI6" s="197"/>
    </row>
    <row r="7" spans="2:37" ht="15.75">
      <c r="B7" s="202" t="s">
        <v>901</v>
      </c>
      <c r="C7" s="199"/>
      <c r="D7" s="207"/>
      <c r="E7" s="194" t="s">
        <v>10</v>
      </c>
      <c r="F7" s="576" t="s">
        <v>410</v>
      </c>
      <c r="M7" s="178"/>
      <c r="Q7" s="1005" t="s">
        <v>1006</v>
      </c>
      <c r="S7" s="196"/>
      <c r="T7" s="196"/>
      <c r="U7" s="196"/>
      <c r="V7" s="197"/>
      <c r="W7" s="197"/>
      <c r="X7" s="197"/>
      <c r="Y7" s="197"/>
      <c r="Z7" s="197"/>
      <c r="AA7" s="197"/>
      <c r="AB7" s="197"/>
      <c r="AC7" s="197"/>
      <c r="AD7" s="197"/>
      <c r="AE7" s="197"/>
      <c r="AF7" s="197"/>
      <c r="AG7" s="197"/>
      <c r="AH7" s="197"/>
      <c r="AI7" s="197"/>
    </row>
    <row r="8" spans="2:37" ht="126">
      <c r="B8" s="3"/>
      <c r="C8" s="212"/>
      <c r="D8" s="213"/>
      <c r="E8" s="213"/>
      <c r="F8" s="213"/>
      <c r="G8" s="213"/>
      <c r="H8" s="1855" t="s">
        <v>526</v>
      </c>
      <c r="I8" s="1856"/>
      <c r="J8" s="1856"/>
      <c r="K8" s="1857"/>
      <c r="L8" s="1852" t="s">
        <v>525</v>
      </c>
      <c r="M8" s="1853"/>
      <c r="N8" s="1853"/>
      <c r="O8" s="1853"/>
      <c r="P8" s="1853"/>
      <c r="Q8" s="1854"/>
    </row>
    <row r="9" spans="2:37" ht="54">
      <c r="B9" s="179" t="s">
        <v>188</v>
      </c>
      <c r="C9" s="1847" t="s">
        <v>207</v>
      </c>
      <c r="D9" s="1848"/>
      <c r="E9" s="1848"/>
      <c r="F9" s="1849"/>
      <c r="G9" s="4" t="s">
        <v>1002</v>
      </c>
      <c r="H9" s="179" t="s">
        <v>217</v>
      </c>
      <c r="I9" s="179" t="s">
        <v>218</v>
      </c>
      <c r="J9" s="179" t="s">
        <v>219</v>
      </c>
      <c r="K9" s="179" t="s">
        <v>220</v>
      </c>
      <c r="L9" s="179" t="s">
        <v>379</v>
      </c>
      <c r="M9" s="179" t="s">
        <v>380</v>
      </c>
      <c r="N9" s="179" t="s">
        <v>389</v>
      </c>
      <c r="O9" s="179" t="s">
        <v>897</v>
      </c>
      <c r="P9" s="179" t="s">
        <v>898</v>
      </c>
      <c r="Q9" s="179" t="s">
        <v>993</v>
      </c>
    </row>
    <row r="10" spans="2:37" ht="20.25">
      <c r="B10" s="214"/>
      <c r="C10" s="194"/>
      <c r="D10" s="215"/>
      <c r="E10" s="215"/>
      <c r="F10" s="216"/>
      <c r="G10" s="217"/>
      <c r="H10" s="659"/>
      <c r="I10" s="659"/>
      <c r="J10" s="659"/>
      <c r="K10" s="659"/>
      <c r="L10" s="663"/>
      <c r="M10" s="183"/>
      <c r="N10" s="183"/>
      <c r="O10" s="291"/>
      <c r="P10" s="291"/>
      <c r="Q10" s="1364"/>
      <c r="R10" s="188"/>
      <c r="S10" s="188"/>
      <c r="T10" s="218"/>
      <c r="U10" s="219"/>
      <c r="V10" s="191"/>
      <c r="W10" s="192"/>
      <c r="AJ10" s="193"/>
      <c r="AK10" s="193"/>
    </row>
    <row r="11" spans="2:37" ht="20.25">
      <c r="B11" s="220" t="s">
        <v>189</v>
      </c>
      <c r="C11" s="221"/>
      <c r="D11" s="194" t="s">
        <v>212</v>
      </c>
      <c r="E11" s="194"/>
      <c r="F11" s="216"/>
      <c r="G11" s="217" t="e">
        <f>+#REF!</f>
        <v>#REF!</v>
      </c>
      <c r="H11" s="217"/>
      <c r="I11" s="217"/>
      <c r="J11" s="217"/>
      <c r="K11" s="217"/>
      <c r="L11" s="1365" t="e">
        <f>+ROUND($G$11*L25,2)</f>
        <v>#REF!</v>
      </c>
      <c r="M11" s="184" t="e">
        <f t="shared" ref="M11:Q11" si="0">+ROUND($G$11*M25,2)</f>
        <v>#REF!</v>
      </c>
      <c r="N11" s="184" t="e">
        <f t="shared" si="0"/>
        <v>#REF!</v>
      </c>
      <c r="O11" s="184" t="e">
        <f t="shared" si="0"/>
        <v>#REF!</v>
      </c>
      <c r="P11" s="1408" t="e">
        <f>+G11-L11-M11-N11-O11-Q11</f>
        <v>#REF!</v>
      </c>
      <c r="Q11" s="1409" t="e">
        <f t="shared" si="0"/>
        <v>#REF!</v>
      </c>
      <c r="R11" s="189"/>
      <c r="S11" s="1791"/>
      <c r="T11" s="1792"/>
      <c r="U11" s="219"/>
      <c r="V11" s="191"/>
      <c r="W11" s="222"/>
      <c r="X11" s="223"/>
      <c r="Y11" s="223"/>
      <c r="Z11" s="223"/>
      <c r="AA11" s="223"/>
      <c r="AB11" s="223"/>
      <c r="AC11" s="223"/>
      <c r="AD11" s="223"/>
      <c r="AJ11" s="193"/>
      <c r="AK11" s="193"/>
    </row>
    <row r="12" spans="2:37" ht="20.25">
      <c r="B12" s="220" t="s">
        <v>190</v>
      </c>
      <c r="C12" s="221"/>
      <c r="D12" s="194" t="s">
        <v>203</v>
      </c>
      <c r="E12" s="194"/>
      <c r="F12" s="224"/>
      <c r="G12" s="217" t="e">
        <f>+#REF!</f>
        <v>#REF!</v>
      </c>
      <c r="H12" s="217"/>
      <c r="I12" s="217"/>
      <c r="J12" s="217"/>
      <c r="K12" s="217"/>
      <c r="L12" s="1367" t="e">
        <f>+ROUND($G$12*L26,2)</f>
        <v>#REF!</v>
      </c>
      <c r="M12" s="184" t="e">
        <f t="shared" ref="M12:O12" si="1">+ROUND($G$12*M26,2)</f>
        <v>#REF!</v>
      </c>
      <c r="N12" s="184" t="e">
        <f t="shared" si="1"/>
        <v>#REF!</v>
      </c>
      <c r="O12" s="184" t="e">
        <f t="shared" si="1"/>
        <v>#REF!</v>
      </c>
      <c r="P12" s="184" t="e">
        <f t="shared" ref="P12" si="2">+ROUND($G$12*P26,2)</f>
        <v>#REF!</v>
      </c>
      <c r="Q12" s="1374" t="e">
        <f>+G12-O12-N12-M12-L12-P12</f>
        <v>#REF!</v>
      </c>
      <c r="R12" s="189"/>
      <c r="S12" s="1791"/>
      <c r="T12" s="1792"/>
      <c r="U12" s="219"/>
      <c r="V12" s="191"/>
      <c r="W12" s="222"/>
      <c r="X12" s="223"/>
      <c r="Y12" s="223"/>
      <c r="Z12" s="223"/>
      <c r="AA12" s="223"/>
      <c r="AB12" s="223"/>
      <c r="AC12" s="223"/>
      <c r="AD12" s="223"/>
      <c r="AJ12" s="193"/>
      <c r="AK12" s="193"/>
    </row>
    <row r="13" spans="2:37" ht="20.25">
      <c r="B13" s="220" t="s">
        <v>125</v>
      </c>
      <c r="C13" s="221"/>
      <c r="D13" s="194" t="s">
        <v>213</v>
      </c>
      <c r="E13" s="194"/>
      <c r="F13" s="225"/>
      <c r="G13" s="217" t="e">
        <f>+#REF!</f>
        <v>#REF!</v>
      </c>
      <c r="H13" s="217"/>
      <c r="I13" s="217"/>
      <c r="J13" s="217"/>
      <c r="K13" s="217"/>
      <c r="L13" s="1365" t="e">
        <f>+ROUND($G$13*L27,2)</f>
        <v>#REF!</v>
      </c>
      <c r="M13" s="184" t="e">
        <f t="shared" ref="M13:Q13" si="3">+ROUND($G$13*M27,2)</f>
        <v>#REF!</v>
      </c>
      <c r="N13" s="184" t="e">
        <f t="shared" si="3"/>
        <v>#REF!</v>
      </c>
      <c r="O13" s="184" t="e">
        <f t="shared" si="3"/>
        <v>#REF!</v>
      </c>
      <c r="P13" s="184" t="e">
        <f>+G13-L13-M13-N13-O13-Q13</f>
        <v>#REF!</v>
      </c>
      <c r="Q13" s="1366" t="e">
        <f t="shared" si="3"/>
        <v>#REF!</v>
      </c>
      <c r="R13" s="189"/>
      <c r="S13" s="1791"/>
      <c r="T13" s="1792"/>
      <c r="U13" s="219"/>
      <c r="V13" s="191"/>
      <c r="W13" s="222"/>
      <c r="X13" s="223"/>
      <c r="Y13" s="223"/>
      <c r="Z13" s="223"/>
      <c r="AA13" s="223"/>
      <c r="AB13" s="223"/>
      <c r="AC13" s="223"/>
      <c r="AD13" s="223"/>
      <c r="AJ13" s="193"/>
      <c r="AK13" s="193"/>
    </row>
    <row r="14" spans="2:37" ht="20.25">
      <c r="B14" s="220"/>
      <c r="C14" s="221"/>
      <c r="D14" s="194"/>
      <c r="E14" s="194"/>
      <c r="F14" s="225"/>
      <c r="G14" s="217"/>
      <c r="H14" s="217"/>
      <c r="I14" s="217"/>
      <c r="J14" s="217"/>
      <c r="K14" s="217"/>
      <c r="L14" s="1368"/>
      <c r="M14" s="185"/>
      <c r="N14" s="185"/>
      <c r="O14" s="292"/>
      <c r="P14" s="292"/>
      <c r="Q14" s="1369"/>
      <c r="R14" s="190"/>
      <c r="S14" s="1791"/>
      <c r="T14" s="1792"/>
      <c r="U14" s="219"/>
      <c r="V14" s="191"/>
      <c r="W14" s="222"/>
      <c r="X14" s="223"/>
      <c r="Y14" s="223"/>
      <c r="Z14" s="223"/>
      <c r="AA14" s="223"/>
      <c r="AB14" s="223"/>
      <c r="AC14" s="223"/>
      <c r="AD14" s="223"/>
      <c r="AJ14" s="193"/>
      <c r="AK14" s="193"/>
    </row>
    <row r="15" spans="2:37" ht="20.25">
      <c r="B15" s="226" t="s">
        <v>7</v>
      </c>
      <c r="C15" s="227"/>
      <c r="D15" s="228" t="s">
        <v>214</v>
      </c>
      <c r="E15" s="228"/>
      <c r="F15" s="229"/>
      <c r="G15" s="230" t="e">
        <f>+#REF!</f>
        <v>#REF!</v>
      </c>
      <c r="H15" s="230"/>
      <c r="I15" s="230"/>
      <c r="J15" s="230"/>
      <c r="K15" s="230"/>
      <c r="L15" s="1370" t="e">
        <f t="shared" ref="L15:O15" si="4">SUM(L11:L13)</f>
        <v>#REF!</v>
      </c>
      <c r="M15" s="186" t="e">
        <f t="shared" si="4"/>
        <v>#REF!</v>
      </c>
      <c r="N15" s="186" t="e">
        <f t="shared" si="4"/>
        <v>#REF!</v>
      </c>
      <c r="O15" s="186" t="e">
        <f t="shared" si="4"/>
        <v>#REF!</v>
      </c>
      <c r="P15" s="186" t="e">
        <f t="shared" ref="P15" si="5">SUM(P11:P13)</f>
        <v>#REF!</v>
      </c>
      <c r="Q15" s="1371" t="e">
        <f t="shared" ref="Q15" si="6">SUM(Q11:Q13)</f>
        <v>#REF!</v>
      </c>
      <c r="R15" s="196"/>
      <c r="S15" s="1791"/>
      <c r="T15" s="1792"/>
      <c r="U15" s="219"/>
      <c r="V15" s="223"/>
      <c r="W15" s="223"/>
      <c r="X15" s="223"/>
      <c r="Y15" s="223"/>
      <c r="Z15" s="223"/>
      <c r="AA15" s="223"/>
      <c r="AB15" s="223"/>
    </row>
    <row r="16" spans="2:37" ht="20.25">
      <c r="B16" s="231"/>
      <c r="C16" s="83"/>
      <c r="D16" s="194"/>
      <c r="E16" s="194"/>
      <c r="F16" s="232"/>
      <c r="G16" s="102"/>
      <c r="H16" s="102"/>
      <c r="I16" s="102"/>
      <c r="J16" s="102"/>
      <c r="K16" s="102"/>
      <c r="L16" s="1372"/>
      <c r="M16" s="180"/>
      <c r="N16" s="180"/>
      <c r="O16" s="293"/>
      <c r="P16" s="293"/>
      <c r="Q16" s="1373"/>
      <c r="R16" s="196"/>
      <c r="S16" s="1791"/>
      <c r="T16" s="1792"/>
      <c r="U16" s="219"/>
      <c r="V16" s="223"/>
      <c r="W16" s="223"/>
      <c r="X16" s="223"/>
      <c r="Y16" s="223"/>
      <c r="Z16" s="223"/>
      <c r="AA16" s="223"/>
      <c r="AB16" s="223"/>
    </row>
    <row r="17" spans="2:35" ht="20.25">
      <c r="B17" s="231" t="s">
        <v>126</v>
      </c>
      <c r="C17" s="233"/>
      <c r="D17" s="194"/>
      <c r="E17" s="194"/>
      <c r="F17" s="234" t="s">
        <v>45</v>
      </c>
      <c r="G17" s="217" t="e">
        <f>+#REF!</f>
        <v>#REF!</v>
      </c>
      <c r="H17" s="217"/>
      <c r="I17" s="217"/>
      <c r="J17" s="217"/>
      <c r="K17" s="217"/>
      <c r="L17" s="1372" t="e">
        <f>+ROUND(L15*($G$17/$G$15),2)</f>
        <v>#REF!</v>
      </c>
      <c r="M17" s="181" t="e">
        <f>+ROUND(M15*($G$17/$G$15),2)</f>
        <v>#REF!</v>
      </c>
      <c r="N17" s="181" t="e">
        <f>+ROUND(N15*($G$17/$G$15),2)</f>
        <v>#REF!</v>
      </c>
      <c r="O17" s="181" t="e">
        <f>+ROUND(O15*($G$17/$G$15),2)</f>
        <v>#REF!</v>
      </c>
      <c r="P17" s="181" t="e">
        <f t="shared" ref="P17" si="7">+ROUND(P15*($G$17/$G$15),2)</f>
        <v>#REF!</v>
      </c>
      <c r="Q17" s="1374" t="e">
        <f>+G17-O17-N17-M17-L17-P17</f>
        <v>#REF!</v>
      </c>
      <c r="R17" s="196"/>
      <c r="S17" s="1791"/>
      <c r="T17" s="1792"/>
      <c r="U17" s="219"/>
      <c r="V17" s="223"/>
      <c r="W17" s="223"/>
      <c r="X17" s="223"/>
      <c r="Y17" s="223"/>
      <c r="Z17" s="223"/>
      <c r="AA17" s="223"/>
      <c r="AB17" s="223"/>
    </row>
    <row r="18" spans="2:35" ht="20.25">
      <c r="B18" s="231" t="s">
        <v>8</v>
      </c>
      <c r="C18" s="233"/>
      <c r="D18" s="194"/>
      <c r="E18" s="194"/>
      <c r="F18" s="234" t="s">
        <v>215</v>
      </c>
      <c r="G18" s="217" t="e">
        <f>+#REF!</f>
        <v>#REF!</v>
      </c>
      <c r="H18" s="217"/>
      <c r="I18" s="217"/>
      <c r="J18" s="217"/>
      <c r="K18" s="217"/>
      <c r="L18" s="1372" t="e">
        <f>+ROUND(L15*0.08,2)</f>
        <v>#REF!</v>
      </c>
      <c r="M18" s="181" t="e">
        <f t="shared" ref="M18:O18" si="8">+ROUND(M15*0.08,2)</f>
        <v>#REF!</v>
      </c>
      <c r="N18" s="181" t="e">
        <f t="shared" si="8"/>
        <v>#REF!</v>
      </c>
      <c r="O18" s="181" t="e">
        <f t="shared" si="8"/>
        <v>#REF!</v>
      </c>
      <c r="P18" s="181" t="e">
        <f t="shared" ref="P18" si="9">+ROUND(P15*0.08,2)</f>
        <v>#REF!</v>
      </c>
      <c r="Q18" s="1374" t="e">
        <f>+G18-O18-N18-M18-L18-P18</f>
        <v>#REF!</v>
      </c>
      <c r="R18" s="196"/>
      <c r="S18" s="1791"/>
      <c r="T18" s="1792"/>
      <c r="U18" s="219"/>
      <c r="V18" s="223"/>
      <c r="W18" s="223"/>
      <c r="X18" s="223"/>
      <c r="Y18" s="223"/>
      <c r="Z18" s="223"/>
      <c r="AA18" s="223"/>
      <c r="AB18" s="223"/>
    </row>
    <row r="19" spans="2:35" ht="20.25">
      <c r="B19" s="231"/>
      <c r="C19" s="233"/>
      <c r="D19" s="194"/>
      <c r="E19" s="194"/>
      <c r="F19" s="225"/>
      <c r="G19" s="235"/>
      <c r="H19" s="235"/>
      <c r="I19" s="235"/>
      <c r="J19" s="235"/>
      <c r="K19" s="235"/>
      <c r="L19" s="1372"/>
      <c r="M19" s="180"/>
      <c r="N19" s="180"/>
      <c r="O19" s="293"/>
      <c r="P19" s="293"/>
      <c r="Q19" s="1373"/>
      <c r="R19" s="196"/>
      <c r="S19" s="1791"/>
      <c r="T19" s="1792"/>
      <c r="U19" s="219"/>
      <c r="V19" s="223"/>
      <c r="W19" s="223"/>
      <c r="X19" s="223"/>
      <c r="Y19" s="223"/>
      <c r="Z19" s="223"/>
      <c r="AA19" s="223"/>
      <c r="AB19" s="223"/>
    </row>
    <row r="20" spans="2:35" ht="20.25">
      <c r="B20" s="236"/>
      <c r="C20" s="237"/>
      <c r="D20" s="238"/>
      <c r="E20" s="238"/>
      <c r="F20" s="170"/>
      <c r="G20" s="239"/>
      <c r="H20" s="239"/>
      <c r="I20" s="239"/>
      <c r="J20" s="239"/>
      <c r="K20" s="239"/>
      <c r="L20" s="1375"/>
      <c r="M20" s="187"/>
      <c r="N20" s="187"/>
      <c r="O20" s="294"/>
      <c r="P20" s="294"/>
      <c r="Q20" s="1376"/>
      <c r="R20" s="196"/>
      <c r="S20" s="1791"/>
      <c r="T20" s="1792"/>
      <c r="U20" s="219"/>
      <c r="V20" s="223"/>
      <c r="W20" s="223"/>
      <c r="X20" s="223"/>
      <c r="Y20" s="223"/>
      <c r="Z20" s="223"/>
      <c r="AA20" s="223"/>
      <c r="AB20" s="223"/>
    </row>
    <row r="21" spans="2:35" ht="20.25">
      <c r="B21" s="240"/>
      <c r="C21" s="241"/>
      <c r="D21" s="242" t="str">
        <f>+"SUB-TOTAL  SIN I.G.V. (S/)"</f>
        <v>SUB-TOTAL  SIN I.G.V. (S/)</v>
      </c>
      <c r="E21" s="242"/>
      <c r="F21" s="171"/>
      <c r="G21" s="243" t="e">
        <f>+#REF!</f>
        <v>#REF!</v>
      </c>
      <c r="H21" s="243"/>
      <c r="I21" s="243"/>
      <c r="J21" s="243"/>
      <c r="K21" s="243"/>
      <c r="L21" s="1377" t="e">
        <f>SUM(L15:L18)</f>
        <v>#REF!</v>
      </c>
      <c r="M21" s="172" t="e">
        <f t="shared" ref="M21:Q21" si="10">SUM(M15:M18)</f>
        <v>#REF!</v>
      </c>
      <c r="N21" s="172" t="e">
        <f t="shared" si="10"/>
        <v>#REF!</v>
      </c>
      <c r="O21" s="172" t="e">
        <f t="shared" si="10"/>
        <v>#REF!</v>
      </c>
      <c r="P21" s="172" t="e">
        <f t="shared" ref="P21" si="11">SUM(P15:P18)</f>
        <v>#REF!</v>
      </c>
      <c r="Q21" s="1378" t="e">
        <f t="shared" si="10"/>
        <v>#REF!</v>
      </c>
      <c r="R21" s="196"/>
      <c r="S21" s="1791"/>
      <c r="T21" s="1792"/>
      <c r="U21" s="219"/>
      <c r="V21" s="223"/>
      <c r="W21" s="223"/>
      <c r="X21" s="223"/>
      <c r="Y21" s="223"/>
      <c r="Z21" s="223"/>
      <c r="AA21" s="223"/>
      <c r="AB21" s="223"/>
    </row>
    <row r="22" spans="2:35" ht="20.25">
      <c r="B22" s="244"/>
      <c r="C22" s="245"/>
      <c r="D22" s="246"/>
      <c r="E22" s="246"/>
      <c r="F22" s="173"/>
      <c r="G22" s="247"/>
      <c r="H22" s="247"/>
      <c r="I22" s="247"/>
      <c r="J22" s="247"/>
      <c r="K22" s="247"/>
      <c r="L22" s="1379"/>
      <c r="M22" s="182"/>
      <c r="N22" s="182"/>
      <c r="O22" s="295"/>
      <c r="P22" s="295"/>
      <c r="Q22" s="1380"/>
      <c r="R22" s="196"/>
      <c r="S22" s="1791"/>
      <c r="T22" s="1792"/>
      <c r="U22" s="219"/>
      <c r="V22" s="223"/>
      <c r="W22" s="223"/>
      <c r="X22" s="223"/>
      <c r="Y22" s="223"/>
      <c r="Z22" s="223"/>
      <c r="AA22" s="223"/>
      <c r="AB22" s="223"/>
    </row>
    <row r="23" spans="2:35" ht="20.25">
      <c r="B23" s="248"/>
      <c r="C23" s="249"/>
      <c r="D23" s="250" t="s">
        <v>285</v>
      </c>
      <c r="E23" s="250"/>
      <c r="F23" s="251"/>
      <c r="G23" s="252" t="e">
        <f>+#REF!</f>
        <v>#REF!</v>
      </c>
      <c r="H23" s="252"/>
      <c r="I23" s="252"/>
      <c r="J23" s="252"/>
      <c r="K23" s="252"/>
      <c r="L23" s="1381" t="e">
        <f>+ROUND(L21*0.18,2)</f>
        <v>#REF!</v>
      </c>
      <c r="M23" s="286" t="e">
        <f t="shared" ref="M23:O23" si="12">+ROUND(M21*0.18,2)</f>
        <v>#REF!</v>
      </c>
      <c r="N23" s="286" t="e">
        <f t="shared" si="12"/>
        <v>#REF!</v>
      </c>
      <c r="O23" s="286" t="e">
        <f t="shared" si="12"/>
        <v>#REF!</v>
      </c>
      <c r="P23" s="286" t="e">
        <f t="shared" ref="P23" si="13">+ROUND(P21*0.18,2)</f>
        <v>#REF!</v>
      </c>
      <c r="Q23" s="1382" t="e">
        <f>+G23-L23-M23-N23-O23-P23</f>
        <v>#REF!</v>
      </c>
      <c r="R23" s="196"/>
      <c r="S23" s="1791"/>
      <c r="T23" s="1792"/>
      <c r="U23" s="219"/>
      <c r="V23" s="223"/>
      <c r="W23" s="223"/>
      <c r="X23" s="223"/>
      <c r="Y23" s="223"/>
      <c r="Z23" s="223"/>
      <c r="AA23" s="223"/>
      <c r="AB23" s="223"/>
    </row>
    <row r="24" spans="2:35" ht="20.25">
      <c r="B24" s="248"/>
      <c r="C24" s="227"/>
      <c r="D24" s="228" t="s">
        <v>157</v>
      </c>
      <c r="E24" s="228"/>
      <c r="F24" s="251"/>
      <c r="G24" s="253" t="e">
        <f>+#REF!</f>
        <v>#REF!</v>
      </c>
      <c r="H24" s="253"/>
      <c r="I24" s="253"/>
      <c r="J24" s="253"/>
      <c r="K24" s="253"/>
      <c r="L24" s="1383" t="e">
        <f>SUM(L21:L23)</f>
        <v>#REF!</v>
      </c>
      <c r="M24" s="174" t="e">
        <f t="shared" ref="M24:O24" si="14">SUM(M21:M23)</f>
        <v>#REF!</v>
      </c>
      <c r="N24" s="174" t="e">
        <f t="shared" si="14"/>
        <v>#REF!</v>
      </c>
      <c r="O24" s="174" t="e">
        <f t="shared" si="14"/>
        <v>#REF!</v>
      </c>
      <c r="P24" s="174" t="e">
        <f t="shared" ref="P24" si="15">SUM(P21:P23)</f>
        <v>#REF!</v>
      </c>
      <c r="Q24" s="1384" t="e">
        <f t="shared" ref="Q24" si="16">SUM(Q21:Q23)</f>
        <v>#REF!</v>
      </c>
      <c r="R24" s="196"/>
      <c r="S24" s="1791"/>
      <c r="T24" s="1792"/>
      <c r="U24" s="219"/>
      <c r="V24" s="223"/>
      <c r="W24" s="223"/>
      <c r="X24" s="223"/>
      <c r="Y24" s="223"/>
      <c r="Z24" s="223"/>
      <c r="AA24" s="223"/>
      <c r="AB24" s="223"/>
    </row>
    <row r="25" spans="2:35" ht="18">
      <c r="B25" s="1006"/>
      <c r="C25" s="1006"/>
      <c r="D25" s="1006"/>
      <c r="E25" s="1006"/>
      <c r="F25" s="1006"/>
      <c r="G25" s="1007" t="s">
        <v>164</v>
      </c>
      <c r="H25" s="1007"/>
      <c r="I25" s="1007"/>
      <c r="J25" s="1007"/>
      <c r="K25" s="1007"/>
      <c r="L25" s="1008">
        <v>0</v>
      </c>
      <c r="M25" s="1008">
        <v>0.255</v>
      </c>
      <c r="N25" s="1008">
        <v>0.36</v>
      </c>
      <c r="O25" s="1008">
        <v>0.33500000000000002</v>
      </c>
      <c r="P25" s="1008">
        <v>0.05</v>
      </c>
      <c r="Q25" s="1008"/>
      <c r="R25" s="1009"/>
      <c r="S25" s="1008"/>
      <c r="T25" s="1792"/>
      <c r="U25" s="1010"/>
      <c r="V25" s="1011"/>
      <c r="W25" s="1011"/>
      <c r="X25" s="1011"/>
      <c r="Y25" s="1011"/>
      <c r="Z25" s="1011"/>
      <c r="AA25" s="1011"/>
      <c r="AB25" s="1011"/>
      <c r="AC25" s="1011"/>
      <c r="AD25" s="1011"/>
      <c r="AE25" s="1011"/>
      <c r="AF25" s="1011"/>
      <c r="AG25" s="1011"/>
      <c r="AH25" s="1011"/>
      <c r="AI25" s="1011"/>
    </row>
    <row r="26" spans="2:35" ht="18">
      <c r="B26" s="1006"/>
      <c r="C26" s="1006"/>
      <c r="D26" s="1006"/>
      <c r="E26" s="1006"/>
      <c r="F26" s="1009"/>
      <c r="G26" s="1007" t="s">
        <v>165</v>
      </c>
      <c r="H26" s="1007"/>
      <c r="I26" s="1007"/>
      <c r="J26" s="1007"/>
      <c r="K26" s="1007"/>
      <c r="L26" s="1008">
        <v>0.15</v>
      </c>
      <c r="M26" s="1008">
        <v>0.2</v>
      </c>
      <c r="N26" s="1008">
        <v>0.25</v>
      </c>
      <c r="O26" s="1008">
        <v>0.15</v>
      </c>
      <c r="P26" s="1008">
        <v>0.15</v>
      </c>
      <c r="Q26" s="1008">
        <v>0.1</v>
      </c>
      <c r="R26" s="1009"/>
      <c r="S26" s="1008"/>
      <c r="T26" s="1792"/>
      <c r="U26" s="1010"/>
      <c r="V26" s="1011"/>
      <c r="W26" s="1011"/>
      <c r="X26" s="1011"/>
      <c r="Y26" s="1011"/>
      <c r="Z26" s="1011"/>
      <c r="AA26" s="1011"/>
      <c r="AB26" s="1011"/>
      <c r="AC26" s="1011"/>
      <c r="AD26" s="1011"/>
      <c r="AE26" s="1011"/>
      <c r="AF26" s="1011"/>
      <c r="AG26" s="1011"/>
      <c r="AH26" s="1011"/>
      <c r="AI26" s="1011"/>
    </row>
    <row r="27" spans="2:35" ht="18">
      <c r="B27" s="1006"/>
      <c r="C27" s="1006"/>
      <c r="D27" s="1006"/>
      <c r="E27" s="1006"/>
      <c r="F27" s="1009"/>
      <c r="G27" s="1007" t="s">
        <v>166</v>
      </c>
      <c r="H27" s="1007"/>
      <c r="I27" s="1007"/>
      <c r="J27" s="1007"/>
      <c r="K27" s="1007"/>
      <c r="L27" s="1008">
        <v>0</v>
      </c>
      <c r="M27" s="1008">
        <f>+M25</f>
        <v>0.255</v>
      </c>
      <c r="N27" s="1008">
        <f t="shared" ref="N27:P27" si="17">+N25</f>
        <v>0.36</v>
      </c>
      <c r="O27" s="1008">
        <f t="shared" si="17"/>
        <v>0.33500000000000002</v>
      </c>
      <c r="P27" s="1008">
        <f t="shared" si="17"/>
        <v>0.05</v>
      </c>
      <c r="Q27" s="1008"/>
      <c r="R27" s="1009"/>
      <c r="S27" s="1008"/>
      <c r="T27" s="1792"/>
      <c r="U27" s="1010"/>
      <c r="V27" s="1011"/>
      <c r="W27" s="1011"/>
      <c r="X27" s="1011"/>
      <c r="Y27" s="1011"/>
      <c r="Z27" s="1011"/>
      <c r="AA27" s="1011"/>
      <c r="AB27" s="1011"/>
      <c r="AC27" s="1011"/>
      <c r="AD27" s="1011"/>
      <c r="AE27" s="1011"/>
      <c r="AF27" s="1011"/>
      <c r="AG27" s="1011"/>
      <c r="AH27" s="1011"/>
      <c r="AI27" s="1011"/>
    </row>
    <row r="28" spans="2:35" ht="18.75">
      <c r="B28" s="254"/>
      <c r="C28" s="254"/>
      <c r="D28" s="254"/>
      <c r="E28" s="254"/>
      <c r="F28" s="194"/>
      <c r="L28" s="188"/>
      <c r="M28" s="189"/>
      <c r="N28" s="189"/>
      <c r="O28" s="189"/>
      <c r="P28" s="189"/>
      <c r="Q28" s="189"/>
    </row>
    <row r="29" spans="2:35" ht="18.75">
      <c r="B29" s="254"/>
      <c r="C29" s="254"/>
      <c r="D29" s="254"/>
      <c r="E29" s="254"/>
      <c r="F29" s="254"/>
      <c r="L29" s="255"/>
      <c r="M29" s="255"/>
      <c r="N29" s="190"/>
      <c r="O29" s="190"/>
      <c r="P29" s="190"/>
      <c r="Q29" s="190"/>
    </row>
    <row r="30" spans="2:35" ht="18">
      <c r="G30" s="1019"/>
      <c r="L30" s="577"/>
      <c r="M30" s="577"/>
      <c r="N30" s="577"/>
      <c r="O30" s="577"/>
      <c r="P30" s="577"/>
      <c r="Q30" s="577"/>
      <c r="R30" s="577"/>
    </row>
    <row r="31" spans="2:35" ht="18">
      <c r="L31" s="658"/>
      <c r="M31" s="658"/>
      <c r="N31" s="658"/>
      <c r="O31" s="658"/>
      <c r="P31" s="658"/>
      <c r="Q31" s="658"/>
    </row>
    <row r="32" spans="2:35" ht="18">
      <c r="L32" s="658"/>
      <c r="M32" s="658"/>
      <c r="N32" s="658"/>
      <c r="O32" s="658"/>
      <c r="P32" s="658"/>
      <c r="Q32" s="658"/>
    </row>
    <row r="33" spans="7:17" ht="15">
      <c r="L33" s="1020"/>
      <c r="M33" s="1020"/>
      <c r="N33" s="1020"/>
      <c r="O33" s="1020"/>
      <c r="P33" s="1020"/>
      <c r="Q33" s="1020"/>
    </row>
    <row r="39" spans="7:17" ht="18">
      <c r="G39" s="85"/>
      <c r="H39" s="85"/>
      <c r="I39" s="85"/>
      <c r="J39" s="85"/>
      <c r="K39" s="85"/>
    </row>
    <row r="40" spans="7:17" ht="18">
      <c r="G40" s="85"/>
      <c r="H40" s="85"/>
      <c r="I40" s="85"/>
      <c r="J40" s="85"/>
      <c r="K40" s="85"/>
    </row>
    <row r="41" spans="7:17" ht="18">
      <c r="G41" s="85"/>
      <c r="H41" s="85"/>
      <c r="I41" s="85"/>
      <c r="J41" s="85"/>
      <c r="K41" s="85"/>
    </row>
    <row r="42" spans="7:17" ht="18">
      <c r="G42" s="85"/>
      <c r="H42" s="85"/>
      <c r="I42" s="85"/>
      <c r="J42" s="85"/>
      <c r="K42" s="85"/>
    </row>
    <row r="43" spans="7:17" ht="18">
      <c r="G43" s="85"/>
      <c r="H43" s="85"/>
      <c r="I43" s="85"/>
      <c r="J43" s="85"/>
      <c r="K43" s="85"/>
    </row>
    <row r="44" spans="7:17" ht="18">
      <c r="G44" s="85"/>
      <c r="H44" s="85"/>
      <c r="I44" s="85"/>
      <c r="J44" s="85"/>
      <c r="K44" s="85"/>
    </row>
    <row r="45" spans="7:17" ht="18">
      <c r="G45" s="85"/>
      <c r="H45" s="85"/>
      <c r="I45" s="85"/>
      <c r="J45" s="85"/>
      <c r="K45" s="85"/>
    </row>
    <row r="46" spans="7:17" ht="18">
      <c r="G46" s="85"/>
      <c r="H46" s="85"/>
      <c r="I46" s="85"/>
      <c r="J46" s="85"/>
      <c r="K46" s="85"/>
    </row>
    <row r="47" spans="7:17" ht="18">
      <c r="G47" s="85"/>
      <c r="H47" s="85"/>
      <c r="I47" s="85"/>
      <c r="J47" s="85"/>
      <c r="K47" s="85"/>
    </row>
    <row r="48" spans="7:17" ht="18">
      <c r="G48" s="85"/>
      <c r="H48" s="85"/>
      <c r="I48" s="85"/>
      <c r="J48" s="85"/>
      <c r="K48" s="85"/>
    </row>
    <row r="49" spans="7:11" ht="18">
      <c r="G49" s="85"/>
      <c r="H49" s="85"/>
      <c r="I49" s="85"/>
      <c r="J49" s="85"/>
      <c r="K49" s="85"/>
    </row>
    <row r="50" spans="7:11" ht="18">
      <c r="G50" s="85"/>
      <c r="H50" s="85"/>
      <c r="I50" s="85"/>
      <c r="J50" s="85"/>
      <c r="K50" s="85"/>
    </row>
    <row r="51" spans="7:11" ht="18">
      <c r="G51" s="85"/>
      <c r="H51" s="85"/>
      <c r="I51" s="85"/>
      <c r="J51" s="85"/>
      <c r="K51" s="85"/>
    </row>
    <row r="52" spans="7:11" ht="18">
      <c r="G52" s="85"/>
      <c r="H52" s="85"/>
      <c r="I52" s="85"/>
      <c r="J52" s="85"/>
      <c r="K52" s="85"/>
    </row>
    <row r="53" spans="7:11" ht="18">
      <c r="G53" s="85"/>
      <c r="H53" s="85"/>
      <c r="I53" s="85"/>
      <c r="J53" s="85"/>
      <c r="K53" s="85"/>
    </row>
    <row r="54" spans="7:11" ht="18">
      <c r="G54" s="85"/>
      <c r="H54" s="85"/>
      <c r="I54" s="85"/>
      <c r="J54" s="85"/>
      <c r="K54" s="85"/>
    </row>
    <row r="55" spans="7:11" ht="18">
      <c r="G55" s="85"/>
      <c r="H55" s="85"/>
      <c r="I55" s="85"/>
      <c r="J55" s="85"/>
      <c r="K55" s="85"/>
    </row>
    <row r="56" spans="7:11" ht="18">
      <c r="G56" s="85"/>
      <c r="H56" s="85"/>
      <c r="I56" s="85"/>
      <c r="J56" s="85"/>
      <c r="K56" s="85"/>
    </row>
    <row r="57" spans="7:11" ht="18">
      <c r="G57" s="85"/>
      <c r="H57" s="85"/>
      <c r="I57" s="85"/>
      <c r="J57" s="85"/>
      <c r="K57" s="85"/>
    </row>
    <row r="58" spans="7:11" ht="18">
      <c r="G58" s="85"/>
      <c r="H58" s="85"/>
      <c r="I58" s="85"/>
      <c r="J58" s="85"/>
      <c r="K58" s="85"/>
    </row>
    <row r="59" spans="7:11" ht="18">
      <c r="G59" s="85"/>
      <c r="H59" s="85"/>
      <c r="I59" s="85"/>
      <c r="J59" s="85"/>
      <c r="K59" s="85"/>
    </row>
    <row r="60" spans="7:11" ht="18">
      <c r="G60" s="85"/>
      <c r="H60" s="85"/>
      <c r="I60" s="85"/>
      <c r="J60" s="85"/>
      <c r="K60" s="85"/>
    </row>
    <row r="61" spans="7:11" ht="18">
      <c r="G61" s="85"/>
      <c r="H61" s="85"/>
      <c r="I61" s="85"/>
      <c r="J61" s="85"/>
      <c r="K61" s="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9"/>
  <sheetViews>
    <sheetView view="pageBreakPreview" topLeftCell="C6" zoomScale="64" zoomScaleNormal="100" zoomScaleSheetLayoutView="64" workbookViewId="0">
      <pane xSplit="2" ySplit="11" topLeftCell="E185" activePane="bottomRight" state="frozen"/>
      <selection activeCell="C18" sqref="C18"/>
      <selection pane="topRight" activeCell="C18" sqref="C18"/>
      <selection pane="bottomLeft" activeCell="C18" sqref="C18"/>
      <selection pane="bottomRight" activeCell="C18" sqref="C18"/>
    </sheetView>
  </sheetViews>
  <sheetFormatPr baseColWidth="10" defaultColWidth="9.33203125" defaultRowHeight="12.75"/>
  <cols>
    <col min="1" max="2" width="0" hidden="1" customWidth="1"/>
    <col min="5" max="6" width="28.1640625" customWidth="1"/>
    <col min="7" max="7" width="10.33203125" customWidth="1"/>
    <col min="8" max="8" width="14.6640625" customWidth="1"/>
    <col min="9" max="9" width="16.1640625" customWidth="1"/>
    <col min="10" max="10" width="17.83203125" customWidth="1"/>
    <col min="11" max="11" width="22.83203125" customWidth="1"/>
    <col min="13" max="13" width="19.5" customWidth="1"/>
  </cols>
  <sheetData>
    <row r="1" spans="4:14" hidden="1"/>
    <row r="2" spans="4:14" ht="15.75" hidden="1">
      <c r="F2" s="1025"/>
      <c r="G2" s="1025"/>
      <c r="H2" s="1025"/>
      <c r="I2" s="1025"/>
      <c r="J2" s="1025"/>
      <c r="K2" s="1025"/>
    </row>
    <row r="3" spans="4:14" ht="16.5">
      <c r="D3" s="1026"/>
      <c r="E3" s="1026"/>
      <c r="F3" s="1026"/>
      <c r="G3" s="1026"/>
      <c r="H3" s="1026"/>
      <c r="I3" s="1026"/>
      <c r="J3" s="1026"/>
      <c r="K3" s="1026"/>
    </row>
    <row r="4" spans="4:14" ht="24" customHeight="1">
      <c r="D4" s="2047" t="s">
        <v>617</v>
      </c>
      <c r="E4" s="2047"/>
      <c r="F4" s="2047"/>
      <c r="G4" s="2047"/>
      <c r="H4" s="2047"/>
      <c r="I4" s="2047"/>
      <c r="J4" s="2047"/>
      <c r="K4" s="2047"/>
    </row>
    <row r="5" spans="4:14" ht="24" customHeight="1">
      <c r="D5" s="2047" t="s">
        <v>618</v>
      </c>
      <c r="E5" s="2047"/>
      <c r="F5" s="2047"/>
      <c r="G5" s="2047"/>
      <c r="H5" s="2047"/>
      <c r="I5" s="2047"/>
      <c r="J5" s="2047"/>
      <c r="K5" s="2047"/>
      <c r="M5" s="1823"/>
    </row>
    <row r="6" spans="4:14" ht="30.75" customHeight="1">
      <c r="D6" s="2050" t="s">
        <v>619</v>
      </c>
      <c r="E6" s="2050"/>
      <c r="F6" s="2050"/>
      <c r="G6" s="2050"/>
      <c r="H6" s="2050"/>
      <c r="I6" s="2050"/>
      <c r="J6" s="2050"/>
      <c r="K6" s="2050"/>
      <c r="N6" s="1028"/>
    </row>
    <row r="7" spans="4:14" ht="13.5" thickBot="1">
      <c r="D7" s="1313"/>
      <c r="E7" s="1313"/>
      <c r="F7" s="1313"/>
      <c r="G7" s="1313"/>
      <c r="H7" s="1313"/>
      <c r="I7" s="1313"/>
      <c r="J7" s="1313"/>
      <c r="K7" s="1313"/>
    </row>
    <row r="8" spans="4:14" ht="14.25" hidden="1" customHeight="1">
      <c r="D8" s="1314"/>
      <c r="E8" s="1315"/>
      <c r="F8" s="1315"/>
      <c r="G8" s="1315"/>
      <c r="H8" s="1315"/>
      <c r="I8" s="1315"/>
      <c r="J8" s="1315"/>
      <c r="K8" s="1316"/>
    </row>
    <row r="9" spans="4:14" s="1908" customFormat="1" ht="22.5" customHeight="1" thickTop="1" thickBot="1">
      <c r="D9" s="1914" t="s">
        <v>515</v>
      </c>
      <c r="E9" s="1915" t="s">
        <v>516</v>
      </c>
      <c r="F9" s="1916"/>
      <c r="G9" s="1916"/>
      <c r="H9" s="1916"/>
      <c r="I9" s="1916"/>
      <c r="J9" s="1916"/>
      <c r="K9" s="1917"/>
    </row>
    <row r="10" spans="4:14" ht="14.25" hidden="1" customHeight="1">
      <c r="D10" s="1029"/>
      <c r="E10" s="1030"/>
      <c r="F10" s="1030"/>
      <c r="G10" s="1030"/>
      <c r="H10" s="1030"/>
      <c r="I10" s="1030"/>
      <c r="J10" s="1030"/>
      <c r="K10" s="1031"/>
    </row>
    <row r="11" spans="4:14" ht="13.5" thickTop="1">
      <c r="D11" s="1032"/>
      <c r="E11" s="1033"/>
      <c r="F11" s="1033"/>
      <c r="G11" s="1033"/>
      <c r="H11" s="1033"/>
      <c r="I11" s="1033"/>
      <c r="J11" s="1033"/>
      <c r="K11" s="1034"/>
    </row>
    <row r="12" spans="4:14">
      <c r="D12" s="1317" t="s">
        <v>620</v>
      </c>
      <c r="E12" s="1318" t="s">
        <v>621</v>
      </c>
      <c r="F12" s="1318"/>
      <c r="G12" s="1035"/>
      <c r="H12" s="1035"/>
      <c r="I12" s="1035"/>
      <c r="J12" s="1035"/>
      <c r="K12" s="1036"/>
    </row>
    <row r="13" spans="4:14">
      <c r="D13" s="1037"/>
      <c r="E13" s="1038"/>
      <c r="F13" s="1038"/>
      <c r="G13" s="1038"/>
      <c r="H13" s="1038"/>
      <c r="I13" s="1039" t="s">
        <v>622</v>
      </c>
      <c r="J13" s="1040">
        <v>4</v>
      </c>
      <c r="K13" s="1041" t="s">
        <v>623</v>
      </c>
    </row>
    <row r="14" spans="4:14">
      <c r="D14" s="1042"/>
      <c r="E14" s="1043"/>
      <c r="G14" s="1044" t="s">
        <v>624</v>
      </c>
      <c r="H14" s="1045" t="s">
        <v>28</v>
      </c>
      <c r="I14" s="1046" t="s">
        <v>625</v>
      </c>
      <c r="J14" s="1047" t="s">
        <v>626</v>
      </c>
      <c r="K14" s="1048" t="s">
        <v>281</v>
      </c>
      <c r="M14" s="1823"/>
    </row>
    <row r="15" spans="4:14">
      <c r="D15" s="1042"/>
      <c r="E15" s="1043" t="s">
        <v>627</v>
      </c>
      <c r="G15" s="1043" t="s">
        <v>628</v>
      </c>
      <c r="H15" s="1049" t="s">
        <v>629</v>
      </c>
      <c r="I15" s="1046" t="s">
        <v>630</v>
      </c>
      <c r="J15" s="1047" t="s">
        <v>631</v>
      </c>
      <c r="K15" s="1048" t="s">
        <v>632</v>
      </c>
      <c r="M15" s="1823"/>
    </row>
    <row r="16" spans="4:14">
      <c r="D16" s="1050"/>
      <c r="E16" s="1051"/>
      <c r="F16" s="1052"/>
      <c r="G16" s="1053" t="s">
        <v>633</v>
      </c>
      <c r="H16" s="1054" t="s">
        <v>55</v>
      </c>
      <c r="I16" s="1055" t="s">
        <v>997</v>
      </c>
      <c r="J16" s="1056" t="s">
        <v>634</v>
      </c>
      <c r="K16" s="1057" t="s">
        <v>998</v>
      </c>
    </row>
    <row r="17" spans="4:13">
      <c r="D17" s="1058"/>
      <c r="E17" s="1059"/>
      <c r="G17" s="1060"/>
      <c r="H17" s="1061"/>
      <c r="I17" s="1062"/>
      <c r="J17" s="1062"/>
      <c r="K17" s="1063"/>
    </row>
    <row r="18" spans="4:13">
      <c r="D18" s="1058"/>
      <c r="E18" s="1064" t="s">
        <v>635</v>
      </c>
      <c r="G18" s="1060"/>
      <c r="H18" s="1061"/>
      <c r="I18" s="1062"/>
      <c r="J18" s="1065"/>
      <c r="K18" s="1063"/>
    </row>
    <row r="19" spans="4:13">
      <c r="D19" s="1066" t="s">
        <v>189</v>
      </c>
      <c r="E19" s="1067" t="s">
        <v>519</v>
      </c>
      <c r="G19" s="1068">
        <v>1</v>
      </c>
      <c r="H19" s="1069">
        <v>1</v>
      </c>
      <c r="I19" s="1196">
        <v>7000</v>
      </c>
      <c r="J19" s="1070">
        <f>+ROUND(+H19*$J$13,2)</f>
        <v>4</v>
      </c>
      <c r="K19" s="1071">
        <f t="shared" ref="K19:K27" si="0">+ROUND(I19*J19*G19,2)</f>
        <v>28000</v>
      </c>
      <c r="M19" s="1842">
        <f>+N199</f>
        <v>0</v>
      </c>
    </row>
    <row r="20" spans="4:13">
      <c r="D20" s="1066" t="s">
        <v>190</v>
      </c>
      <c r="E20" s="1067" t="s">
        <v>859</v>
      </c>
      <c r="G20" s="1068">
        <v>1</v>
      </c>
      <c r="H20" s="1069">
        <v>0.5</v>
      </c>
      <c r="I20" s="1196">
        <v>6000</v>
      </c>
      <c r="J20" s="1070">
        <f>+ROUND(+H20*$J$13,1)</f>
        <v>2</v>
      </c>
      <c r="K20" s="1071">
        <f t="shared" si="0"/>
        <v>12000</v>
      </c>
    </row>
    <row r="21" spans="4:13">
      <c r="D21" s="1066" t="s">
        <v>125</v>
      </c>
      <c r="E21" s="1067" t="s">
        <v>860</v>
      </c>
      <c r="G21" s="1068">
        <v>1</v>
      </c>
      <c r="H21" s="1069">
        <v>0.25</v>
      </c>
      <c r="I21" s="1196">
        <v>6000</v>
      </c>
      <c r="J21" s="1070">
        <f t="shared" ref="J21:J27" si="1">+ROUND(+H21*$J$13,1)</f>
        <v>1</v>
      </c>
      <c r="K21" s="1071">
        <f t="shared" si="0"/>
        <v>6000</v>
      </c>
    </row>
    <row r="22" spans="4:13">
      <c r="D22" s="1066" t="s">
        <v>7</v>
      </c>
      <c r="E22" s="1067" t="s">
        <v>861</v>
      </c>
      <c r="G22" s="1068">
        <v>1</v>
      </c>
      <c r="H22" s="1069">
        <v>0.5</v>
      </c>
      <c r="I22" s="1196">
        <v>6000</v>
      </c>
      <c r="J22" s="1070">
        <f t="shared" si="1"/>
        <v>2</v>
      </c>
      <c r="K22" s="1071">
        <f t="shared" si="0"/>
        <v>12000</v>
      </c>
    </row>
    <row r="23" spans="4:13">
      <c r="D23" s="1072" t="s">
        <v>126</v>
      </c>
      <c r="E23" s="1067" t="s">
        <v>862</v>
      </c>
      <c r="F23" s="1073"/>
      <c r="G23" s="1074">
        <v>1</v>
      </c>
      <c r="H23" s="1069">
        <v>0.25</v>
      </c>
      <c r="I23" s="1196">
        <v>5000</v>
      </c>
      <c r="J23" s="1070">
        <f t="shared" si="1"/>
        <v>1</v>
      </c>
      <c r="K23" s="1071">
        <f t="shared" si="0"/>
        <v>5000</v>
      </c>
      <c r="L23" s="1075"/>
    </row>
    <row r="24" spans="4:13">
      <c r="D24" s="1072" t="s">
        <v>8</v>
      </c>
      <c r="E24" s="1067" t="s">
        <v>636</v>
      </c>
      <c r="F24" s="1073"/>
      <c r="G24" s="1074">
        <v>1</v>
      </c>
      <c r="H24" s="1069">
        <v>0.25</v>
      </c>
      <c r="I24" s="1196">
        <v>5000</v>
      </c>
      <c r="J24" s="1070">
        <f t="shared" si="1"/>
        <v>1</v>
      </c>
      <c r="K24" s="1071">
        <f t="shared" si="0"/>
        <v>5000</v>
      </c>
      <c r="L24" s="1075"/>
    </row>
    <row r="25" spans="4:13">
      <c r="D25" s="1072" t="s">
        <v>287</v>
      </c>
      <c r="E25" s="1067" t="s">
        <v>241</v>
      </c>
      <c r="F25" s="1073"/>
      <c r="G25" s="1074">
        <v>1</v>
      </c>
      <c r="H25" s="1069">
        <v>0.37530000000000002</v>
      </c>
      <c r="I25" s="1196">
        <v>5000</v>
      </c>
      <c r="J25" s="1070">
        <f t="shared" si="1"/>
        <v>1.5</v>
      </c>
      <c r="K25" s="1071">
        <f t="shared" si="0"/>
        <v>7500</v>
      </c>
      <c r="L25" s="1075"/>
    </row>
    <row r="26" spans="4:13">
      <c r="D26" s="1072" t="s">
        <v>638</v>
      </c>
      <c r="E26" s="1067" t="s">
        <v>637</v>
      </c>
      <c r="F26" s="1073"/>
      <c r="G26" s="1074">
        <v>1</v>
      </c>
      <c r="H26" s="1069">
        <v>0.25</v>
      </c>
      <c r="I26" s="1196">
        <v>5000</v>
      </c>
      <c r="J26" s="1070">
        <f t="shared" si="1"/>
        <v>1</v>
      </c>
      <c r="K26" s="1071">
        <f t="shared" si="0"/>
        <v>5000</v>
      </c>
      <c r="L26" s="1075"/>
    </row>
    <row r="27" spans="4:13">
      <c r="D27" s="1072" t="s">
        <v>639</v>
      </c>
      <c r="E27" s="1067" t="s">
        <v>870</v>
      </c>
      <c r="F27" s="1073"/>
      <c r="G27" s="1074">
        <v>1</v>
      </c>
      <c r="H27" s="1069">
        <v>0.25</v>
      </c>
      <c r="I27" s="1196">
        <v>5000</v>
      </c>
      <c r="J27" s="1070">
        <f t="shared" si="1"/>
        <v>1</v>
      </c>
      <c r="K27" s="1071">
        <f t="shared" si="0"/>
        <v>5000</v>
      </c>
      <c r="L27" s="1075"/>
    </row>
    <row r="28" spans="4:13">
      <c r="D28" s="1076"/>
      <c r="E28" s="1077"/>
      <c r="F28" s="1052"/>
      <c r="G28" s="1077"/>
      <c r="H28" s="1078"/>
      <c r="I28" s="1079"/>
      <c r="J28" s="1080"/>
      <c r="K28" s="1081"/>
      <c r="L28" s="1075"/>
    </row>
    <row r="29" spans="4:13">
      <c r="D29" s="1082"/>
      <c r="E29" s="1083"/>
      <c r="F29" s="1084"/>
      <c r="G29" s="1085">
        <f>SUM(G19:G28)</f>
        <v>9</v>
      </c>
      <c r="H29" s="1086"/>
      <c r="I29" s="1319" t="s">
        <v>640</v>
      </c>
      <c r="J29" s="1086"/>
      <c r="K29" s="1934">
        <f>SUM(K19:K28)</f>
        <v>85500</v>
      </c>
      <c r="L29" s="1075"/>
    </row>
    <row r="30" spans="4:13">
      <c r="G30" s="1087"/>
    </row>
    <row r="31" spans="4:13">
      <c r="D31" s="1032"/>
      <c r="E31" s="1033"/>
      <c r="F31" s="1033"/>
      <c r="G31" s="1033"/>
      <c r="H31" s="1033"/>
      <c r="I31" s="1088"/>
      <c r="J31" s="1033"/>
      <c r="K31" s="1034"/>
    </row>
    <row r="32" spans="4:13">
      <c r="D32" s="1317" t="s">
        <v>641</v>
      </c>
      <c r="E32" s="1318" t="s">
        <v>642</v>
      </c>
      <c r="F32" s="1318"/>
      <c r="G32" s="1035"/>
      <c r="H32" s="1035"/>
      <c r="J32" s="1035"/>
      <c r="K32" s="1089"/>
    </row>
    <row r="33" spans="4:11">
      <c r="D33" s="1037"/>
      <c r="E33" s="1038"/>
      <c r="F33" s="1038"/>
      <c r="G33" s="1038"/>
      <c r="H33" s="1038"/>
      <c r="I33" s="1052"/>
      <c r="J33" s="1038"/>
      <c r="K33" s="1090"/>
    </row>
    <row r="34" spans="4:11">
      <c r="D34" s="1321"/>
      <c r="E34" s="1322"/>
      <c r="G34" s="1047" t="s">
        <v>643</v>
      </c>
      <c r="H34" s="1046"/>
      <c r="I34" s="1046" t="s">
        <v>644</v>
      </c>
      <c r="J34" s="1046" t="s">
        <v>626</v>
      </c>
      <c r="K34" s="1092" t="s">
        <v>281</v>
      </c>
    </row>
    <row r="35" spans="4:11">
      <c r="D35" s="1042"/>
      <c r="E35" s="1323" t="s">
        <v>207</v>
      </c>
      <c r="G35" s="1047" t="s">
        <v>628</v>
      </c>
      <c r="H35" s="1046" t="s">
        <v>28</v>
      </c>
      <c r="I35" s="1046" t="s">
        <v>517</v>
      </c>
      <c r="J35" s="1046" t="s">
        <v>631</v>
      </c>
      <c r="K35" s="1092" t="s">
        <v>632</v>
      </c>
    </row>
    <row r="36" spans="4:11">
      <c r="D36" s="1050"/>
      <c r="E36" s="1052"/>
      <c r="F36" s="1052"/>
      <c r="G36" s="1094"/>
      <c r="H36" s="1055"/>
      <c r="I36" s="1055" t="s">
        <v>999</v>
      </c>
      <c r="J36" s="1055" t="s">
        <v>518</v>
      </c>
      <c r="K36" s="1095" t="s">
        <v>999</v>
      </c>
    </row>
    <row r="37" spans="4:11">
      <c r="D37" s="1042"/>
      <c r="E37" t="s">
        <v>645</v>
      </c>
      <c r="G37" s="1096">
        <f>G20</f>
        <v>1</v>
      </c>
      <c r="H37" s="1097">
        <v>0.5</v>
      </c>
      <c r="I37" s="1196">
        <v>3500</v>
      </c>
      <c r="J37" s="1070">
        <f>+ROUND(+H37*$J$13,1)</f>
        <v>2</v>
      </c>
      <c r="K37" s="1071">
        <f>+ROUND(I37*J37*G37,2)</f>
        <v>7000</v>
      </c>
    </row>
    <row r="38" spans="4:11">
      <c r="D38" s="1042"/>
      <c r="E38" t="s">
        <v>646</v>
      </c>
      <c r="G38" s="1096">
        <v>1</v>
      </c>
      <c r="H38" s="1069">
        <v>0.35</v>
      </c>
      <c r="I38" s="1196">
        <v>2000</v>
      </c>
      <c r="J38" s="1070">
        <f>+ROUND(+H38*$J$13,1)</f>
        <v>1.4</v>
      </c>
      <c r="K38" s="1071">
        <f>+ROUND(I38*J38*G38,2)</f>
        <v>2800</v>
      </c>
    </row>
    <row r="39" spans="4:11">
      <c r="D39" s="1042"/>
      <c r="E39" t="s">
        <v>647</v>
      </c>
      <c r="G39" s="1096">
        <v>1</v>
      </c>
      <c r="H39" s="1097">
        <v>0.5</v>
      </c>
      <c r="I39" s="1196">
        <v>2500</v>
      </c>
      <c r="J39" s="1070">
        <f>+ROUND(+H39*$J$13,2)</f>
        <v>2</v>
      </c>
      <c r="K39" s="1071">
        <f>+ROUND(I39*J39*G39,2)</f>
        <v>5000</v>
      </c>
    </row>
    <row r="40" spans="4:11">
      <c r="D40" s="1042"/>
      <c r="E40" t="s">
        <v>648</v>
      </c>
      <c r="G40" s="1096" t="s">
        <v>649</v>
      </c>
      <c r="H40" s="1098"/>
      <c r="I40" s="1070"/>
      <c r="J40" s="1099"/>
      <c r="K40" s="1100">
        <f>+ROUND(K29*0.05,2)</f>
        <v>4275</v>
      </c>
    </row>
    <row r="41" spans="4:11">
      <c r="D41" s="1050"/>
      <c r="E41" s="1052"/>
      <c r="F41" s="1052"/>
      <c r="G41" s="1101"/>
      <c r="H41" s="1101"/>
      <c r="I41" s="1102"/>
      <c r="J41" s="1103"/>
      <c r="K41" s="1104"/>
    </row>
    <row r="42" spans="4:11">
      <c r="D42" s="1105"/>
      <c r="E42" s="1084"/>
      <c r="F42" s="1106"/>
      <c r="G42" s="1106"/>
      <c r="H42" s="1106"/>
      <c r="I42" s="1324" t="s">
        <v>650</v>
      </c>
      <c r="J42" s="1107"/>
      <c r="K42" s="1320">
        <f>SUM(K37:K40)</f>
        <v>19075</v>
      </c>
    </row>
    <row r="43" spans="4:11">
      <c r="D43" s="1108" t="s">
        <v>651</v>
      </c>
      <c r="E43" s="1109" t="s">
        <v>652</v>
      </c>
      <c r="F43" s="1110"/>
      <c r="G43" s="1110"/>
      <c r="H43" s="1110"/>
      <c r="I43" s="1322"/>
      <c r="J43" s="1111"/>
      <c r="K43" s="1325"/>
    </row>
    <row r="44" spans="4:11" ht="13.5" thickBot="1">
      <c r="D44" s="1110"/>
      <c r="E44" s="1112"/>
      <c r="F44" s="1110"/>
      <c r="G44" s="1110"/>
      <c r="H44" s="1110"/>
    </row>
    <row r="45" spans="4:11" ht="14.25" hidden="1" customHeight="1">
      <c r="D45" s="1113"/>
      <c r="E45" s="1114"/>
      <c r="F45" s="1114"/>
      <c r="G45" s="1114"/>
      <c r="H45" s="1114"/>
      <c r="I45" s="1114"/>
      <c r="J45" s="1114"/>
      <c r="K45" s="1115"/>
    </row>
    <row r="46" spans="4:11" ht="19.5" customHeight="1" thickTop="1" thickBot="1">
      <c r="D46" s="1918"/>
      <c r="E46" s="1919"/>
      <c r="F46" s="1920" t="s">
        <v>653</v>
      </c>
      <c r="G46" s="1920"/>
      <c r="H46" s="1920"/>
      <c r="I46" s="1920"/>
      <c r="J46" s="1921" t="s">
        <v>999</v>
      </c>
      <c r="K46" s="1935">
        <f>+K42+K29</f>
        <v>104575</v>
      </c>
    </row>
    <row r="47" spans="4:11" ht="14.25" hidden="1" customHeight="1">
      <c r="D47" s="1029"/>
      <c r="E47" s="1030"/>
      <c r="F47" s="1030"/>
      <c r="G47" s="1030"/>
      <c r="H47" s="1030"/>
      <c r="I47" s="1030"/>
      <c r="J47" s="1030"/>
      <c r="K47" s="1031"/>
    </row>
    <row r="48" spans="4:11" ht="16.5" thickTop="1">
      <c r="D48" s="1025"/>
      <c r="E48" s="1025"/>
      <c r="F48" s="1025"/>
      <c r="G48" s="1025"/>
      <c r="H48" s="1025"/>
      <c r="I48" s="1025"/>
      <c r="J48" s="1116"/>
      <c r="K48" s="1116"/>
    </row>
    <row r="49" spans="1:13" ht="15.75" hidden="1">
      <c r="D49" s="1025"/>
      <c r="E49" s="1025"/>
      <c r="F49" s="1025"/>
      <c r="G49" s="1025"/>
      <c r="H49" s="1025"/>
      <c r="I49" s="1025"/>
      <c r="J49" s="1116"/>
      <c r="K49" s="1116"/>
    </row>
    <row r="50" spans="1:13" ht="24" customHeight="1">
      <c r="D50" s="2047" t="s">
        <v>617</v>
      </c>
      <c r="E50" s="2047"/>
      <c r="F50" s="2047"/>
      <c r="G50" s="2047"/>
      <c r="H50" s="2047"/>
      <c r="I50" s="2047"/>
      <c r="J50" s="2047"/>
      <c r="K50" s="2047"/>
    </row>
    <row r="51" spans="1:13" ht="24" customHeight="1">
      <c r="D51" s="2047" t="s">
        <v>618</v>
      </c>
      <c r="E51" s="2047"/>
      <c r="F51" s="2047"/>
      <c r="G51" s="2047"/>
      <c r="H51" s="2047"/>
      <c r="I51" s="2047"/>
      <c r="J51" s="2047"/>
      <c r="K51" s="2047"/>
    </row>
    <row r="52" spans="1:13" ht="30.75" customHeight="1">
      <c r="D52" s="2050" t="str">
        <f>+D6</f>
        <v>“AMPLIACION DEL SISTEMA ELECTRICO RURAL EN LA PROVINCIA DEL SANTA Y EN EL DISTRITO DE PAMPAROMAS - DEPARTAMENTO DE ANCASH”</v>
      </c>
      <c r="E52" s="2050"/>
      <c r="F52" s="2050"/>
      <c r="G52" s="2050"/>
      <c r="H52" s="2050"/>
      <c r="I52" s="2050"/>
      <c r="J52" s="2050"/>
      <c r="K52" s="2050"/>
      <c r="M52" s="1824"/>
    </row>
    <row r="53" spans="1:13" ht="15" hidden="1">
      <c r="D53" s="1013"/>
      <c r="E53" s="1013"/>
      <c r="F53" s="1013"/>
      <c r="G53" s="1013"/>
      <c r="H53" s="1013"/>
      <c r="I53" s="1013"/>
      <c r="J53" s="1013"/>
      <c r="K53" s="1013"/>
    </row>
    <row r="54" spans="1:13" ht="17.25" thickBot="1">
      <c r="D54" s="1026"/>
      <c r="E54" s="1026"/>
      <c r="F54" s="1026"/>
      <c r="G54" s="1026"/>
      <c r="H54" s="1026"/>
      <c r="I54" s="1026"/>
      <c r="J54" s="1026"/>
      <c r="K54" s="1026"/>
    </row>
    <row r="55" spans="1:13" ht="14.25" hidden="1" customHeight="1">
      <c r="D55" s="1326"/>
      <c r="E55" s="1327"/>
      <c r="F55" s="1327"/>
      <c r="G55" s="1327"/>
      <c r="H55" s="1327"/>
      <c r="I55" s="1327"/>
      <c r="J55" s="1327"/>
      <c r="K55" s="1328"/>
    </row>
    <row r="56" spans="1:13" s="1908" customFormat="1" ht="22.5" customHeight="1" thickTop="1" thickBot="1">
      <c r="A56" s="1926"/>
      <c r="B56" s="1926"/>
      <c r="D56" s="1927" t="s">
        <v>190</v>
      </c>
      <c r="E56" s="1928" t="s">
        <v>654</v>
      </c>
      <c r="F56" s="1929"/>
      <c r="G56" s="1929"/>
      <c r="H56" s="1929"/>
      <c r="I56" s="1929"/>
      <c r="J56" s="1929"/>
      <c r="K56" s="1930"/>
    </row>
    <row r="57" spans="1:13" ht="14.25" hidden="1" customHeight="1">
      <c r="A57" s="1390"/>
      <c r="B57" s="1390"/>
      <c r="D57" s="1117"/>
      <c r="E57" s="1118"/>
      <c r="F57" s="1118"/>
      <c r="G57" s="1118"/>
      <c r="H57" s="1118"/>
      <c r="I57" s="1118"/>
      <c r="J57" s="1118"/>
      <c r="K57" s="1119"/>
    </row>
    <row r="58" spans="1:13" ht="13.5" thickTop="1">
      <c r="A58" s="1390"/>
      <c r="B58" s="1390"/>
      <c r="D58" s="1120"/>
      <c r="E58" s="1121"/>
      <c r="F58" s="1088"/>
      <c r="G58" s="1121"/>
      <c r="H58" s="1121"/>
      <c r="I58" s="1121"/>
      <c r="J58" s="1121"/>
      <c r="K58" s="1122"/>
    </row>
    <row r="59" spans="1:13">
      <c r="A59" s="1390"/>
      <c r="B59" s="1390"/>
      <c r="D59" s="1329" t="s">
        <v>655</v>
      </c>
      <c r="E59" s="1330" t="s">
        <v>656</v>
      </c>
      <c r="G59" s="1330"/>
      <c r="H59" s="1123"/>
      <c r="I59" s="1124"/>
      <c r="J59" s="1124"/>
      <c r="K59" s="1125"/>
    </row>
    <row r="60" spans="1:13">
      <c r="A60" s="1390"/>
      <c r="B60" s="1390"/>
      <c r="D60" s="1126"/>
      <c r="E60" s="1123"/>
      <c r="G60" s="1123"/>
      <c r="H60" s="1123"/>
      <c r="I60" s="1123"/>
      <c r="J60" s="1123"/>
      <c r="K60" s="1127"/>
    </row>
    <row r="61" spans="1:13" ht="15">
      <c r="A61" s="1390"/>
      <c r="B61" s="1390"/>
      <c r="D61" s="1129"/>
      <c r="E61" s="1130"/>
      <c r="F61" s="1131"/>
      <c r="G61" s="1130"/>
      <c r="H61" s="1331" t="s">
        <v>658</v>
      </c>
      <c r="I61" s="1331"/>
      <c r="J61" s="1131"/>
      <c r="K61" s="1133">
        <v>450</v>
      </c>
    </row>
    <row r="62" spans="1:13">
      <c r="A62" s="1390"/>
      <c r="B62" s="1390"/>
      <c r="D62" s="1129"/>
      <c r="E62" s="1130"/>
      <c r="F62" s="1131"/>
      <c r="G62" s="1130"/>
      <c r="H62" s="1130"/>
      <c r="I62" s="1130"/>
      <c r="J62" s="1130"/>
      <c r="K62" s="1134"/>
    </row>
    <row r="63" spans="1:13" ht="15.75">
      <c r="A63" s="1390"/>
      <c r="B63" s="1390"/>
      <c r="D63" s="1135"/>
      <c r="E63" s="1136" t="s">
        <v>659</v>
      </c>
      <c r="F63" s="1131"/>
      <c r="G63" s="1137"/>
      <c r="H63" s="1138"/>
      <c r="I63" s="1139">
        <v>22.95</v>
      </c>
      <c r="J63" s="1136" t="s">
        <v>191</v>
      </c>
      <c r="K63" s="1134"/>
    </row>
    <row r="64" spans="1:13" ht="15.75">
      <c r="D64" s="1129"/>
      <c r="E64" s="1138"/>
      <c r="F64" s="1131"/>
      <c r="G64" s="1136"/>
      <c r="H64" s="1138" t="s">
        <v>660</v>
      </c>
      <c r="I64" s="1136"/>
      <c r="J64" s="1138" t="s">
        <v>999</v>
      </c>
      <c r="K64" s="1140">
        <f>ROUND(+I63*K61,2)</f>
        <v>10327.5</v>
      </c>
    </row>
    <row r="65" spans="4:11" ht="15.75">
      <c r="D65" s="1124"/>
      <c r="E65" s="1141"/>
      <c r="G65" s="1142"/>
      <c r="H65" s="1141"/>
      <c r="I65" s="1142"/>
      <c r="J65" s="1141"/>
      <c r="K65" s="1142"/>
    </row>
    <row r="66" spans="4:11">
      <c r="D66" s="1120"/>
      <c r="E66" s="1121"/>
      <c r="F66" s="1088"/>
      <c r="G66" s="1121"/>
      <c r="H66" s="1121"/>
      <c r="I66" s="1121"/>
      <c r="J66" s="1121"/>
      <c r="K66" s="1122"/>
    </row>
    <row r="67" spans="4:11">
      <c r="D67" s="1329" t="s">
        <v>661</v>
      </c>
      <c r="E67" s="1330" t="s">
        <v>662</v>
      </c>
      <c r="G67" s="1330"/>
      <c r="H67" s="1123"/>
      <c r="I67" s="1124"/>
      <c r="J67" s="1124"/>
      <c r="K67" s="1125"/>
    </row>
    <row r="68" spans="4:11">
      <c r="D68" s="1143"/>
      <c r="E68" s="1144"/>
      <c r="F68" s="1084"/>
      <c r="G68" s="1144"/>
      <c r="H68" s="1144"/>
      <c r="I68" s="1144"/>
      <c r="J68" s="1144"/>
      <c r="K68" s="1145"/>
    </row>
    <row r="69" spans="4:11">
      <c r="D69" s="1146"/>
      <c r="E69" s="1147"/>
      <c r="F69" s="1088"/>
      <c r="G69" s="1147"/>
      <c r="H69" s="1147"/>
      <c r="I69" s="1147"/>
      <c r="J69" s="1147"/>
      <c r="K69" s="1148"/>
    </row>
    <row r="70" spans="4:11" ht="15">
      <c r="D70" s="1149"/>
      <c r="E70" s="1150"/>
      <c r="F70" s="1084"/>
      <c r="G70" s="1150"/>
      <c r="H70" s="1332" t="s">
        <v>663</v>
      </c>
      <c r="I70" s="1332"/>
      <c r="J70" s="1084"/>
      <c r="K70" s="1151">
        <v>420</v>
      </c>
    </row>
    <row r="71" spans="4:11">
      <c r="D71" s="1129"/>
      <c r="E71" s="1130"/>
      <c r="F71" s="1131"/>
      <c r="G71" s="1130"/>
      <c r="H71" s="1130"/>
      <c r="I71" s="1130"/>
      <c r="J71" s="1130"/>
      <c r="K71" s="1134"/>
    </row>
    <row r="72" spans="4:11" ht="15.75">
      <c r="D72" s="1152"/>
      <c r="E72" s="1132" t="s">
        <v>664</v>
      </c>
      <c r="F72" s="1131"/>
      <c r="G72" s="1136"/>
      <c r="H72" s="1136"/>
      <c r="I72" s="1153">
        <v>30</v>
      </c>
      <c r="J72" s="1154" t="s">
        <v>665</v>
      </c>
      <c r="K72" s="1140"/>
    </row>
    <row r="73" spans="4:11" ht="15.75">
      <c r="D73" s="1152"/>
      <c r="E73" s="1155" t="s">
        <v>666</v>
      </c>
      <c r="F73" s="1131"/>
      <c r="G73" s="1136"/>
      <c r="H73" s="1136"/>
      <c r="I73" s="1136"/>
      <c r="J73" s="1138" t="s">
        <v>999</v>
      </c>
      <c r="K73" s="1140">
        <f>+I72*K70</f>
        <v>12600</v>
      </c>
    </row>
    <row r="74" spans="4:11" ht="14.25" thickTop="1" thickBot="1">
      <c r="D74" s="1123"/>
      <c r="E74" s="1123"/>
      <c r="G74" s="1123"/>
      <c r="H74" s="1123"/>
      <c r="I74" s="1123"/>
      <c r="J74" s="1123"/>
      <c r="K74" s="1123"/>
    </row>
    <row r="75" spans="4:11" ht="14.25" hidden="1" customHeight="1">
      <c r="D75" s="1333"/>
      <c r="E75" s="1334"/>
      <c r="F75" s="1156"/>
      <c r="G75" s="1334"/>
      <c r="H75" s="1334"/>
      <c r="I75" s="1334"/>
      <c r="J75" s="1334"/>
      <c r="K75" s="1335"/>
    </row>
    <row r="76" spans="4:11" ht="21.75" customHeight="1" thickTop="1" thickBot="1">
      <c r="D76" s="1922" t="s">
        <v>190</v>
      </c>
      <c r="E76" s="1923" t="s">
        <v>667</v>
      </c>
      <c r="F76" s="1923"/>
      <c r="G76" s="1923"/>
      <c r="H76" s="1923"/>
      <c r="I76" s="1923"/>
      <c r="J76" s="1924"/>
      <c r="K76" s="1925">
        <f>+K73+K64</f>
        <v>22927.5</v>
      </c>
    </row>
    <row r="77" spans="4:11" ht="4.5" hidden="1" customHeight="1" thickTop="1" thickBot="1">
      <c r="D77" s="1157"/>
      <c r="E77" s="1158"/>
      <c r="F77" s="1159"/>
      <c r="G77" s="1158"/>
      <c r="H77" s="1158"/>
      <c r="I77" s="1158"/>
      <c r="J77" s="1158"/>
      <c r="K77" s="1160"/>
    </row>
    <row r="78" spans="4:11" ht="14.25" thickTop="1" thickBot="1">
      <c r="H78" s="1322"/>
      <c r="I78" s="1322"/>
      <c r="K78" s="1336"/>
    </row>
    <row r="79" spans="4:11" hidden="1">
      <c r="H79" s="1322"/>
      <c r="I79" s="1322"/>
      <c r="K79" s="1336"/>
    </row>
    <row r="80" spans="4:11" ht="15" hidden="1">
      <c r="D80" s="1013"/>
      <c r="E80" s="1013"/>
      <c r="F80" s="1013"/>
      <c r="G80" s="1013"/>
      <c r="H80" s="1013"/>
      <c r="I80" s="1013"/>
      <c r="J80" s="1013"/>
      <c r="K80" s="1013"/>
    </row>
    <row r="81" spans="4:11" hidden="1"/>
    <row r="82" spans="4:11" ht="14.25" hidden="1" customHeight="1">
      <c r="D82" s="1337"/>
      <c r="E82" s="1338"/>
      <c r="F82" s="1338"/>
      <c r="G82" s="1338"/>
      <c r="H82" s="1338"/>
      <c r="I82" s="1338"/>
      <c r="J82" s="1338"/>
      <c r="K82" s="1339"/>
    </row>
    <row r="83" spans="4:11" ht="21.75" customHeight="1" thickTop="1" thickBot="1">
      <c r="D83" s="1922" t="s">
        <v>125</v>
      </c>
      <c r="E83" s="1923" t="s">
        <v>669</v>
      </c>
      <c r="F83" s="1923"/>
      <c r="G83" s="1923"/>
      <c r="H83" s="1923"/>
      <c r="I83" s="1923"/>
      <c r="J83" s="1924"/>
      <c r="K83" s="1925"/>
    </row>
    <row r="84" spans="4:11" ht="14.25" hidden="1" customHeight="1">
      <c r="D84" s="1161"/>
      <c r="E84" s="1162"/>
      <c r="F84" s="1162"/>
      <c r="G84" s="1162"/>
      <c r="H84" s="1162"/>
      <c r="I84" s="1162"/>
      <c r="J84" s="1162"/>
      <c r="K84" s="1163"/>
    </row>
    <row r="85" spans="4:11" ht="14.25" thickTop="1" thickBot="1"/>
    <row r="86" spans="4:11" ht="13.5" thickTop="1">
      <c r="D86" s="1032"/>
      <c r="E86" s="1033"/>
      <c r="F86" s="1033"/>
      <c r="G86" s="1033"/>
      <c r="H86" s="1033"/>
      <c r="I86" s="1033"/>
      <c r="J86" s="1033"/>
      <c r="K86" s="1034"/>
    </row>
    <row r="87" spans="4:11">
      <c r="D87" s="1776" t="s">
        <v>670</v>
      </c>
      <c r="E87" s="1322" t="s">
        <v>671</v>
      </c>
      <c r="F87" s="1322"/>
      <c r="G87" s="1035"/>
      <c r="H87" s="1035"/>
      <c r="I87" s="1035"/>
      <c r="J87" s="1035"/>
      <c r="K87" s="1089"/>
    </row>
    <row r="88" spans="4:11">
      <c r="D88" s="1037"/>
      <c r="E88" s="1038"/>
      <c r="F88" s="1038"/>
      <c r="G88" s="1038"/>
      <c r="H88" s="1038"/>
      <c r="I88" s="1038"/>
      <c r="J88" s="1038"/>
      <c r="K88" s="1090"/>
    </row>
    <row r="89" spans="4:11">
      <c r="D89" s="1042"/>
      <c r="E89" s="1093" t="s">
        <v>207</v>
      </c>
      <c r="G89" s="1047" t="s">
        <v>672</v>
      </c>
      <c r="H89" s="1043"/>
      <c r="I89" s="1045" t="s">
        <v>673</v>
      </c>
      <c r="J89" s="1047" t="s">
        <v>657</v>
      </c>
      <c r="K89" s="1164"/>
    </row>
    <row r="90" spans="4:11">
      <c r="D90" s="1050"/>
      <c r="E90" s="1052"/>
      <c r="F90" s="1052"/>
      <c r="G90" s="1094" t="s">
        <v>999</v>
      </c>
      <c r="H90" s="1051"/>
      <c r="I90" s="1094" t="s">
        <v>674</v>
      </c>
      <c r="J90" s="1094" t="s">
        <v>999</v>
      </c>
      <c r="K90" s="1165"/>
    </row>
    <row r="91" spans="4:11">
      <c r="D91" s="1042"/>
      <c r="E91" t="s">
        <v>675</v>
      </c>
      <c r="G91" s="1412">
        <v>50</v>
      </c>
      <c r="H91" s="1166"/>
      <c r="I91" s="1167">
        <v>20</v>
      </c>
      <c r="J91" s="1168">
        <f>+G91*I91</f>
        <v>1000</v>
      </c>
      <c r="K91" s="1164"/>
    </row>
    <row r="92" spans="4:11">
      <c r="D92" s="1050"/>
      <c r="E92" s="1052" t="s">
        <v>676</v>
      </c>
      <c r="F92" s="1052"/>
      <c r="G92" s="1412">
        <v>80</v>
      </c>
      <c r="H92" s="1169"/>
      <c r="I92" s="1170">
        <f>+I91</f>
        <v>20</v>
      </c>
      <c r="J92" s="1171">
        <f>+G92*I92</f>
        <v>1600</v>
      </c>
      <c r="K92" s="1165"/>
    </row>
    <row r="93" spans="4:11">
      <c r="D93" s="1105"/>
      <c r="E93" s="1084"/>
      <c r="F93" s="1084"/>
      <c r="G93" s="1086"/>
      <c r="H93" s="1086"/>
      <c r="I93" s="1319" t="s">
        <v>677</v>
      </c>
      <c r="J93" s="1086"/>
      <c r="K93" s="1340">
        <f>SUM(J91:J92)</f>
        <v>2600</v>
      </c>
    </row>
    <row r="95" spans="4:11">
      <c r="D95" s="1172"/>
      <c r="E95" s="1088"/>
      <c r="F95" s="1088"/>
      <c r="G95" s="1088"/>
      <c r="H95" s="1088"/>
      <c r="I95" s="1088"/>
      <c r="J95" s="1088"/>
      <c r="K95" s="1173"/>
    </row>
    <row r="96" spans="4:11">
      <c r="D96" s="1776" t="s">
        <v>678</v>
      </c>
      <c r="E96" s="1322" t="s">
        <v>679</v>
      </c>
      <c r="F96" s="1322"/>
      <c r="K96" s="1164"/>
    </row>
    <row r="97" spans="4:14">
      <c r="D97" s="1341"/>
      <c r="E97" s="1342"/>
      <c r="F97" s="1342"/>
      <c r="G97" s="1052"/>
      <c r="H97" s="1052"/>
      <c r="I97" s="1052"/>
      <c r="J97" s="1052"/>
      <c r="K97" s="1165"/>
    </row>
    <row r="98" spans="4:14">
      <c r="D98" s="1042"/>
      <c r="F98" s="1174"/>
      <c r="G98" s="1047" t="s">
        <v>672</v>
      </c>
      <c r="H98" s="1046"/>
      <c r="I98" s="1046" t="s">
        <v>673</v>
      </c>
      <c r="J98" s="1046" t="s">
        <v>657</v>
      </c>
      <c r="K98" s="1164"/>
    </row>
    <row r="99" spans="4:14">
      <c r="D99" s="1050"/>
      <c r="E99" s="1052"/>
      <c r="F99" s="1175"/>
      <c r="G99" s="1094" t="s">
        <v>999</v>
      </c>
      <c r="H99" s="1055"/>
      <c r="I99" s="1055" t="s">
        <v>680</v>
      </c>
      <c r="J99" s="1055" t="s">
        <v>999</v>
      </c>
      <c r="K99" s="1165"/>
    </row>
    <row r="100" spans="4:14">
      <c r="D100" s="1042"/>
      <c r="E100" t="s">
        <v>681</v>
      </c>
      <c r="G100" s="1412">
        <v>300</v>
      </c>
      <c r="H100" s="1176"/>
      <c r="I100" s="1177">
        <v>20</v>
      </c>
      <c r="J100" s="1178">
        <f>+G100*I100</f>
        <v>6000</v>
      </c>
      <c r="K100" s="1164"/>
    </row>
    <row r="101" spans="4:14">
      <c r="D101" s="1042"/>
      <c r="E101" t="s">
        <v>682</v>
      </c>
      <c r="G101" s="1412">
        <v>200</v>
      </c>
      <c r="H101" s="1176"/>
      <c r="I101" s="1179">
        <v>20</v>
      </c>
      <c r="J101" s="1178">
        <f>+G101*I101</f>
        <v>4000</v>
      </c>
      <c r="K101" s="1164"/>
    </row>
    <row r="102" spans="4:14">
      <c r="D102" s="1050"/>
      <c r="E102" s="1052" t="s">
        <v>683</v>
      </c>
      <c r="F102" s="1052"/>
      <c r="G102" s="1180"/>
      <c r="H102" s="1181"/>
      <c r="I102" s="1181"/>
      <c r="J102" s="1182">
        <f>+ROUND(+K29*2/100,2)</f>
        <v>1710</v>
      </c>
      <c r="K102" s="1165"/>
    </row>
    <row r="103" spans="4:14">
      <c r="D103" s="1105"/>
      <c r="E103" s="1084"/>
      <c r="F103" s="1084"/>
      <c r="G103" s="1086"/>
      <c r="H103" s="1106"/>
      <c r="I103" s="1324" t="s">
        <v>684</v>
      </c>
      <c r="J103" s="1106"/>
      <c r="K103" s="1340">
        <f>SUM(J100:J102)</f>
        <v>11710</v>
      </c>
    </row>
    <row r="104" spans="4:14">
      <c r="I104" s="1322"/>
      <c r="K104" s="1343"/>
    </row>
    <row r="105" spans="4:14">
      <c r="D105" s="1172"/>
      <c r="E105" s="1088"/>
      <c r="F105" s="1088"/>
      <c r="G105" s="1088"/>
      <c r="H105" s="1088"/>
      <c r="I105" s="1088"/>
      <c r="J105" s="1088"/>
      <c r="K105" s="1173"/>
    </row>
    <row r="106" spans="4:14">
      <c r="D106" s="1776" t="s">
        <v>685</v>
      </c>
      <c r="E106" s="1322" t="s">
        <v>686</v>
      </c>
      <c r="F106" s="1322"/>
      <c r="K106" s="1164"/>
    </row>
    <row r="107" spans="4:14">
      <c r="D107" s="1344"/>
      <c r="E107" s="1322"/>
      <c r="F107" s="1322"/>
      <c r="K107" s="1164"/>
    </row>
    <row r="108" spans="4:14">
      <c r="D108" s="1184" t="s">
        <v>188</v>
      </c>
      <c r="E108" s="1185"/>
      <c r="F108" s="1128"/>
      <c r="G108" s="1045" t="s">
        <v>50</v>
      </c>
      <c r="H108" s="1345" t="s">
        <v>124</v>
      </c>
      <c r="I108" s="1345" t="s">
        <v>668</v>
      </c>
      <c r="J108" s="1345" t="s">
        <v>687</v>
      </c>
      <c r="K108" s="1186"/>
    </row>
    <row r="109" spans="4:14">
      <c r="D109" s="1187"/>
      <c r="E109" s="1077"/>
      <c r="F109" s="1052"/>
      <c r="G109" s="1094"/>
      <c r="H109" s="1346"/>
      <c r="I109" s="1347" t="s">
        <v>999</v>
      </c>
      <c r="J109" s="1347" t="s">
        <v>999</v>
      </c>
      <c r="K109" s="1165"/>
      <c r="M109" s="1825"/>
    </row>
    <row r="110" spans="4:14">
      <c r="D110" s="1183">
        <v>1</v>
      </c>
      <c r="E110" s="1064" t="s">
        <v>688</v>
      </c>
      <c r="G110" s="1047"/>
      <c r="H110" s="1348"/>
      <c r="I110" s="1349"/>
      <c r="J110" s="1349"/>
      <c r="K110" s="1188">
        <f>SUM(J111:J113)</f>
        <v>4289.72</v>
      </c>
    </row>
    <row r="111" spans="4:14">
      <c r="D111" s="1189"/>
      <c r="E111" s="1060" t="s">
        <v>689</v>
      </c>
      <c r="G111" s="1190" t="s">
        <v>19</v>
      </c>
      <c r="H111" s="1096">
        <v>1</v>
      </c>
      <c r="I111" s="1196">
        <v>1633.99</v>
      </c>
      <c r="J111" s="1191">
        <f>+H111*I111</f>
        <v>1633.99</v>
      </c>
      <c r="K111" s="1164"/>
    </row>
    <row r="112" spans="4:14">
      <c r="D112" s="1189"/>
      <c r="E112" s="1060" t="s">
        <v>521</v>
      </c>
      <c r="F112" s="1192"/>
      <c r="G112" s="1190" t="s">
        <v>19</v>
      </c>
      <c r="H112" s="1096">
        <v>1</v>
      </c>
      <c r="I112" s="1196">
        <v>1395.03</v>
      </c>
      <c r="J112" s="1191">
        <f>+H112*I112</f>
        <v>1395.03</v>
      </c>
      <c r="K112" s="1164"/>
      <c r="N112" s="1790">
        <f>+N199</f>
        <v>0</v>
      </c>
    </row>
    <row r="113" spans="4:11">
      <c r="D113" s="1189"/>
      <c r="E113" s="1060" t="s">
        <v>690</v>
      </c>
      <c r="G113" s="1190" t="s">
        <v>19</v>
      </c>
      <c r="H113" s="1096">
        <v>1</v>
      </c>
      <c r="I113" s="1196">
        <v>1260.7</v>
      </c>
      <c r="J113" s="1191">
        <f>+H113*I113</f>
        <v>1260.7</v>
      </c>
      <c r="K113" s="1164"/>
    </row>
    <row r="114" spans="4:11">
      <c r="D114" s="1189"/>
      <c r="E114" s="1060"/>
      <c r="G114" s="1047"/>
      <c r="H114" s="1350"/>
      <c r="I114" s="1349"/>
      <c r="J114" s="1349"/>
      <c r="K114" s="1164"/>
    </row>
    <row r="115" spans="4:11">
      <c r="D115" s="1391">
        <v>2</v>
      </c>
      <c r="E115" s="1064" t="s">
        <v>691</v>
      </c>
      <c r="G115" s="1047"/>
      <c r="H115" s="1351"/>
      <c r="I115" s="1349"/>
      <c r="J115" s="1349"/>
      <c r="K115" s="1188">
        <f>SUM(J116:J122)</f>
        <v>16792.68</v>
      </c>
    </row>
    <row r="116" spans="4:11">
      <c r="D116" s="1392">
        <f>0.1+D115</f>
        <v>2.1</v>
      </c>
      <c r="E116" s="1067" t="s">
        <v>692</v>
      </c>
      <c r="G116" s="1190" t="s">
        <v>58</v>
      </c>
      <c r="H116" s="1195">
        <v>6</v>
      </c>
      <c r="I116" s="1196">
        <v>1390.13</v>
      </c>
      <c r="J116" s="1191">
        <f>ROUND(H116*I116,2)</f>
        <v>8340.7800000000007</v>
      </c>
      <c r="K116" s="1164"/>
    </row>
    <row r="117" spans="4:11">
      <c r="D117" s="1042"/>
      <c r="E117" s="1067" t="s">
        <v>693</v>
      </c>
      <c r="G117" s="1190" t="s">
        <v>1011</v>
      </c>
      <c r="H117" s="1195"/>
      <c r="I117" s="1196"/>
      <c r="J117" s="1191"/>
      <c r="K117" s="1164"/>
    </row>
    <row r="118" spans="4:11">
      <c r="D118" s="1393"/>
      <c r="E118" s="1060" t="s">
        <v>694</v>
      </c>
      <c r="G118" s="1190" t="s">
        <v>1011</v>
      </c>
      <c r="H118" s="1195"/>
      <c r="I118" s="1196"/>
      <c r="J118" s="1191"/>
      <c r="K118" s="1164"/>
    </row>
    <row r="119" spans="4:11">
      <c r="D119" s="1392">
        <f>0.1+D116</f>
        <v>2.2000000000000002</v>
      </c>
      <c r="E119" s="1067" t="s">
        <v>695</v>
      </c>
      <c r="G119" s="1190" t="s">
        <v>58</v>
      </c>
      <c r="H119" s="1197">
        <v>58</v>
      </c>
      <c r="I119" s="1196">
        <v>95.3</v>
      </c>
      <c r="J119" s="1191">
        <f>ROUND(H119*I119,2)</f>
        <v>5527.4</v>
      </c>
      <c r="K119" s="1198"/>
    </row>
    <row r="120" spans="4:11">
      <c r="D120" s="1392"/>
      <c r="E120" s="1067" t="s">
        <v>696</v>
      </c>
      <c r="G120" s="1047"/>
      <c r="H120" s="1195"/>
      <c r="I120" s="1349"/>
      <c r="J120" s="1349"/>
      <c r="K120" s="1164"/>
    </row>
    <row r="121" spans="4:11">
      <c r="D121" s="1392">
        <f>0.1+D119</f>
        <v>2.3000000000000003</v>
      </c>
      <c r="E121" s="1067" t="s">
        <v>697</v>
      </c>
      <c r="G121" s="1047" t="s">
        <v>524</v>
      </c>
      <c r="H121" s="1195">
        <v>1</v>
      </c>
      <c r="I121" s="1196">
        <v>2924.5</v>
      </c>
      <c r="J121" s="1199">
        <f>ROUND(H121*I121,2)</f>
        <v>2924.5</v>
      </c>
      <c r="K121" s="1164"/>
    </row>
    <row r="122" spans="4:11">
      <c r="D122" s="1194"/>
      <c r="E122" s="1067"/>
      <c r="G122" s="1190"/>
      <c r="H122" s="1195"/>
      <c r="I122" s="1196"/>
      <c r="J122" s="1199"/>
      <c r="K122" s="1164"/>
    </row>
    <row r="123" spans="4:11">
      <c r="D123" s="1200">
        <v>3</v>
      </c>
      <c r="E123" s="1064" t="s">
        <v>698</v>
      </c>
      <c r="G123" s="1047"/>
      <c r="H123" s="1193"/>
      <c r="I123" s="1349"/>
      <c r="J123" s="1349"/>
      <c r="K123" s="1188">
        <f>SUM(J124:J124)</f>
        <v>4497.8500000000004</v>
      </c>
    </row>
    <row r="124" spans="4:11">
      <c r="D124" s="1194">
        <f>0.1+D123</f>
        <v>3.1</v>
      </c>
      <c r="E124" s="1060" t="s">
        <v>699</v>
      </c>
      <c r="G124" s="1190" t="s">
        <v>58</v>
      </c>
      <c r="H124" s="1195">
        <v>7</v>
      </c>
      <c r="I124" s="1196">
        <v>642.54999999999995</v>
      </c>
      <c r="J124" s="1191">
        <f>ROUND(H124*I124,2)</f>
        <v>4497.8500000000004</v>
      </c>
      <c r="K124" s="1352"/>
    </row>
    <row r="125" spans="4:11">
      <c r="D125" s="1189"/>
      <c r="E125" s="1060"/>
      <c r="G125" s="1190"/>
      <c r="H125" s="1061"/>
      <c r="I125" s="1413"/>
      <c r="J125" s="1061"/>
      <c r="K125" s="1352"/>
    </row>
    <row r="126" spans="4:11">
      <c r="D126" s="1803">
        <v>4</v>
      </c>
      <c r="E126" s="1804" t="s">
        <v>981</v>
      </c>
      <c r="F126" s="1390"/>
      <c r="G126" s="1805"/>
      <c r="H126" s="1806"/>
      <c r="I126" s="1807"/>
      <c r="J126" s="1807"/>
      <c r="K126" s="1808">
        <f>SUM(J127:J131)</f>
        <v>5880</v>
      </c>
    </row>
    <row r="127" spans="4:11">
      <c r="D127" s="1809">
        <f>0.1+D126</f>
        <v>4.0999999999999996</v>
      </c>
      <c r="E127" s="1810" t="s">
        <v>982</v>
      </c>
      <c r="F127" s="1390"/>
      <c r="G127" s="1811" t="s">
        <v>19</v>
      </c>
      <c r="H127" s="1812">
        <v>1</v>
      </c>
      <c r="I127" s="1813">
        <v>1400</v>
      </c>
      <c r="J127" s="1813">
        <f>ROUND(+H127*I127,2)</f>
        <v>1400</v>
      </c>
      <c r="K127" s="1814"/>
    </row>
    <row r="128" spans="4:11">
      <c r="D128" s="1809">
        <f t="shared" ref="D128:D131" si="2">0.1+D127</f>
        <v>4.1999999999999993</v>
      </c>
      <c r="E128" s="1810" t="s">
        <v>983</v>
      </c>
      <c r="F128" s="1815"/>
      <c r="G128" s="1811" t="s">
        <v>19</v>
      </c>
      <c r="H128" s="1812">
        <v>1</v>
      </c>
      <c r="I128" s="1813">
        <v>1400</v>
      </c>
      <c r="J128" s="1813">
        <f t="shared" ref="J128:J131" si="3">ROUND(+H128*I128,2)</f>
        <v>1400</v>
      </c>
      <c r="K128" s="1814"/>
    </row>
    <row r="129" spans="4:13">
      <c r="D129" s="1809">
        <f t="shared" si="2"/>
        <v>4.2999999999999989</v>
      </c>
      <c r="E129" s="1810" t="s">
        <v>984</v>
      </c>
      <c r="F129" s="1390"/>
      <c r="G129" s="1811" t="s">
        <v>19</v>
      </c>
      <c r="H129" s="1812">
        <v>1</v>
      </c>
      <c r="I129" s="1813">
        <v>1400</v>
      </c>
      <c r="J129" s="1813">
        <f t="shared" si="3"/>
        <v>1400</v>
      </c>
      <c r="K129" s="1814"/>
    </row>
    <row r="130" spans="4:13">
      <c r="D130" s="1809">
        <f t="shared" si="2"/>
        <v>4.3999999999999986</v>
      </c>
      <c r="E130" s="1810" t="s">
        <v>985</v>
      </c>
      <c r="F130" s="1815"/>
      <c r="G130" s="1811" t="s">
        <v>19</v>
      </c>
      <c r="H130" s="1812">
        <v>1</v>
      </c>
      <c r="I130" s="1813">
        <v>1400</v>
      </c>
      <c r="J130" s="1813">
        <f t="shared" si="3"/>
        <v>1400</v>
      </c>
      <c r="K130" s="1814"/>
    </row>
    <row r="131" spans="4:13">
      <c r="D131" s="1809">
        <f t="shared" si="2"/>
        <v>4.4999999999999982</v>
      </c>
      <c r="E131" s="1810" t="s">
        <v>986</v>
      </c>
      <c r="F131" s="1390"/>
      <c r="G131" s="1811" t="s">
        <v>19</v>
      </c>
      <c r="H131" s="1816">
        <v>0.05</v>
      </c>
      <c r="I131" s="1813">
        <f>+SUM(J127:J130)</f>
        <v>5600</v>
      </c>
      <c r="J131" s="1813">
        <f t="shared" si="3"/>
        <v>280</v>
      </c>
      <c r="K131" s="1814"/>
    </row>
    <row r="132" spans="4:13">
      <c r="D132" s="1189"/>
      <c r="E132" s="1060"/>
      <c r="G132" s="1047"/>
      <c r="H132" s="1350"/>
      <c r="I132" s="1349"/>
      <c r="J132" s="1349"/>
      <c r="K132" s="1164"/>
    </row>
    <row r="133" spans="4:13">
      <c r="D133" s="1200">
        <v>5</v>
      </c>
      <c r="E133" s="1064" t="s">
        <v>700</v>
      </c>
      <c r="G133" s="1190"/>
      <c r="H133" s="1061"/>
      <c r="I133" s="1413"/>
      <c r="J133" s="1061"/>
      <c r="K133" s="1352">
        <f>SUM(J134:J141)</f>
        <v>5407.5</v>
      </c>
    </row>
    <row r="134" spans="4:13">
      <c r="D134" s="1194">
        <f>0.1+D133</f>
        <v>5.0999999999999996</v>
      </c>
      <c r="E134" s="1060" t="s">
        <v>701</v>
      </c>
      <c r="G134" s="1190" t="s">
        <v>522</v>
      </c>
      <c r="H134" s="1195">
        <v>1</v>
      </c>
      <c r="I134" s="1196">
        <v>950</v>
      </c>
      <c r="J134" s="1191">
        <f>ROUND(H134*I134,29)</f>
        <v>950</v>
      </c>
      <c r="K134" s="1352"/>
    </row>
    <row r="135" spans="4:13">
      <c r="D135" s="1194">
        <f t="shared" ref="D135:D141" si="4">0.1+D134</f>
        <v>5.1999999999999993</v>
      </c>
      <c r="E135" s="1060" t="s">
        <v>702</v>
      </c>
      <c r="G135" s="1190" t="s">
        <v>522</v>
      </c>
      <c r="H135" s="1195">
        <v>1</v>
      </c>
      <c r="I135" s="1196">
        <v>900</v>
      </c>
      <c r="J135" s="1191">
        <f t="shared" ref="J135:J140" si="5">ROUND(H135*I135,29)</f>
        <v>900</v>
      </c>
      <c r="K135" s="1352"/>
    </row>
    <row r="136" spans="4:13">
      <c r="D136" s="1194">
        <f t="shared" si="4"/>
        <v>5.2999999999999989</v>
      </c>
      <c r="E136" s="1060" t="s">
        <v>523</v>
      </c>
      <c r="G136" s="1190" t="s">
        <v>522</v>
      </c>
      <c r="H136" s="1195">
        <v>1</v>
      </c>
      <c r="I136" s="1196">
        <v>650</v>
      </c>
      <c r="J136" s="1191">
        <f t="shared" si="5"/>
        <v>650</v>
      </c>
      <c r="K136" s="1352"/>
      <c r="M136" s="1823"/>
    </row>
    <row r="137" spans="4:13">
      <c r="D137" s="1194">
        <f t="shared" si="4"/>
        <v>5.3999999999999986</v>
      </c>
      <c r="E137" s="1060" t="s">
        <v>703</v>
      </c>
      <c r="G137" s="1190" t="s">
        <v>522</v>
      </c>
      <c r="H137" s="1195">
        <v>1</v>
      </c>
      <c r="I137" s="1196">
        <v>750</v>
      </c>
      <c r="J137" s="1191">
        <f t="shared" si="5"/>
        <v>750</v>
      </c>
      <c r="K137" s="1352"/>
    </row>
    <row r="138" spans="4:13">
      <c r="D138" s="1194">
        <f t="shared" si="4"/>
        <v>5.4999999999999982</v>
      </c>
      <c r="E138" s="1060" t="s">
        <v>704</v>
      </c>
      <c r="G138" s="1190" t="s">
        <v>522</v>
      </c>
      <c r="H138" s="1195">
        <v>1</v>
      </c>
      <c r="I138" s="1196">
        <v>600</v>
      </c>
      <c r="J138" s="1191">
        <f t="shared" si="5"/>
        <v>600</v>
      </c>
      <c r="K138" s="1352"/>
    </row>
    <row r="139" spans="4:13">
      <c r="D139" s="1194">
        <f t="shared" si="4"/>
        <v>5.5999999999999979</v>
      </c>
      <c r="E139" s="1060" t="s">
        <v>705</v>
      </c>
      <c r="G139" s="1190" t="s">
        <v>522</v>
      </c>
      <c r="H139" s="1195">
        <v>1</v>
      </c>
      <c r="I139" s="1196">
        <v>650</v>
      </c>
      <c r="J139" s="1191">
        <f t="shared" si="5"/>
        <v>650</v>
      </c>
      <c r="K139" s="1352"/>
    </row>
    <row r="140" spans="4:13">
      <c r="D140" s="1194">
        <f t="shared" si="4"/>
        <v>5.6999999999999975</v>
      </c>
      <c r="E140" s="1060" t="s">
        <v>706</v>
      </c>
      <c r="G140" s="1190" t="s">
        <v>522</v>
      </c>
      <c r="H140" s="1195">
        <v>1</v>
      </c>
      <c r="I140" s="1196">
        <v>650</v>
      </c>
      <c r="J140" s="1191">
        <f t="shared" si="5"/>
        <v>650</v>
      </c>
      <c r="K140" s="1352"/>
    </row>
    <row r="141" spans="4:13">
      <c r="D141" s="1194">
        <f t="shared" si="4"/>
        <v>5.7999999999999972</v>
      </c>
      <c r="E141" s="1067" t="s">
        <v>707</v>
      </c>
      <c r="G141" s="1167" t="s">
        <v>708</v>
      </c>
      <c r="H141" s="1201">
        <v>0.05</v>
      </c>
      <c r="I141" s="1414">
        <f>SUM(J134:J140)</f>
        <v>5150</v>
      </c>
      <c r="J141" s="1191">
        <f>ROUND(H141*I141,29)</f>
        <v>257.5</v>
      </c>
      <c r="K141" s="1352"/>
    </row>
    <row r="142" spans="4:13">
      <c r="D142" s="1202"/>
      <c r="E142" s="1203"/>
      <c r="F142" s="1102"/>
      <c r="G142" s="1204"/>
      <c r="H142" s="1205"/>
      <c r="I142" s="1415"/>
      <c r="J142" s="1206"/>
      <c r="K142" s="1353"/>
    </row>
    <row r="143" spans="4:13">
      <c r="D143" s="1105"/>
      <c r="E143" s="1084"/>
      <c r="F143" s="1084"/>
      <c r="G143" s="1086"/>
      <c r="H143" s="1106"/>
      <c r="I143" s="1324" t="s">
        <v>709</v>
      </c>
      <c r="J143" s="1106"/>
      <c r="K143" s="1340">
        <f>SUM(K110:K142)</f>
        <v>36867.75</v>
      </c>
    </row>
    <row r="144" spans="4:13">
      <c r="D144" s="1091" t="s">
        <v>710</v>
      </c>
      <c r="E144" s="1091" t="s">
        <v>711</v>
      </c>
      <c r="I144" s="1322"/>
      <c r="K144" s="1343"/>
    </row>
    <row r="145" spans="4:11">
      <c r="D145" s="1091"/>
      <c r="E145" s="1091"/>
      <c r="I145" s="1322"/>
      <c r="K145" s="1343"/>
    </row>
    <row r="146" spans="4:11" ht="14.25" hidden="1" customHeight="1">
      <c r="D146" s="1207"/>
      <c r="E146" s="1208"/>
      <c r="F146" s="1208"/>
      <c r="G146" s="1208"/>
      <c r="H146" s="1208"/>
      <c r="I146" s="1208"/>
      <c r="J146" s="1208"/>
      <c r="K146" s="1209"/>
    </row>
    <row r="147" spans="4:11" ht="14.25" customHeight="1">
      <c r="D147" s="1775" t="s">
        <v>125</v>
      </c>
      <c r="E147" s="1210" t="s">
        <v>712</v>
      </c>
      <c r="F147" s="1210"/>
      <c r="G147" s="1210"/>
      <c r="H147" s="1210"/>
      <c r="I147" s="1210"/>
      <c r="J147" s="1211" t="s">
        <v>999</v>
      </c>
      <c r="K147" s="1212">
        <f>+K143+K103+K93</f>
        <v>51177.75</v>
      </c>
    </row>
    <row r="148" spans="4:11" ht="14.25" hidden="1" customHeight="1">
      <c r="D148" s="1161"/>
      <c r="E148" s="1162"/>
      <c r="F148" s="1162"/>
      <c r="G148" s="1162"/>
      <c r="H148" s="1162"/>
      <c r="I148" s="1162"/>
      <c r="J148" s="1162"/>
      <c r="K148" s="1163"/>
    </row>
    <row r="149" spans="4:11">
      <c r="D149" s="1035"/>
      <c r="E149" s="1035"/>
      <c r="F149" s="1035"/>
      <c r="G149" s="1035"/>
      <c r="H149" s="1035"/>
      <c r="I149" s="1035"/>
      <c r="J149" s="1035"/>
      <c r="K149" s="1035"/>
    </row>
    <row r="150" spans="4:11" ht="13.5" thickBot="1"/>
    <row r="151" spans="4:11" ht="14.25" hidden="1" customHeight="1">
      <c r="D151" s="1769"/>
      <c r="E151" s="1770"/>
      <c r="F151" s="1770"/>
      <c r="G151" s="1770"/>
      <c r="H151" s="1770"/>
      <c r="I151" s="1770"/>
      <c r="J151" s="1770"/>
      <c r="K151" s="1771"/>
    </row>
    <row r="152" spans="4:11" ht="20.25" customHeight="1" thickTop="1" thickBot="1">
      <c r="D152" s="1922" t="s">
        <v>7</v>
      </c>
      <c r="E152" s="1923" t="s">
        <v>45</v>
      </c>
      <c r="F152" s="1923"/>
      <c r="G152" s="1923"/>
      <c r="H152" s="1923"/>
      <c r="I152" s="1923"/>
      <c r="J152" s="1924"/>
      <c r="K152" s="1925"/>
    </row>
    <row r="153" spans="4:11" ht="14.25" hidden="1" customHeight="1">
      <c r="D153" s="1772"/>
      <c r="E153" s="1773"/>
      <c r="F153" s="1773"/>
      <c r="G153" s="1773"/>
      <c r="H153" s="1773"/>
      <c r="I153" s="1773"/>
      <c r="J153" s="1773"/>
      <c r="K153" s="1774"/>
    </row>
    <row r="154" spans="4:11" ht="14.25" thickTop="1" thickBot="1"/>
    <row r="155" spans="4:11" ht="13.5" thickTop="1">
      <c r="D155" s="1032"/>
      <c r="E155" s="1033"/>
      <c r="F155" s="1033"/>
      <c r="G155" s="1033"/>
      <c r="H155" s="1033"/>
      <c r="I155" s="1033"/>
      <c r="J155" s="1033"/>
      <c r="K155" s="1034"/>
    </row>
    <row r="156" spans="4:11">
      <c r="D156" s="1776" t="s">
        <v>987</v>
      </c>
      <c r="E156" s="1091" t="s">
        <v>45</v>
      </c>
      <c r="F156" s="1322"/>
      <c r="G156" s="1035"/>
      <c r="H156" s="1035"/>
      <c r="I156" s="1035"/>
      <c r="J156" s="1035"/>
      <c r="K156" s="1089"/>
    </row>
    <row r="157" spans="4:11">
      <c r="D157" s="1037"/>
      <c r="E157" s="1038"/>
      <c r="F157" s="1038"/>
      <c r="G157" s="1038"/>
      <c r="H157" s="1038"/>
      <c r="I157" s="1038"/>
      <c r="J157" s="1038"/>
      <c r="K157" s="1090"/>
    </row>
    <row r="158" spans="4:11">
      <c r="D158" s="1042"/>
      <c r="E158" s="1093" t="s">
        <v>207</v>
      </c>
      <c r="G158" s="1047" t="s">
        <v>50</v>
      </c>
      <c r="H158" s="1043" t="s">
        <v>84</v>
      </c>
      <c r="I158" s="1045" t="s">
        <v>989</v>
      </c>
      <c r="J158" s="1047" t="s">
        <v>687</v>
      </c>
      <c r="K158" s="1164"/>
    </row>
    <row r="159" spans="4:11">
      <c r="D159" s="1050"/>
      <c r="E159" s="1052"/>
      <c r="F159" s="1052"/>
      <c r="G159" s="1094"/>
      <c r="H159" s="1051" t="s">
        <v>990</v>
      </c>
      <c r="I159" s="1094" t="s">
        <v>990</v>
      </c>
      <c r="J159" s="1094" t="s">
        <v>990</v>
      </c>
      <c r="K159" s="1165"/>
    </row>
    <row r="160" spans="4:11">
      <c r="D160" s="1042"/>
      <c r="E160" t="s">
        <v>988</v>
      </c>
      <c r="G160" s="1777" t="s">
        <v>19</v>
      </c>
      <c r="H160" s="1789">
        <f>+$K$186</f>
        <v>178680.25</v>
      </c>
      <c r="I160" s="1783">
        <v>7.0000000000000007E-2</v>
      </c>
      <c r="J160" s="1778">
        <f>ROUND(H160*I160,2)</f>
        <v>12507.62</v>
      </c>
      <c r="K160" s="1164"/>
    </row>
    <row r="161" spans="4:11">
      <c r="D161" s="1779"/>
      <c r="E161" s="1780"/>
      <c r="F161" s="1780"/>
      <c r="G161" s="1781"/>
      <c r="H161" s="1781"/>
      <c r="I161" s="1784" t="s">
        <v>991</v>
      </c>
      <c r="J161" s="1781"/>
      <c r="K161" s="1782">
        <f>SUM(J160:J160)</f>
        <v>12507.62</v>
      </c>
    </row>
    <row r="163" spans="4:11" ht="13.5" thickBot="1">
      <c r="D163" s="1091"/>
      <c r="E163" s="1091"/>
      <c r="I163" s="1322"/>
      <c r="K163" s="1343"/>
    </row>
    <row r="164" spans="4:11" ht="14.25" hidden="1" customHeight="1">
      <c r="D164" s="1788"/>
      <c r="E164" s="1787"/>
      <c r="F164" s="1787"/>
      <c r="G164" s="1787"/>
      <c r="H164" s="1787"/>
      <c r="I164" s="1787"/>
      <c r="J164" s="1787"/>
      <c r="K164" s="1786"/>
    </row>
    <row r="165" spans="4:11" s="1908" customFormat="1" ht="23.25" customHeight="1" thickTop="1" thickBot="1">
      <c r="D165" s="1922" t="s">
        <v>7</v>
      </c>
      <c r="E165" s="1923" t="s">
        <v>992</v>
      </c>
      <c r="F165" s="1923"/>
      <c r="G165" s="1923"/>
      <c r="H165" s="1923"/>
      <c r="I165" s="1923"/>
      <c r="J165" s="1924" t="s">
        <v>999</v>
      </c>
      <c r="K165" s="1925">
        <f>+K161</f>
        <v>12507.62</v>
      </c>
    </row>
    <row r="166" spans="4:11" ht="14.25" hidden="1" customHeight="1">
      <c r="D166" s="1772"/>
      <c r="E166" s="1773"/>
      <c r="F166" s="1773"/>
      <c r="G166" s="1773"/>
      <c r="H166" s="1773"/>
      <c r="I166" s="1773"/>
      <c r="J166" s="1773"/>
      <c r="K166" s="1774"/>
    </row>
    <row r="167" spans="4:11" ht="14.25" thickTop="1" thickBot="1"/>
    <row r="168" spans="4:11" ht="13.5" thickTop="1">
      <c r="D168" s="1172"/>
      <c r="E168" s="1088"/>
      <c r="F168" s="1088"/>
      <c r="G168" s="1088"/>
      <c r="H168" s="1088"/>
      <c r="I168" s="1088"/>
      <c r="J168" s="1088"/>
      <c r="K168" s="1173"/>
    </row>
    <row r="169" spans="4:11" ht="20.25">
      <c r="D169" s="1213" t="s">
        <v>127</v>
      </c>
      <c r="E169" s="1214"/>
      <c r="F169" s="1214"/>
      <c r="G169" s="1214"/>
      <c r="H169" s="1214"/>
      <c r="I169" s="1214"/>
      <c r="J169" s="1214"/>
      <c r="K169" s="1215"/>
    </row>
    <row r="170" spans="4:11" ht="18">
      <c r="D170" s="1216"/>
      <c r="E170" s="1214"/>
      <c r="F170" s="1214"/>
      <c r="G170" s="1214"/>
      <c r="H170" s="1214"/>
      <c r="I170" s="1214"/>
      <c r="J170" s="1214"/>
      <c r="K170" s="1215"/>
    </row>
    <row r="171" spans="4:11" ht="18">
      <c r="D171" s="1217"/>
      <c r="E171" s="1218"/>
      <c r="F171" s="1219"/>
      <c r="G171" s="1219"/>
      <c r="H171" s="1219"/>
      <c r="I171" s="1219"/>
      <c r="J171" s="1219"/>
      <c r="K171" s="1220"/>
    </row>
    <row r="172" spans="4:11" ht="15">
      <c r="D172" s="2046" t="s">
        <v>617</v>
      </c>
      <c r="E172" s="2047"/>
      <c r="F172" s="2047"/>
      <c r="G172" s="2047"/>
      <c r="H172" s="2047"/>
      <c r="I172" s="2047"/>
      <c r="J172" s="2047"/>
      <c r="K172" s="2048"/>
    </row>
    <row r="173" spans="4:11" ht="36.75" customHeight="1">
      <c r="D173" s="2049" t="s">
        <v>618</v>
      </c>
      <c r="E173" s="2050"/>
      <c r="F173" s="2050"/>
      <c r="G173" s="2050"/>
      <c r="H173" s="2050"/>
      <c r="I173" s="2050"/>
      <c r="J173" s="2050"/>
      <c r="K173" s="2051"/>
    </row>
    <row r="174" spans="4:11" ht="36.75" customHeight="1">
      <c r="D174" s="2049" t="str">
        <f>+D52</f>
        <v>“AMPLIACION DEL SISTEMA ELECTRICO RURAL EN LA PROVINCIA DEL SANTA Y EN EL DISTRITO DE PAMPAROMAS - DEPARTAMENTO DE ANCASH”</v>
      </c>
      <c r="E174" s="2050"/>
      <c r="F174" s="2050"/>
      <c r="G174" s="2050"/>
      <c r="H174" s="2050"/>
      <c r="I174" s="2050"/>
      <c r="J174" s="2050"/>
      <c r="K174" s="2051"/>
    </row>
    <row r="175" spans="4:11" ht="15.75">
      <c r="D175" s="1221"/>
      <c r="E175" s="1222"/>
      <c r="F175" s="1222"/>
      <c r="G175" s="1222"/>
      <c r="H175" s="1222"/>
      <c r="I175" s="1222"/>
      <c r="J175" s="1222"/>
      <c r="K175" s="1223"/>
    </row>
    <row r="176" spans="4:11" ht="18">
      <c r="D176" s="1224"/>
      <c r="E176" s="1225"/>
      <c r="F176" s="1226"/>
      <c r="G176" s="1226"/>
      <c r="H176" s="1226"/>
      <c r="I176" s="1227"/>
      <c r="J176" s="1226"/>
      <c r="K176" s="1228"/>
    </row>
    <row r="177" spans="4:11" ht="15.75">
      <c r="D177" s="1224"/>
      <c r="E177" s="1229" t="s">
        <v>207</v>
      </c>
      <c r="F177" s="1230"/>
      <c r="G177" s="1230"/>
      <c r="H177" s="1230"/>
      <c r="I177" s="1231"/>
      <c r="J177" s="1226"/>
      <c r="K177" s="1232" t="s">
        <v>713</v>
      </c>
    </row>
    <row r="178" spans="4:11" ht="15.75">
      <c r="D178" s="1233"/>
      <c r="E178" s="1354"/>
      <c r="F178" s="1355"/>
      <c r="G178" s="1355"/>
      <c r="H178" s="1355"/>
      <c r="I178" s="1356"/>
      <c r="J178" s="1234"/>
      <c r="K178" s="1235" t="s">
        <v>999</v>
      </c>
    </row>
    <row r="179" spans="4:11" ht="15.75">
      <c r="D179" s="1236"/>
      <c r="E179" s="1357"/>
      <c r="F179" s="1357"/>
      <c r="G179" s="1357"/>
      <c r="H179" s="1357"/>
      <c r="I179" s="1358"/>
      <c r="J179" s="1237"/>
      <c r="K179" s="1164"/>
    </row>
    <row r="180" spans="4:11" ht="15.75">
      <c r="D180" s="1238">
        <v>1</v>
      </c>
      <c r="E180" s="1239" t="s">
        <v>514</v>
      </c>
      <c r="F180" s="1025"/>
      <c r="G180" s="1025"/>
      <c r="H180" s="1025"/>
      <c r="I180" s="1240"/>
      <c r="J180" s="1237"/>
      <c r="K180" s="1241"/>
    </row>
    <row r="181" spans="4:11" ht="15.75">
      <c r="D181" s="1242"/>
      <c r="E181" s="1025"/>
      <c r="F181" s="1025"/>
      <c r="G181" s="1025"/>
      <c r="H181" s="1025"/>
      <c r="I181" s="1243"/>
      <c r="J181" s="1237"/>
      <c r="K181" s="1241"/>
    </row>
    <row r="182" spans="4:11" ht="15">
      <c r="D182" s="1244" t="s">
        <v>189</v>
      </c>
      <c r="E182" s="1245" t="s">
        <v>621</v>
      </c>
      <c r="F182" s="1245"/>
      <c r="G182" s="1245"/>
      <c r="H182" s="1245"/>
      <c r="I182" s="1246"/>
      <c r="J182" s="1245"/>
      <c r="K182" s="1247">
        <f>K46</f>
        <v>104575</v>
      </c>
    </row>
    <row r="183" spans="4:11" ht="15">
      <c r="D183" s="1244" t="s">
        <v>190</v>
      </c>
      <c r="E183" s="1245" t="s">
        <v>714</v>
      </c>
      <c r="F183" s="1245"/>
      <c r="G183" s="1245"/>
      <c r="H183" s="1245"/>
      <c r="I183" s="1246"/>
      <c r="J183" s="1245"/>
      <c r="K183" s="1247">
        <f>+K76</f>
        <v>22927.5</v>
      </c>
    </row>
    <row r="184" spans="4:11" ht="15">
      <c r="D184" s="1248" t="s">
        <v>125</v>
      </c>
      <c r="E184" s="1249" t="s">
        <v>715</v>
      </c>
      <c r="F184" s="1249"/>
      <c r="G184" s="1249"/>
      <c r="H184" s="1249"/>
      <c r="I184" s="1250"/>
      <c r="J184" s="1249"/>
      <c r="K184" s="1251">
        <f>K147</f>
        <v>51177.75</v>
      </c>
    </row>
    <row r="185" spans="4:11" ht="15">
      <c r="D185" s="1242"/>
      <c r="E185" s="1245"/>
      <c r="F185" s="1245"/>
      <c r="G185" s="1245"/>
      <c r="H185" s="1245"/>
      <c r="I185" s="1252"/>
      <c r="J185" s="1245"/>
      <c r="K185" s="1241"/>
    </row>
    <row r="186" spans="4:11" ht="15.75">
      <c r="D186" s="1242"/>
      <c r="E186" s="1245"/>
      <c r="F186" s="1253" t="s">
        <v>538</v>
      </c>
      <c r="G186" s="1253"/>
      <c r="H186" s="1253"/>
      <c r="I186" s="1240"/>
      <c r="J186" s="1245"/>
      <c r="K186" s="1254">
        <f>SUM(K182:K185)</f>
        <v>178680.25</v>
      </c>
    </row>
    <row r="187" spans="4:11" ht="15">
      <c r="D187" s="1255"/>
      <c r="E187" s="1249"/>
      <c r="F187" s="1249"/>
      <c r="G187" s="1249"/>
      <c r="H187" s="1249"/>
      <c r="I187" s="1256"/>
      <c r="J187" s="1249"/>
      <c r="K187" s="1257"/>
    </row>
    <row r="188" spans="4:11" ht="15.75">
      <c r="D188" s="1258">
        <v>2</v>
      </c>
      <c r="E188" s="1259" t="s">
        <v>186</v>
      </c>
      <c r="F188" s="1245"/>
      <c r="G188" s="1245"/>
      <c r="H188" s="1245"/>
      <c r="I188" s="1260"/>
      <c r="J188" s="1245"/>
      <c r="K188" s="1247"/>
    </row>
    <row r="189" spans="4:11" ht="15.75">
      <c r="D189" s="1258"/>
      <c r="E189" s="1259"/>
      <c r="F189" s="1245"/>
      <c r="G189" s="1245"/>
      <c r="H189" s="1245"/>
      <c r="I189" s="1260"/>
      <c r="J189" s="1245"/>
      <c r="K189" s="1247"/>
    </row>
    <row r="190" spans="4:11" ht="15.75">
      <c r="D190" s="1261"/>
      <c r="E190" s="1262" t="s">
        <v>716</v>
      </c>
      <c r="F190" s="1263"/>
      <c r="G190" s="1253"/>
      <c r="H190" s="1245"/>
      <c r="I190" s="1260"/>
      <c r="J190" s="1245"/>
      <c r="K190" s="1254">
        <f>+K165</f>
        <v>12507.62</v>
      </c>
    </row>
    <row r="191" spans="4:11" ht="15.75">
      <c r="D191" s="1264"/>
      <c r="E191" s="1265" t="s">
        <v>288</v>
      </c>
      <c r="F191" s="1785">
        <v>0.05</v>
      </c>
      <c r="G191" s="1266" t="s">
        <v>717</v>
      </c>
      <c r="H191" s="1249"/>
      <c r="I191" s="1256"/>
      <c r="J191" s="1249"/>
      <c r="K191" s="1267">
        <f>+ROUND(F191*($K$186),2)</f>
        <v>8934.01</v>
      </c>
    </row>
    <row r="192" spans="4:11" ht="15.75">
      <c r="D192" s="1261"/>
      <c r="E192" s="1268"/>
      <c r="F192" s="1269"/>
      <c r="G192" s="1245"/>
      <c r="H192" s="1245"/>
      <c r="I192" s="1260"/>
      <c r="J192" s="1245"/>
      <c r="K192" s="1270"/>
    </row>
    <row r="193" spans="4:15" ht="15.75">
      <c r="D193" s="1261"/>
      <c r="E193" s="1268"/>
      <c r="F193" s="1253" t="s">
        <v>718</v>
      </c>
      <c r="G193" s="1253"/>
      <c r="H193" s="1253"/>
      <c r="I193" s="1260"/>
      <c r="J193" s="1245"/>
      <c r="K193" s="1270">
        <f>SUM(K190:K191)+K186</f>
        <v>200121.88</v>
      </c>
      <c r="N193" s="1027"/>
    </row>
    <row r="194" spans="4:15" ht="15">
      <c r="D194" s="1264"/>
      <c r="E194" s="1265"/>
      <c r="F194" s="1249"/>
      <c r="G194" s="1249"/>
      <c r="H194" s="1249"/>
      <c r="I194" s="1256"/>
      <c r="J194" s="1249"/>
      <c r="K194" s="1251"/>
    </row>
    <row r="195" spans="4:15" ht="15.75">
      <c r="D195" s="1258">
        <v>3</v>
      </c>
      <c r="E195" s="1259" t="s">
        <v>719</v>
      </c>
      <c r="F195" s="1245"/>
      <c r="G195" s="1245"/>
      <c r="H195" s="1245"/>
      <c r="I195" s="1260"/>
      <c r="J195" s="1245"/>
      <c r="K195" s="1271"/>
    </row>
    <row r="196" spans="4:15" ht="15.75">
      <c r="D196" s="1261"/>
      <c r="E196" s="1268" t="s">
        <v>720</v>
      </c>
      <c r="F196" s="1245"/>
      <c r="G196" s="1245"/>
      <c r="H196" s="1245"/>
      <c r="I196" s="1260"/>
      <c r="J196" s="1245"/>
      <c r="K196" s="1272">
        <f>+ROUND(+K193*0.18,2)</f>
        <v>36021.94</v>
      </c>
    </row>
    <row r="197" spans="4:15" ht="15.75">
      <c r="D197" s="1261"/>
      <c r="E197" s="1268"/>
      <c r="F197" s="1245"/>
      <c r="G197" s="1245"/>
      <c r="H197" s="1245"/>
      <c r="I197" s="1260"/>
      <c r="J197" s="1245"/>
      <c r="K197" s="1272"/>
    </row>
    <row r="198" spans="4:15" ht="15.75">
      <c r="D198" s="1273"/>
      <c r="E198" s="1274"/>
      <c r="F198" s="1275"/>
      <c r="G198" s="1275"/>
      <c r="H198" s="1275"/>
      <c r="I198" s="1276"/>
      <c r="J198" s="1275"/>
      <c r="K198" s="1277"/>
    </row>
    <row r="199" spans="4:15" ht="15.75">
      <c r="D199" s="1261"/>
      <c r="E199" s="1259"/>
      <c r="F199" s="1237" t="s">
        <v>721</v>
      </c>
      <c r="G199" s="1237"/>
      <c r="H199" s="1237"/>
      <c r="I199" s="1243"/>
      <c r="J199" s="1245"/>
      <c r="K199" s="1254">
        <f>+K193+K196</f>
        <v>236143.82</v>
      </c>
      <c r="M199" s="1826">
        <f>+'Resumen Total'!L11</f>
        <v>236143.82</v>
      </c>
      <c r="N199" s="1417">
        <f>+K199-M199</f>
        <v>0</v>
      </c>
      <c r="O199" s="1027"/>
    </row>
    <row r="200" spans="4:15" ht="15">
      <c r="D200" s="1278"/>
      <c r="E200" s="1279"/>
      <c r="F200" s="1280"/>
      <c r="G200" s="1280"/>
      <c r="H200" s="1280"/>
      <c r="I200" s="1281"/>
      <c r="J200" s="1282"/>
      <c r="K200" s="1283"/>
    </row>
    <row r="201" spans="4:15" ht="15">
      <c r="D201" s="1394"/>
      <c r="E201" s="1395"/>
      <c r="F201" s="1396"/>
      <c r="G201" s="1396"/>
      <c r="H201" s="1396"/>
      <c r="I201" s="1394"/>
      <c r="J201" s="1394"/>
      <c r="K201" s="1394"/>
    </row>
    <row r="202" spans="4:15">
      <c r="E202" s="1359"/>
      <c r="F202" s="1322"/>
      <c r="G202" s="1322"/>
      <c r="H202" s="1322"/>
    </row>
    <row r="204" spans="4:15">
      <c r="K204" s="1790"/>
    </row>
    <row r="205" spans="4:15">
      <c r="K205" s="1790"/>
    </row>
    <row r="219" spans="12:12">
      <c r="L219" s="1343"/>
    </row>
    <row r="220" spans="12:12">
      <c r="L220" s="1343"/>
    </row>
    <row r="221" spans="12:12">
      <c r="L221" s="1343"/>
    </row>
    <row r="274" spans="12:12">
      <c r="L274" s="1322"/>
    </row>
    <row r="275" spans="12:12">
      <c r="L275" s="1322"/>
    </row>
    <row r="276" spans="12:12">
      <c r="L276" s="1322"/>
    </row>
    <row r="277" spans="12:12">
      <c r="L277" s="1322"/>
    </row>
    <row r="278" spans="12:12">
      <c r="L278" s="1322"/>
    </row>
    <row r="279" spans="12:12">
      <c r="L279" s="1322"/>
    </row>
  </sheetData>
  <mergeCells count="9">
    <mergeCell ref="D172:K172"/>
    <mergeCell ref="D173:K173"/>
    <mergeCell ref="D174:K174"/>
    <mergeCell ref="D6:K6"/>
    <mergeCell ref="D4:K4"/>
    <mergeCell ref="D5:K5"/>
    <mergeCell ref="D50:K50"/>
    <mergeCell ref="D51:K51"/>
    <mergeCell ref="D52:K52"/>
  </mergeCells>
  <pageMargins left="0.51181102362204722" right="0.11811023622047245" top="0.35433070866141736" bottom="0.35433070866141736" header="0.31496062992125984" footer="0.31496062992125984"/>
  <pageSetup paperSize="9" scale="75" orientation="portrait" r:id="rId1"/>
  <rowBreaks count="2" manualBreakCount="2">
    <brk id="77" min="3" max="10" man="1"/>
    <brk id="167" min="3" max="1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topLeftCell="A10" zoomScaleNormal="100" zoomScaleSheetLayoutView="90" workbookViewId="0">
      <selection activeCell="C18" sqref="C18"/>
    </sheetView>
  </sheetViews>
  <sheetFormatPr baseColWidth="10" defaultColWidth="9.33203125" defaultRowHeight="12.75"/>
  <cols>
    <col min="5" max="5" width="51.33203125" customWidth="1"/>
    <col min="6" max="6" width="19.83203125" customWidth="1"/>
  </cols>
  <sheetData>
    <row r="1" spans="1:13" ht="15">
      <c r="B1" s="98"/>
      <c r="C1" s="99"/>
      <c r="D1" s="99"/>
      <c r="E1" s="99"/>
    </row>
    <row r="2" spans="1:13" ht="21" customHeight="1">
      <c r="B2" s="2052" t="s">
        <v>127</v>
      </c>
      <c r="C2" s="2052"/>
      <c r="D2" s="2052"/>
      <c r="E2" s="2052"/>
      <c r="F2" s="2052"/>
    </row>
    <row r="3" spans="1:13" ht="21" customHeight="1">
      <c r="A3" s="177"/>
      <c r="B3" s="2052" t="s">
        <v>13</v>
      </c>
      <c r="C3" s="2052"/>
      <c r="D3" s="2052"/>
      <c r="E3" s="2052"/>
      <c r="F3" s="2052"/>
    </row>
    <row r="4" spans="1:13" ht="49.5" customHeight="1">
      <c r="B4" s="2053" t="s">
        <v>543</v>
      </c>
      <c r="C4" s="2053"/>
      <c r="D4" s="2053"/>
      <c r="E4" s="2053"/>
      <c r="F4" s="2053"/>
    </row>
    <row r="5" spans="1:13" ht="20.25">
      <c r="B5" s="80"/>
      <c r="C5" s="106"/>
      <c r="D5" s="106"/>
      <c r="E5" s="106"/>
    </row>
    <row r="6" spans="1:13" ht="16.5">
      <c r="B6" s="107" t="s">
        <v>9</v>
      </c>
      <c r="C6" s="107"/>
      <c r="D6" s="108" t="s">
        <v>10</v>
      </c>
      <c r="E6" s="107" t="s">
        <v>544</v>
      </c>
    </row>
    <row r="7" spans="1:13" ht="16.5">
      <c r="B7" s="109" t="s">
        <v>284</v>
      </c>
      <c r="C7" s="110"/>
      <c r="D7" s="111" t="s">
        <v>10</v>
      </c>
      <c r="E7" s="109" t="s">
        <v>13</v>
      </c>
    </row>
    <row r="8" spans="1:13" ht="16.5">
      <c r="B8" s="109"/>
      <c r="C8" s="110"/>
      <c r="D8" s="111"/>
      <c r="E8" s="109"/>
      <c r="F8" s="589" t="e">
        <f>+#REF!</f>
        <v>#REF!</v>
      </c>
    </row>
    <row r="9" spans="1:13" ht="15">
      <c r="B9" s="112"/>
      <c r="C9" s="113"/>
      <c r="D9" s="114"/>
      <c r="E9" s="289"/>
      <c r="F9" s="289" t="e">
        <f>+#REF!</f>
        <v>#REF!</v>
      </c>
    </row>
    <row r="10" spans="1:13" ht="16.5">
      <c r="B10" s="115" t="s">
        <v>188</v>
      </c>
      <c r="C10" s="116" t="s">
        <v>207</v>
      </c>
      <c r="D10" s="117"/>
      <c r="E10" s="117"/>
      <c r="F10" s="118" t="s">
        <v>996</v>
      </c>
    </row>
    <row r="11" spans="1:13" ht="15">
      <c r="B11" s="119"/>
      <c r="C11" s="120"/>
      <c r="D11" s="121"/>
      <c r="E11" s="121"/>
      <c r="F11" s="122"/>
    </row>
    <row r="12" spans="1:13" s="1908" customFormat="1" ht="22.5" customHeight="1">
      <c r="B12" s="123" t="s">
        <v>189</v>
      </c>
      <c r="C12" s="124"/>
      <c r="D12" s="124" t="s">
        <v>132</v>
      </c>
      <c r="E12" s="113"/>
      <c r="F12" s="125">
        <f>+'SUMINISTRO LP'!J129</f>
        <v>628325.26</v>
      </c>
      <c r="G12" s="74"/>
      <c r="H12" s="74"/>
      <c r="I12" s="84"/>
      <c r="J12" s="1"/>
      <c r="K12" s="74"/>
      <c r="L12" s="74"/>
      <c r="M12" s="84"/>
    </row>
    <row r="13" spans="1:13" s="1908" customFormat="1" ht="22.5" customHeight="1">
      <c r="B13" s="123" t="s">
        <v>190</v>
      </c>
      <c r="C13" s="126"/>
      <c r="D13" s="114" t="s">
        <v>203</v>
      </c>
      <c r="E13" s="114"/>
      <c r="F13" s="125">
        <f>+'MONTAJE LP'!J130</f>
        <v>461491.17</v>
      </c>
      <c r="G13" s="74"/>
      <c r="H13" s="74"/>
      <c r="I13" s="84"/>
      <c r="J13" s="1"/>
      <c r="K13" s="74"/>
      <c r="L13" s="74"/>
      <c r="M13" s="84"/>
    </row>
    <row r="14" spans="1:13" s="1908" customFormat="1" ht="22.5" customHeight="1">
      <c r="B14" s="123" t="s">
        <v>125</v>
      </c>
      <c r="C14" s="126"/>
      <c r="D14" s="114" t="s">
        <v>133</v>
      </c>
      <c r="E14" s="114"/>
      <c r="F14" s="127">
        <f>+TRANS_LP!J130</f>
        <v>60052.800000000003</v>
      </c>
      <c r="G14" s="176">
        <f>+F14/F12</f>
        <v>9.5575976047819561E-2</v>
      </c>
      <c r="H14" s="74"/>
      <c r="I14" s="84"/>
      <c r="J14" s="1"/>
      <c r="K14" s="74"/>
      <c r="L14" s="74"/>
      <c r="M14" s="84"/>
    </row>
    <row r="15" spans="1:13" ht="22.5" customHeight="1">
      <c r="B15" s="128" t="s">
        <v>7</v>
      </c>
      <c r="C15" s="129"/>
      <c r="D15" s="130" t="s">
        <v>134</v>
      </c>
      <c r="E15" s="130"/>
      <c r="F15" s="131">
        <f>SUM(F12:F14)</f>
        <v>1149869.23</v>
      </c>
      <c r="G15" s="74"/>
      <c r="H15" s="74"/>
      <c r="I15" s="84"/>
      <c r="J15" s="75"/>
      <c r="K15" s="74"/>
      <c r="L15" s="74"/>
      <c r="M15" s="84"/>
    </row>
    <row r="16" spans="1:13" ht="15.75">
      <c r="B16" s="132"/>
      <c r="C16" s="133"/>
      <c r="D16" s="134"/>
      <c r="E16" s="134"/>
      <c r="F16" s="125"/>
      <c r="G16" s="74"/>
      <c r="H16" s="74"/>
      <c r="I16" s="84"/>
      <c r="J16" s="75"/>
      <c r="K16" s="74"/>
      <c r="L16" s="74"/>
      <c r="M16" s="84"/>
    </row>
    <row r="17" spans="2:13" ht="19.5" customHeight="1">
      <c r="B17" s="135" t="s">
        <v>126</v>
      </c>
      <c r="C17" s="120"/>
      <c r="D17" s="120"/>
      <c r="E17" s="136" t="s">
        <v>135</v>
      </c>
      <c r="F17" s="125" t="e">
        <f>+ROUND(F15*H17,2)</f>
        <v>#REF!</v>
      </c>
      <c r="G17" s="74"/>
      <c r="H17" s="1903" t="e">
        <f>+#REF!</f>
        <v>#REF!</v>
      </c>
      <c r="I17" s="84"/>
      <c r="J17" s="75"/>
      <c r="K17" s="74"/>
      <c r="L17" s="74"/>
      <c r="M17" s="84"/>
    </row>
    <row r="18" spans="2:13" ht="19.5" customHeight="1">
      <c r="B18" s="135" t="s">
        <v>8</v>
      </c>
      <c r="C18" s="120"/>
      <c r="D18" s="120"/>
      <c r="E18" s="136" t="s">
        <v>161</v>
      </c>
      <c r="F18" s="125" t="e">
        <f>+ROUND(F15*H18,2)</f>
        <v>#REF!</v>
      </c>
      <c r="G18" s="74"/>
      <c r="H18" s="1903" t="e">
        <f>+#REF!</f>
        <v>#REF!</v>
      </c>
      <c r="I18" s="84"/>
      <c r="J18" s="75"/>
      <c r="K18" s="74"/>
      <c r="L18" s="74"/>
      <c r="M18" s="84"/>
    </row>
    <row r="19" spans="2:13" ht="15.75">
      <c r="B19" s="137"/>
      <c r="C19" s="133"/>
      <c r="D19" s="133"/>
      <c r="E19" s="76"/>
      <c r="F19" s="138"/>
      <c r="G19" s="74"/>
      <c r="H19" s="74"/>
      <c r="I19" s="84"/>
      <c r="J19" s="75"/>
      <c r="K19" s="74"/>
      <c r="L19" s="74"/>
      <c r="M19" s="84"/>
    </row>
    <row r="20" spans="2:13" ht="15.75">
      <c r="B20" s="139"/>
      <c r="C20" s="140"/>
      <c r="D20" s="141" t="s">
        <v>1003</v>
      </c>
      <c r="E20" s="141"/>
      <c r="F20" s="142" t="e">
        <f>SUM(F15:F18)</f>
        <v>#REF!</v>
      </c>
      <c r="G20" s="74"/>
      <c r="H20" s="1793" t="e">
        <f>F20=#REF!</f>
        <v>#REF!</v>
      </c>
      <c r="I20" s="84"/>
      <c r="J20" s="75"/>
      <c r="K20" s="74"/>
      <c r="L20" s="74"/>
      <c r="M20" s="84"/>
    </row>
    <row r="21" spans="2:13" ht="15.75">
      <c r="B21" s="82"/>
      <c r="C21" s="77"/>
      <c r="D21" s="78"/>
      <c r="E21" s="79"/>
      <c r="F21" s="81"/>
    </row>
    <row r="22" spans="2:13">
      <c r="B22" s="100"/>
      <c r="C22" s="101"/>
      <c r="D22" s="101"/>
      <c r="E22" s="101"/>
    </row>
    <row r="23" spans="2:13">
      <c r="E23" s="177"/>
      <c r="F23" s="74"/>
    </row>
    <row r="24" spans="2:13">
      <c r="E24" s="177"/>
      <c r="F24" s="74"/>
    </row>
    <row r="25" spans="2:13">
      <c r="E25" s="177"/>
      <c r="F25" s="74"/>
    </row>
    <row r="26" spans="2:13">
      <c r="E26" s="177"/>
      <c r="F26" s="74"/>
    </row>
    <row r="27" spans="2:13">
      <c r="E27" s="177"/>
      <c r="F27" s="74"/>
    </row>
  </sheetData>
  <mergeCells count="3">
    <mergeCell ref="B2:F2"/>
    <mergeCell ref="B3:F3"/>
    <mergeCell ref="B4:F4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98" orientation="portrait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N46"/>
  <sheetViews>
    <sheetView workbookViewId="0"/>
  </sheetViews>
  <sheetFormatPr baseColWidth="10" defaultColWidth="9.33203125" defaultRowHeight="12.75"/>
  <sheetData>
    <row r="1" spans="2:14" ht="18">
      <c r="B1" s="764"/>
      <c r="C1" s="765"/>
      <c r="D1" s="765"/>
      <c r="E1" s="766"/>
      <c r="F1" s="766"/>
    </row>
    <row r="2" spans="2:14" ht="20.25">
      <c r="B2" s="767"/>
      <c r="C2" s="768"/>
      <c r="D2" s="768"/>
      <c r="E2" s="768"/>
      <c r="F2" s="768"/>
    </row>
    <row r="3" spans="2:14" ht="20.25">
      <c r="B3" s="769" t="str">
        <f>"RESUMEN DEL VALOR REFERENCIAL "</f>
        <v xml:space="preserve">RESUMEN DEL VALOR REFERENCIAL </v>
      </c>
      <c r="C3" s="768"/>
      <c r="D3" s="768"/>
      <c r="E3" s="768"/>
      <c r="F3" s="768"/>
    </row>
    <row r="4" spans="2:14" ht="16.5">
      <c r="B4" s="770"/>
      <c r="C4" s="770"/>
      <c r="D4" s="770"/>
      <c r="E4" s="770"/>
      <c r="F4" s="770"/>
    </row>
    <row r="5" spans="2:14" ht="14.25">
      <c r="B5" s="771" t="s">
        <v>9</v>
      </c>
      <c r="C5" s="772"/>
      <c r="D5" s="771" t="s">
        <v>10</v>
      </c>
      <c r="E5" s="773"/>
      <c r="G5" s="774"/>
      <c r="H5" s="774"/>
    </row>
    <row r="6" spans="2:14" ht="16.5">
      <c r="B6" s="775" t="s">
        <v>284</v>
      </c>
      <c r="C6" s="776"/>
      <c r="D6" s="777" t="s">
        <v>10</v>
      </c>
      <c r="E6" s="775"/>
      <c r="F6" s="778"/>
      <c r="G6" s="779"/>
      <c r="H6" s="779"/>
    </row>
    <row r="7" spans="2:14" ht="16.5">
      <c r="B7" s="775"/>
      <c r="C7" s="776"/>
      <c r="D7" s="777"/>
      <c r="E7" s="775"/>
      <c r="F7" s="780"/>
      <c r="G7" s="779"/>
      <c r="H7" s="779"/>
    </row>
    <row r="8" spans="2:14" ht="14.25">
      <c r="B8" s="3"/>
      <c r="C8" s="781"/>
      <c r="D8" s="782"/>
      <c r="E8" s="782"/>
      <c r="F8" s="782"/>
    </row>
    <row r="9" spans="2:14" ht="33">
      <c r="B9" s="783" t="s">
        <v>188</v>
      </c>
      <c r="C9" s="1859" t="s">
        <v>207</v>
      </c>
      <c r="D9" s="1859"/>
      <c r="E9" s="1860"/>
      <c r="F9" s="784" t="s">
        <v>532</v>
      </c>
    </row>
    <row r="10" spans="2:14" ht="15">
      <c r="B10" s="785"/>
      <c r="C10" s="786"/>
      <c r="D10" s="787"/>
      <c r="E10" s="788"/>
      <c r="F10" s="175"/>
      <c r="I10" s="789">
        <f>F11*0.07</f>
        <v>43982.768200000006</v>
      </c>
    </row>
    <row r="11" spans="2:14" ht="15">
      <c r="B11" s="790" t="s">
        <v>189</v>
      </c>
      <c r="C11" s="791"/>
      <c r="D11" s="792" t="s">
        <v>212</v>
      </c>
      <c r="E11" s="793"/>
      <c r="F11" s="794">
        <f>+'RESUMEN LP'!F12</f>
        <v>628325.26</v>
      </c>
      <c r="I11" s="789">
        <f>F11*0.1</f>
        <v>62832.526000000005</v>
      </c>
    </row>
    <row r="12" spans="2:14" ht="15">
      <c r="B12" s="795"/>
      <c r="C12" s="791"/>
      <c r="D12" s="782" t="s">
        <v>533</v>
      </c>
      <c r="E12" s="796"/>
      <c r="F12" s="797">
        <f>+F11-F13</f>
        <v>315414.07</v>
      </c>
      <c r="I12" s="789"/>
    </row>
    <row r="13" spans="2:14" ht="15">
      <c r="B13" s="795"/>
      <c r="C13" s="791"/>
      <c r="D13" s="782" t="s">
        <v>534</v>
      </c>
      <c r="E13" s="796"/>
      <c r="F13" s="797">
        <f>+'SUMINISTRO LP'!J25+'SUMINISTRO LP'!J36+'SUMINISTRO LP'!J40+'SUMINISTRO LP'!J44+'SUMINISTRO LP'!J62+'SUMINISTRO LP'!J116+'SUMINISTRO LP'!J120</f>
        <v>312911.19</v>
      </c>
      <c r="I13" s="789"/>
    </row>
    <row r="14" spans="2:14" ht="14.25">
      <c r="B14" s="798"/>
      <c r="C14" s="799"/>
      <c r="D14" s="800"/>
      <c r="E14" s="801"/>
      <c r="F14" s="802"/>
    </row>
    <row r="15" spans="2:14" ht="15">
      <c r="B15" s="790" t="s">
        <v>190</v>
      </c>
      <c r="C15" s="791"/>
      <c r="D15" s="792" t="s">
        <v>203</v>
      </c>
      <c r="E15" s="803"/>
      <c r="F15" s="794">
        <f>+'RESUMEN LP'!F13</f>
        <v>461491.17</v>
      </c>
      <c r="H15" s="804">
        <f>+F15/$F$11</f>
        <v>0.73447814273772782</v>
      </c>
    </row>
    <row r="16" spans="2:14" ht="15">
      <c r="B16" s="795"/>
      <c r="C16" s="791"/>
      <c r="D16" s="782" t="s">
        <v>535</v>
      </c>
      <c r="E16" s="801"/>
      <c r="F16" s="797">
        <f>ROUND(N16*F15,2)</f>
        <v>290739.44</v>
      </c>
      <c r="H16" s="804"/>
      <c r="N16" s="805">
        <v>0.63</v>
      </c>
    </row>
    <row r="17" spans="2:14" ht="15">
      <c r="B17" s="795"/>
      <c r="C17" s="791"/>
      <c r="D17" s="782" t="s">
        <v>536</v>
      </c>
      <c r="E17" s="801"/>
      <c r="F17" s="797">
        <f>ROUND(N17*F15,2)</f>
        <v>170751.73</v>
      </c>
      <c r="H17" s="804"/>
      <c r="N17" s="806">
        <f>1-N16</f>
        <v>0.37</v>
      </c>
    </row>
    <row r="18" spans="2:14" ht="14.25">
      <c r="B18" s="798"/>
      <c r="C18" s="799"/>
      <c r="D18" s="800"/>
      <c r="E18" s="807"/>
      <c r="F18" s="802"/>
      <c r="H18" s="808"/>
    </row>
    <row r="19" spans="2:14" ht="15">
      <c r="B19" s="790" t="s">
        <v>520</v>
      </c>
      <c r="C19" s="791"/>
      <c r="D19" s="792" t="s">
        <v>537</v>
      </c>
      <c r="E19" s="807"/>
      <c r="F19" s="794">
        <v>0</v>
      </c>
      <c r="H19" s="808"/>
    </row>
    <row r="20" spans="2:14" ht="14.25">
      <c r="B20" s="798"/>
      <c r="C20" s="800"/>
      <c r="D20" s="800"/>
      <c r="E20" s="807"/>
      <c r="F20" s="802"/>
      <c r="H20" s="808"/>
    </row>
    <row r="21" spans="2:14" ht="15">
      <c r="B21" s="790" t="s">
        <v>125</v>
      </c>
      <c r="C21" s="791"/>
      <c r="D21" s="792" t="s">
        <v>133</v>
      </c>
      <c r="E21" s="809"/>
      <c r="F21" s="794">
        <f>+'RESUMEN LP'!F14</f>
        <v>60052.800000000003</v>
      </c>
      <c r="H21" s="804">
        <v>0.1</v>
      </c>
      <c r="N21" s="810"/>
    </row>
    <row r="22" spans="2:14" ht="15">
      <c r="B22" s="811"/>
      <c r="C22" s="812"/>
      <c r="D22" s="813"/>
      <c r="E22" s="814"/>
      <c r="F22" s="815"/>
    </row>
    <row r="23" spans="2:14" ht="15">
      <c r="B23" s="816"/>
      <c r="C23" s="817"/>
      <c r="D23" s="818"/>
      <c r="E23" s="819"/>
      <c r="F23" s="820"/>
    </row>
    <row r="24" spans="2:14" ht="15.75">
      <c r="B24" s="798" t="s">
        <v>7</v>
      </c>
      <c r="C24" s="821"/>
      <c r="D24" s="792" t="s">
        <v>538</v>
      </c>
      <c r="E24" s="822"/>
      <c r="F24" s="823">
        <f>+F21+F15+F11+F19</f>
        <v>1149869.23</v>
      </c>
    </row>
    <row r="25" spans="2:14" ht="15">
      <c r="B25" s="824"/>
      <c r="C25" s="825"/>
      <c r="D25" s="826"/>
      <c r="E25" s="827"/>
      <c r="F25" s="828"/>
    </row>
    <row r="26" spans="2:14" ht="15">
      <c r="B26" s="829"/>
      <c r="C26" s="830"/>
      <c r="D26" s="830"/>
      <c r="E26" s="831"/>
      <c r="F26" s="832"/>
    </row>
    <row r="27" spans="2:14" ht="15">
      <c r="B27" s="833"/>
      <c r="C27" s="834"/>
      <c r="D27" s="834"/>
      <c r="E27" s="835"/>
      <c r="F27" s="836"/>
      <c r="H27" s="837"/>
    </row>
    <row r="28" spans="2:14" ht="15">
      <c r="B28" s="833"/>
      <c r="C28" s="834"/>
      <c r="D28" s="834"/>
      <c r="E28" s="835"/>
      <c r="F28" s="838"/>
    </row>
    <row r="29" spans="2:14" ht="15">
      <c r="B29" s="833"/>
      <c r="C29" s="834"/>
      <c r="D29" s="834"/>
      <c r="E29" s="835"/>
      <c r="F29" s="836"/>
      <c r="H29" s="837"/>
    </row>
    <row r="30" spans="2:14" ht="15">
      <c r="B30" s="833"/>
      <c r="C30" s="834"/>
      <c r="D30" s="834"/>
      <c r="E30" s="786"/>
      <c r="F30" s="839"/>
    </row>
    <row r="31" spans="2:14" ht="15.75">
      <c r="B31" s="833"/>
      <c r="C31" s="840"/>
      <c r="D31" s="840"/>
      <c r="E31" s="171"/>
      <c r="F31" s="841"/>
    </row>
    <row r="32" spans="2:14" ht="15.75">
      <c r="B32" s="833"/>
      <c r="C32" s="840"/>
      <c r="D32" s="792"/>
      <c r="E32" s="171"/>
      <c r="F32" s="842"/>
    </row>
    <row r="33" spans="2:14" ht="15.75">
      <c r="B33" s="843"/>
      <c r="C33" s="840"/>
      <c r="D33" s="840"/>
      <c r="E33" s="171"/>
      <c r="F33" s="842"/>
    </row>
    <row r="34" spans="2:14" ht="15.75">
      <c r="B34" s="843"/>
      <c r="C34" s="840"/>
      <c r="D34" s="840"/>
      <c r="E34" s="844"/>
      <c r="F34" s="841"/>
    </row>
    <row r="35" spans="2:14" ht="15">
      <c r="B35" s="833"/>
      <c r="C35" s="786"/>
      <c r="D35" s="782"/>
      <c r="E35" s="845"/>
      <c r="F35" s="846"/>
      <c r="N35" s="789"/>
    </row>
    <row r="36" spans="2:14" ht="15.75">
      <c r="B36" s="847"/>
      <c r="C36" s="840"/>
      <c r="D36" s="840"/>
      <c r="E36" s="848"/>
      <c r="F36" s="849"/>
    </row>
    <row r="37" spans="2:14" ht="15.75">
      <c r="B37" s="834"/>
      <c r="C37" s="840"/>
      <c r="D37" s="840"/>
      <c r="E37" s="171"/>
      <c r="F37" s="841"/>
    </row>
    <row r="38" spans="2:14" ht="15.75">
      <c r="B38" s="834"/>
      <c r="C38" s="840"/>
      <c r="D38" s="840"/>
      <c r="E38" s="850"/>
      <c r="F38" s="842"/>
      <c r="M38" s="789"/>
    </row>
    <row r="39" spans="2:14" ht="15">
      <c r="B39" s="834"/>
      <c r="C39" s="851"/>
      <c r="D39" s="851"/>
      <c r="E39" s="852"/>
      <c r="F39" s="852"/>
    </row>
    <row r="40" spans="2:14" ht="15">
      <c r="B40" s="834"/>
      <c r="C40" s="834"/>
      <c r="D40" s="834"/>
      <c r="E40" s="834"/>
      <c r="F40" s="853"/>
    </row>
    <row r="41" spans="2:14" ht="14.25">
      <c r="B41" s="1861"/>
      <c r="C41" s="1862"/>
      <c r="D41" s="1862"/>
      <c r="E41" s="1863"/>
      <c r="F41" s="854"/>
    </row>
    <row r="42" spans="2:14" ht="14.25">
      <c r="B42" s="1864"/>
      <c r="C42" s="1865"/>
      <c r="D42" s="1865"/>
      <c r="E42" s="1866"/>
      <c r="F42" s="855"/>
    </row>
    <row r="43" spans="2:14" ht="15.75">
      <c r="B43" s="856"/>
      <c r="C43" s="857"/>
      <c r="D43" s="858"/>
      <c r="E43" s="859"/>
      <c r="F43" s="860"/>
      <c r="G43" s="861"/>
      <c r="H43" s="862"/>
    </row>
    <row r="44" spans="2:14" ht="15.75">
      <c r="B44" s="863"/>
      <c r="C44" s="792"/>
      <c r="D44" s="840"/>
      <c r="E44" s="864"/>
      <c r="F44" s="865"/>
      <c r="G44" s="861"/>
      <c r="H44" s="862"/>
    </row>
    <row r="45" spans="2:14" ht="15.75">
      <c r="B45" s="866"/>
      <c r="C45" s="867"/>
      <c r="D45" s="868"/>
      <c r="E45" s="869"/>
      <c r="F45" s="870"/>
      <c r="G45" s="861"/>
      <c r="H45" s="862"/>
    </row>
    <row r="46" spans="2:14" ht="15.75">
      <c r="B46" s="856"/>
      <c r="C46" s="871"/>
      <c r="D46" s="872"/>
      <c r="E46" s="873"/>
      <c r="F46" s="860"/>
      <c r="G46" s="86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Y135"/>
  <sheetViews>
    <sheetView view="pageBreakPreview" topLeftCell="A7" zoomScale="80" zoomScaleNormal="100" zoomScaleSheetLayoutView="80" workbookViewId="0">
      <pane xSplit="3" ySplit="2" topLeftCell="D108" activePane="bottomRight" state="frozen"/>
      <selection activeCell="C18" sqref="C18"/>
      <selection pane="topRight" activeCell="C18" sqref="C18"/>
      <selection pane="bottomLeft" activeCell="C18" sqref="C18"/>
      <selection pane="bottomRight" activeCell="C18" sqref="C18"/>
    </sheetView>
  </sheetViews>
  <sheetFormatPr baseColWidth="10" defaultColWidth="9.33203125" defaultRowHeight="12.75"/>
  <cols>
    <col min="3" max="3" width="1.6640625" hidden="1" customWidth="1"/>
    <col min="6" max="6" width="67.83203125" customWidth="1"/>
    <col min="7" max="7" width="7.5" customWidth="1"/>
    <col min="8" max="9" width="10.5" customWidth="1"/>
    <col min="10" max="10" width="13.1640625" customWidth="1"/>
  </cols>
  <sheetData>
    <row r="1" spans="1:25" ht="18">
      <c r="A1" s="1428"/>
      <c r="B1" s="1429" t="s">
        <v>127</v>
      </c>
      <c r="C1" s="1430"/>
      <c r="D1" s="1430"/>
      <c r="E1" s="1431"/>
      <c r="F1" s="1431"/>
      <c r="G1" s="1432"/>
      <c r="H1" s="1432"/>
      <c r="K1" s="1428"/>
      <c r="L1" s="1428"/>
      <c r="M1" s="1428"/>
      <c r="N1" s="1428"/>
      <c r="O1" s="1428"/>
      <c r="P1" s="1428"/>
      <c r="Q1" s="1428"/>
      <c r="R1" s="1428"/>
      <c r="S1" s="1697"/>
      <c r="T1" s="1697"/>
      <c r="U1" s="1428"/>
      <c r="V1" s="1428"/>
      <c r="W1" s="1698"/>
      <c r="X1" s="1428"/>
      <c r="Y1" s="1428"/>
    </row>
    <row r="2" spans="1:25" ht="18">
      <c r="A2" s="1428"/>
      <c r="B2" s="1433" t="s">
        <v>14</v>
      </c>
      <c r="C2" s="1430"/>
      <c r="D2" s="1430"/>
      <c r="E2" s="1431"/>
      <c r="F2" s="1431"/>
      <c r="G2" s="1434"/>
      <c r="H2" s="1434"/>
      <c r="K2" s="1428"/>
      <c r="L2" s="1428"/>
      <c r="M2" s="1428"/>
      <c r="N2" s="1428"/>
      <c r="O2" s="1428"/>
      <c r="P2" s="1428"/>
      <c r="Q2" s="1428"/>
      <c r="R2" s="1428"/>
      <c r="S2" s="1697"/>
      <c r="T2" s="1697"/>
      <c r="U2" s="1428"/>
      <c r="V2" s="1428"/>
      <c r="W2" s="1698"/>
      <c r="X2" s="1428"/>
      <c r="Y2" s="1428"/>
    </row>
    <row r="3" spans="1:25" ht="18">
      <c r="A3" s="1428"/>
      <c r="B3" s="1435" t="s">
        <v>9</v>
      </c>
      <c r="C3" s="1430"/>
      <c r="D3" s="1430"/>
      <c r="E3" s="1910" t="s">
        <v>10</v>
      </c>
      <c r="F3" s="1437" t="s">
        <v>544</v>
      </c>
      <c r="G3" s="1434"/>
      <c r="H3" s="1434"/>
      <c r="K3" s="1428"/>
      <c r="L3" s="1428"/>
      <c r="M3" s="1428"/>
      <c r="N3" s="1428"/>
      <c r="O3" s="1428"/>
      <c r="P3" s="1428"/>
      <c r="Q3" s="1428"/>
      <c r="R3" s="1428"/>
      <c r="S3" s="1697"/>
      <c r="T3" s="1697"/>
      <c r="U3" s="1428"/>
      <c r="V3" s="1428"/>
      <c r="W3" s="1698"/>
      <c r="X3" s="1428"/>
      <c r="Y3" s="1428"/>
    </row>
    <row r="4" spans="1:25" ht="18">
      <c r="A4" s="1428"/>
      <c r="B4" s="1433" t="s">
        <v>284</v>
      </c>
      <c r="E4" s="1911" t="s">
        <v>10</v>
      </c>
      <c r="F4" s="1438" t="s">
        <v>20</v>
      </c>
      <c r="G4" s="1434"/>
      <c r="H4" s="1434"/>
      <c r="K4" s="1428"/>
      <c r="L4" s="1428"/>
      <c r="M4" s="1428"/>
      <c r="N4" s="1428"/>
      <c r="O4" s="1428"/>
      <c r="P4" s="1428"/>
      <c r="Q4" s="1428"/>
      <c r="R4" s="1428"/>
      <c r="S4" s="1697"/>
      <c r="T4" s="1697"/>
      <c r="U4" s="1428"/>
      <c r="V4" s="1428"/>
      <c r="W4" s="1698"/>
      <c r="X4" s="1428"/>
      <c r="Y4" s="1428"/>
    </row>
    <row r="5" spans="1:25" ht="18">
      <c r="A5" s="1428"/>
      <c r="B5" s="304" t="s">
        <v>280</v>
      </c>
      <c r="E5" s="304"/>
      <c r="G5" s="1434"/>
      <c r="H5" s="1434"/>
      <c r="K5" s="1428"/>
      <c r="L5" s="1428"/>
      <c r="M5" s="1428"/>
      <c r="N5" s="1428"/>
      <c r="O5" s="1428"/>
      <c r="P5" s="1428"/>
      <c r="Q5" s="1428"/>
      <c r="R5" s="1428"/>
      <c r="S5" s="1697"/>
      <c r="T5" s="1697"/>
      <c r="U5" s="1428"/>
      <c r="V5" s="1428"/>
      <c r="W5" s="1698"/>
      <c r="X5" s="1428"/>
      <c r="Y5" s="1428"/>
    </row>
    <row r="6" spans="1:25" ht="15" hidden="1">
      <c r="B6" s="515"/>
      <c r="C6" s="516"/>
      <c r="D6" s="516"/>
      <c r="E6" s="516"/>
      <c r="F6" s="515"/>
      <c r="G6" s="517"/>
      <c r="H6" s="306"/>
      <c r="I6" s="306"/>
      <c r="J6" s="306"/>
    </row>
    <row r="7" spans="1:25" ht="33">
      <c r="A7" s="1427"/>
      <c r="B7" s="1453" t="s">
        <v>959</v>
      </c>
      <c r="C7" s="2056" t="s">
        <v>958</v>
      </c>
      <c r="D7" s="2057"/>
      <c r="E7" s="2057"/>
      <c r="F7" s="2058"/>
      <c r="G7" s="1454" t="s">
        <v>376</v>
      </c>
      <c r="H7" s="1455" t="s">
        <v>960</v>
      </c>
      <c r="I7" s="1455" t="s">
        <v>961</v>
      </c>
      <c r="J7" s="1530" t="s">
        <v>1004</v>
      </c>
      <c r="K7" s="1524"/>
      <c r="L7" s="1427"/>
      <c r="M7" s="1427"/>
      <c r="N7" s="1427"/>
      <c r="O7" s="1427"/>
      <c r="P7" s="1427"/>
      <c r="Q7" s="1427"/>
      <c r="R7" s="1427"/>
      <c r="S7" s="1700"/>
      <c r="T7" s="1700"/>
      <c r="U7" s="1427"/>
      <c r="V7" s="1427"/>
      <c r="W7" s="1701"/>
      <c r="X7" s="1427"/>
      <c r="Y7" s="1427"/>
    </row>
    <row r="8" spans="1:25" ht="16.5" hidden="1">
      <c r="A8" s="1439"/>
      <c r="B8" s="1456"/>
      <c r="C8" s="1478"/>
      <c r="D8" s="1479"/>
      <c r="E8" s="1479"/>
      <c r="F8" s="1480"/>
      <c r="G8" s="1457"/>
      <c r="H8" s="1458"/>
      <c r="I8" s="1458"/>
      <c r="J8" s="1457"/>
      <c r="K8" s="1440"/>
      <c r="L8" s="1702"/>
      <c r="M8" s="1702"/>
      <c r="N8" s="1702"/>
      <c r="O8" s="1440"/>
      <c r="P8" s="1439"/>
      <c r="Q8" s="1439"/>
      <c r="R8" s="1439"/>
      <c r="S8" s="1703"/>
      <c r="T8" s="1703"/>
      <c r="U8" s="1439"/>
      <c r="V8" s="1439"/>
      <c r="W8" s="1440"/>
      <c r="X8" s="1439"/>
      <c r="Y8" s="1439"/>
    </row>
    <row r="9" spans="1:25" ht="16.5">
      <c r="A9" s="1439"/>
      <c r="B9" s="1459"/>
      <c r="C9" s="1481"/>
      <c r="D9" s="1482" t="s">
        <v>13</v>
      </c>
      <c r="E9" s="1439"/>
      <c r="F9" s="1483"/>
      <c r="G9" s="1460"/>
      <c r="H9" s="1461"/>
      <c r="I9" s="1461"/>
      <c r="J9" s="1460"/>
      <c r="K9" s="1440"/>
      <c r="L9" s="1702"/>
      <c r="M9" s="1702"/>
      <c r="N9" s="1702"/>
      <c r="O9" s="1440"/>
      <c r="P9" s="1439"/>
      <c r="Q9" s="1439"/>
      <c r="R9" s="1439"/>
      <c r="S9" s="1703"/>
      <c r="T9" s="1703"/>
      <c r="U9" s="1439"/>
      <c r="V9" s="1439"/>
      <c r="W9" s="1440"/>
      <c r="X9" s="1439"/>
      <c r="Y9" s="1439"/>
    </row>
    <row r="10" spans="1:25" ht="16.5" hidden="1">
      <c r="A10" s="1439"/>
      <c r="B10" s="1459"/>
      <c r="C10" s="1481"/>
      <c r="D10" s="1439"/>
      <c r="E10" s="1439"/>
      <c r="F10" s="1483"/>
      <c r="G10" s="1460"/>
      <c r="H10" s="1461"/>
      <c r="I10" s="1461"/>
      <c r="J10" s="1460"/>
      <c r="K10" s="1440"/>
      <c r="L10" s="1702"/>
      <c r="M10" s="1702"/>
      <c r="N10" s="1702"/>
      <c r="O10" s="1440"/>
      <c r="P10" s="1439"/>
      <c r="Q10" s="1439"/>
      <c r="R10" s="1439"/>
      <c r="S10" s="1703"/>
      <c r="T10" s="1703"/>
      <c r="U10" s="1439"/>
      <c r="V10" s="1439"/>
      <c r="W10" s="1440"/>
      <c r="X10" s="1439"/>
      <c r="Y10" s="1439"/>
    </row>
    <row r="11" spans="1:25" ht="16.5">
      <c r="A11" s="1439"/>
      <c r="B11" s="1462">
        <v>1</v>
      </c>
      <c r="C11" s="1481"/>
      <c r="D11" s="1484" t="s">
        <v>323</v>
      </c>
      <c r="E11" s="1485"/>
      <c r="F11" s="1486"/>
      <c r="G11" s="1460"/>
      <c r="H11" s="1461"/>
      <c r="I11" s="1461"/>
      <c r="J11" s="1463"/>
      <c r="K11" s="1441"/>
      <c r="L11" s="1440"/>
      <c r="M11" s="1440"/>
      <c r="N11" s="1440"/>
      <c r="O11" s="1440"/>
      <c r="P11" s="1439"/>
      <c r="Q11" s="1439"/>
      <c r="R11" s="1439"/>
      <c r="S11" s="1703"/>
      <c r="T11" s="1703"/>
      <c r="U11" s="1439"/>
      <c r="V11" s="1439"/>
      <c r="W11" s="1440"/>
      <c r="X11" s="1439"/>
      <c r="Y11" s="1439"/>
    </row>
    <row r="12" spans="1:25" ht="16.5">
      <c r="A12" s="1439"/>
      <c r="B12" s="1463">
        <f>+B11+0.01</f>
        <v>1.01</v>
      </c>
      <c r="C12" s="1481"/>
      <c r="D12" s="1485" t="s">
        <v>149</v>
      </c>
      <c r="E12" s="1442"/>
      <c r="F12" s="1487"/>
      <c r="G12" s="1465" t="s">
        <v>18</v>
      </c>
      <c r="H12" s="1501">
        <v>11</v>
      </c>
      <c r="I12" s="1502">
        <v>105</v>
      </c>
      <c r="J12" s="1467">
        <f t="shared" ref="J12" si="0">+ROUND(I12*H12,2)</f>
        <v>1155</v>
      </c>
      <c r="K12" s="1443"/>
      <c r="L12" s="1440" t="str">
        <f>IFERROR(VLOOKUP(D12,#REF!,2,FALSE),"")</f>
        <v/>
      </c>
      <c r="M12" s="1515"/>
      <c r="N12" s="1704"/>
      <c r="O12" s="1439"/>
      <c r="P12" s="1439"/>
      <c r="Q12" s="1445"/>
      <c r="R12" s="1439"/>
      <c r="S12" s="1703"/>
      <c r="T12" s="1703"/>
      <c r="U12" s="1439"/>
      <c r="V12" s="1439"/>
      <c r="W12" s="1440"/>
      <c r="X12" s="1439"/>
      <c r="Y12" s="1439"/>
    </row>
    <row r="13" spans="1:25" ht="16.5">
      <c r="A13" s="1439"/>
      <c r="B13" s="1463">
        <f>+B12+0.01</f>
        <v>1.02</v>
      </c>
      <c r="C13" s="1481"/>
      <c r="D13" s="1485" t="s">
        <v>728</v>
      </c>
      <c r="E13" s="1485"/>
      <c r="F13" s="1486"/>
      <c r="G13" s="1460" t="s">
        <v>18</v>
      </c>
      <c r="H13" s="1461">
        <v>2</v>
      </c>
      <c r="I13" s="1502">
        <v>178</v>
      </c>
      <c r="J13" s="1467">
        <f t="shared" ref="J13:J15" si="1">+ROUND(I13*H13,2)</f>
        <v>356</v>
      </c>
      <c r="K13" s="1443"/>
      <c r="L13" s="1440" t="str">
        <f>IFERROR(VLOOKUP(D13,#REF!,2,FALSE),"")</f>
        <v/>
      </c>
      <c r="M13" s="1515"/>
      <c r="N13" s="1704"/>
      <c r="O13" s="1515"/>
      <c r="P13" s="1704"/>
      <c r="Q13" s="1445"/>
      <c r="R13" s="1439"/>
      <c r="S13" s="1703"/>
      <c r="T13" s="1703"/>
      <c r="U13" s="1439"/>
      <c r="V13" s="1439"/>
      <c r="W13" s="1440"/>
      <c r="X13" s="1439"/>
      <c r="Y13" s="1439"/>
    </row>
    <row r="14" spans="1:25" ht="16.5">
      <c r="A14" s="1439"/>
      <c r="B14" s="1463">
        <f>+B13+0.01</f>
        <v>1.03</v>
      </c>
      <c r="C14" s="1481"/>
      <c r="D14" s="1485" t="s">
        <v>729</v>
      </c>
      <c r="E14" s="1485"/>
      <c r="F14" s="1486"/>
      <c r="G14" s="1460" t="s">
        <v>18</v>
      </c>
      <c r="H14" s="1461">
        <v>1</v>
      </c>
      <c r="I14" s="1502">
        <v>205</v>
      </c>
      <c r="J14" s="1467">
        <f t="shared" si="1"/>
        <v>205</v>
      </c>
      <c r="K14" s="1443"/>
      <c r="L14" s="1440" t="str">
        <f>IFERROR(VLOOKUP(D14,#REF!,2,FALSE),"")</f>
        <v/>
      </c>
      <c r="M14" s="1515"/>
      <c r="N14" s="1704"/>
      <c r="O14" s="1515"/>
      <c r="P14" s="1704"/>
      <c r="Q14" s="1445"/>
      <c r="R14" s="1439"/>
      <c r="S14" s="1703"/>
      <c r="T14" s="1703"/>
      <c r="U14" s="1439"/>
      <c r="V14" s="1439"/>
      <c r="W14" s="1440"/>
      <c r="X14" s="1439"/>
      <c r="Y14" s="1439"/>
    </row>
    <row r="15" spans="1:25" ht="16.5">
      <c r="A15" s="1439"/>
      <c r="B15" s="1463">
        <f>+B14+0.01</f>
        <v>1.04</v>
      </c>
      <c r="C15" s="1481"/>
      <c r="D15" s="1485" t="s">
        <v>324</v>
      </c>
      <c r="E15" s="1485"/>
      <c r="F15" s="1486"/>
      <c r="G15" s="1460" t="s">
        <v>18</v>
      </c>
      <c r="H15" s="1461">
        <v>9</v>
      </c>
      <c r="I15" s="1502">
        <v>27.35</v>
      </c>
      <c r="J15" s="1467">
        <f t="shared" si="1"/>
        <v>246.15</v>
      </c>
      <c r="K15" s="1443"/>
      <c r="L15" s="1440" t="str">
        <f>IFERROR(VLOOKUP(D15,#REF!,2,FALSE),"")</f>
        <v/>
      </c>
      <c r="M15" s="1515"/>
      <c r="N15" s="1704"/>
      <c r="O15" s="1515"/>
      <c r="P15" s="1704"/>
      <c r="Q15" s="1445"/>
      <c r="R15" s="1439"/>
      <c r="S15" s="1703"/>
      <c r="T15" s="1703"/>
      <c r="U15" s="1439"/>
      <c r="V15" s="1439"/>
      <c r="W15" s="1440"/>
      <c r="X15" s="1439"/>
      <c r="Y15" s="1439"/>
    </row>
    <row r="16" spans="1:25" ht="16.5">
      <c r="A16" s="1439"/>
      <c r="B16" s="1459"/>
      <c r="C16" s="1481"/>
      <c r="D16" s="1485"/>
      <c r="E16" s="1485"/>
      <c r="F16" s="1488" t="str">
        <f>+"SUB-TOTAL   "&amp;B11&amp;":  "</f>
        <v xml:space="preserve">SUB-TOTAL   1:  </v>
      </c>
      <c r="G16" s="1457"/>
      <c r="H16" s="1458"/>
      <c r="I16" s="1458"/>
      <c r="J16" s="1468">
        <f>SUM(J12:J15)</f>
        <v>1962.15</v>
      </c>
      <c r="K16" s="1443"/>
      <c r="L16" s="1440" t="str">
        <f>IFERROR(VLOOKUP(D16,#REF!,2,FALSE),"")</f>
        <v/>
      </c>
      <c r="M16" s="1515"/>
      <c r="N16" s="1704"/>
      <c r="O16" s="1515"/>
      <c r="P16" s="1704"/>
      <c r="Q16" s="1439"/>
      <c r="R16" s="1439"/>
      <c r="S16" s="1703"/>
      <c r="T16" s="1703"/>
      <c r="U16" s="1439"/>
      <c r="V16" s="1439"/>
      <c r="W16" s="1440"/>
      <c r="X16" s="1439"/>
      <c r="Y16" s="1439"/>
    </row>
    <row r="17" spans="1:25" ht="16.5">
      <c r="A17" s="1439"/>
      <c r="B17" s="1462">
        <v>2</v>
      </c>
      <c r="C17" s="1481"/>
      <c r="D17" s="1489" t="s">
        <v>296</v>
      </c>
      <c r="E17" s="1485"/>
      <c r="F17" s="1486"/>
      <c r="G17" s="1460"/>
      <c r="H17" s="1461"/>
      <c r="I17" s="1461"/>
      <c r="J17" s="1469"/>
      <c r="K17" s="1443"/>
      <c r="L17" s="1440" t="str">
        <f>IFERROR(VLOOKUP(D17,#REF!,2,FALSE),"")</f>
        <v/>
      </c>
      <c r="M17" s="1515"/>
      <c r="N17" s="1704"/>
      <c r="O17" s="1515"/>
      <c r="P17" s="1704"/>
      <c r="Q17" s="1439"/>
      <c r="R17" s="1439"/>
      <c r="S17" s="1703"/>
      <c r="T17" s="1703"/>
      <c r="U17" s="1439"/>
      <c r="V17" s="1439"/>
      <c r="W17" s="1440"/>
      <c r="X17" s="1439"/>
      <c r="Y17" s="1439"/>
    </row>
    <row r="18" spans="1:25" ht="16.5">
      <c r="A18" s="1439"/>
      <c r="B18" s="1463">
        <f>+B17+0.01</f>
        <v>2.0099999999999998</v>
      </c>
      <c r="C18" s="1481"/>
      <c r="D18" s="1485" t="s">
        <v>311</v>
      </c>
      <c r="E18" s="1485"/>
      <c r="F18" s="1486"/>
      <c r="G18" s="1460" t="s">
        <v>18</v>
      </c>
      <c r="H18" s="1461">
        <v>15</v>
      </c>
      <c r="I18" s="1502">
        <v>837.45</v>
      </c>
      <c r="J18" s="1467">
        <f t="shared" ref="J18:J21" si="2">+ROUND(I18*H18,2)</f>
        <v>12561.75</v>
      </c>
      <c r="K18" s="1443"/>
      <c r="L18" s="1440" t="str">
        <f>IFERROR(VLOOKUP(D18,#REF!,2,FALSE),"")</f>
        <v/>
      </c>
      <c r="M18" s="1515"/>
      <c r="N18" s="1704"/>
      <c r="O18" s="1515"/>
      <c r="P18" s="1704"/>
      <c r="Q18" s="1439"/>
      <c r="R18" s="1439"/>
      <c r="S18" s="1703"/>
      <c r="T18" s="1703"/>
      <c r="U18" s="1439"/>
      <c r="V18" s="1439"/>
      <c r="W18" s="1440"/>
      <c r="X18" s="1439"/>
      <c r="Y18" s="1439"/>
    </row>
    <row r="19" spans="1:25" ht="16.5">
      <c r="A19" s="1439"/>
      <c r="B19" s="1463">
        <f t="shared" ref="B19:B21" si="3">+B18+0.01</f>
        <v>2.0199999999999996</v>
      </c>
      <c r="C19" s="1481"/>
      <c r="D19" s="1485" t="s">
        <v>571</v>
      </c>
      <c r="E19" s="1485"/>
      <c r="F19" s="1486"/>
      <c r="G19" s="1460" t="s">
        <v>18</v>
      </c>
      <c r="H19" s="1461">
        <v>6</v>
      </c>
      <c r="I19" s="1502">
        <v>923.47</v>
      </c>
      <c r="J19" s="1467">
        <f t="shared" si="2"/>
        <v>5540.82</v>
      </c>
      <c r="K19" s="1443"/>
      <c r="L19" s="1440" t="str">
        <f>IFERROR(VLOOKUP(D19,#REF!,2,FALSE),"")</f>
        <v/>
      </c>
      <c r="M19" s="1515"/>
      <c r="N19" s="1704"/>
      <c r="O19" s="1515"/>
      <c r="P19" s="1704"/>
      <c r="Q19" s="1439"/>
      <c r="R19" s="1439"/>
      <c r="S19" s="1703"/>
      <c r="T19" s="1703"/>
      <c r="U19" s="1439"/>
      <c r="V19" s="1439"/>
      <c r="W19" s="1440"/>
      <c r="X19" s="1439"/>
      <c r="Y19" s="1439"/>
    </row>
    <row r="20" spans="1:25" ht="16.5">
      <c r="A20" s="1439"/>
      <c r="B20" s="1463">
        <f t="shared" si="3"/>
        <v>2.0299999999999994</v>
      </c>
      <c r="C20" s="1481"/>
      <c r="D20" s="1485" t="s">
        <v>325</v>
      </c>
      <c r="E20" s="1485"/>
      <c r="F20" s="1486"/>
      <c r="G20" s="1460" t="s">
        <v>18</v>
      </c>
      <c r="H20" s="1461">
        <v>118</v>
      </c>
      <c r="I20" s="1502">
        <v>1085.1400000000001</v>
      </c>
      <c r="J20" s="1467">
        <f t="shared" si="2"/>
        <v>128046.52</v>
      </c>
      <c r="K20" s="1443"/>
      <c r="L20" s="1440" t="str">
        <f>IFERROR(VLOOKUP(D20,#REF!,2,FALSE),"")</f>
        <v/>
      </c>
      <c r="M20" s="1515"/>
      <c r="N20" s="1704"/>
      <c r="O20" s="1515"/>
      <c r="P20" s="1704"/>
      <c r="Q20" s="1439"/>
      <c r="R20" s="1439"/>
      <c r="S20" s="1703"/>
      <c r="T20" s="1703"/>
      <c r="U20" s="1439"/>
      <c r="V20" s="1439"/>
      <c r="W20" s="1440"/>
      <c r="X20" s="1439"/>
      <c r="Y20" s="1439"/>
    </row>
    <row r="21" spans="1:25" ht="16.5">
      <c r="A21" s="1439"/>
      <c r="B21" s="1463">
        <f t="shared" si="3"/>
        <v>2.0399999999999991</v>
      </c>
      <c r="C21" s="1481"/>
      <c r="D21" s="1485" t="s">
        <v>326</v>
      </c>
      <c r="E21" s="1485"/>
      <c r="F21" s="1488"/>
      <c r="G21" s="1460" t="s">
        <v>18</v>
      </c>
      <c r="H21" s="1461">
        <v>32</v>
      </c>
      <c r="I21" s="1502">
        <v>1207.94</v>
      </c>
      <c r="J21" s="1467">
        <f t="shared" si="2"/>
        <v>38654.080000000002</v>
      </c>
      <c r="K21" s="1443"/>
      <c r="L21" s="1440" t="str">
        <f>IFERROR(VLOOKUP(D21,#REF!,2,FALSE),"")</f>
        <v/>
      </c>
      <c r="M21" s="1515"/>
      <c r="N21" s="1704"/>
      <c r="O21" s="1515"/>
      <c r="P21" s="1704"/>
      <c r="Q21" s="1439"/>
      <c r="R21" s="1439"/>
      <c r="S21" s="1703"/>
      <c r="T21" s="1703"/>
      <c r="U21" s="1439"/>
      <c r="V21" s="1439"/>
      <c r="W21" s="1440"/>
      <c r="X21" s="1439"/>
      <c r="Y21" s="1439"/>
    </row>
    <row r="22" spans="1:25" ht="16.5">
      <c r="A22" s="1439"/>
      <c r="B22" s="1459"/>
      <c r="C22" s="1481"/>
      <c r="D22" s="1485"/>
      <c r="E22" s="1485"/>
      <c r="F22" s="1488" t="str">
        <f>+"SUB-TOTAL   "&amp;B17&amp;":  "</f>
        <v xml:space="preserve">SUB-TOTAL   2:  </v>
      </c>
      <c r="G22" s="1457"/>
      <c r="H22" s="1458"/>
      <c r="I22" s="1458"/>
      <c r="J22" s="1468">
        <f>SUM(J18:J21)</f>
        <v>184803.16999999998</v>
      </c>
      <c r="K22" s="1443"/>
      <c r="L22" s="1440" t="str">
        <f>IFERROR(VLOOKUP(D22,#REF!,2,FALSE),"")</f>
        <v/>
      </c>
      <c r="M22" s="1515"/>
      <c r="N22" s="1704"/>
      <c r="O22" s="1515"/>
      <c r="P22" s="1704"/>
      <c r="Q22" s="1439"/>
      <c r="R22" s="1439"/>
      <c r="S22" s="1703"/>
      <c r="T22" s="1703"/>
      <c r="U22" s="1439"/>
      <c r="V22" s="1439"/>
      <c r="W22" s="1440"/>
      <c r="X22" s="1439"/>
      <c r="Y22" s="1439"/>
    </row>
    <row r="23" spans="1:25" ht="16.5">
      <c r="A23" s="1439"/>
      <c r="B23" s="1462">
        <v>3</v>
      </c>
      <c r="C23" s="1481"/>
      <c r="D23" s="1489" t="s">
        <v>327</v>
      </c>
      <c r="E23" s="1485"/>
      <c r="F23" s="1486"/>
      <c r="G23" s="1460"/>
      <c r="H23" s="1461"/>
      <c r="I23" s="1461"/>
      <c r="J23" s="1470"/>
      <c r="K23" s="1443"/>
      <c r="L23" s="1440" t="str">
        <f>IFERROR(VLOOKUP(D23,#REF!,2,FALSE),"")</f>
        <v/>
      </c>
      <c r="M23" s="1515"/>
      <c r="N23" s="1704"/>
      <c r="O23" s="1515"/>
      <c r="P23" s="1704"/>
      <c r="Q23" s="1439"/>
      <c r="R23" s="1439"/>
      <c r="S23" s="1703"/>
      <c r="T23" s="1703"/>
      <c r="U23" s="1439"/>
      <c r="V23" s="1439"/>
      <c r="W23" s="1440"/>
      <c r="X23" s="1439"/>
      <c r="Y23" s="1439"/>
    </row>
    <row r="24" spans="1:25" ht="16.5">
      <c r="A24" s="1439"/>
      <c r="B24" s="1463">
        <f>+B23+0.01</f>
        <v>3.01</v>
      </c>
      <c r="C24" s="1481"/>
      <c r="D24" s="1485" t="s">
        <v>931</v>
      </c>
      <c r="E24" s="1485"/>
      <c r="F24" s="1488"/>
      <c r="G24" s="1460" t="s">
        <v>18</v>
      </c>
      <c r="H24" s="1461">
        <v>9</v>
      </c>
      <c r="I24" s="1502">
        <v>1703.39</v>
      </c>
      <c r="J24" s="1467">
        <f t="shared" ref="J24" si="4">+ROUND(I24*H24,2)</f>
        <v>15330.51</v>
      </c>
      <c r="K24" s="1443"/>
      <c r="L24" s="1440" t="str">
        <f>IFERROR(VLOOKUP(D24,#REF!,2,FALSE),"")</f>
        <v/>
      </c>
      <c r="M24" s="1515"/>
      <c r="N24" s="1704"/>
      <c r="O24" s="1515"/>
      <c r="P24" s="1704"/>
      <c r="Q24" s="1439"/>
      <c r="R24" s="1439"/>
      <c r="S24" s="1703"/>
      <c r="T24" s="1703"/>
      <c r="U24" s="1439"/>
      <c r="V24" s="1439"/>
      <c r="W24" s="1440"/>
      <c r="X24" s="1439"/>
      <c r="Y24" s="1439"/>
    </row>
    <row r="25" spans="1:25" ht="16.5">
      <c r="A25" s="1439"/>
      <c r="B25" s="1459"/>
      <c r="C25" s="1481"/>
      <c r="D25" s="1485"/>
      <c r="E25" s="1485"/>
      <c r="F25" s="1488" t="str">
        <f>+"SUB-TOTAL   "&amp;B23&amp;":  "</f>
        <v xml:space="preserve">SUB-TOTAL   3:  </v>
      </c>
      <c r="G25" s="1457"/>
      <c r="H25" s="1458"/>
      <c r="I25" s="1458"/>
      <c r="J25" s="1468">
        <f>+SUM(J24)</f>
        <v>15330.51</v>
      </c>
      <c r="K25" s="1443"/>
      <c r="L25" s="1440" t="str">
        <f>IFERROR(VLOOKUP(D25,#REF!,2,FALSE),"")</f>
        <v/>
      </c>
      <c r="M25" s="1515"/>
      <c r="N25" s="1704"/>
      <c r="O25" s="1515"/>
      <c r="P25" s="1704"/>
      <c r="Q25" s="1439"/>
      <c r="R25" s="1439"/>
      <c r="S25" s="1703"/>
      <c r="T25" s="1703"/>
      <c r="U25" s="1439"/>
      <c r="V25" s="1439"/>
      <c r="W25" s="1440"/>
      <c r="X25" s="1439"/>
      <c r="Y25" s="1439"/>
    </row>
    <row r="26" spans="1:25" ht="16.5">
      <c r="A26" s="1439"/>
      <c r="B26" s="1462">
        <v>4</v>
      </c>
      <c r="C26" s="1481"/>
      <c r="D26" s="1489" t="s">
        <v>553</v>
      </c>
      <c r="E26" s="1485"/>
      <c r="F26" s="1486"/>
      <c r="G26" s="1460"/>
      <c r="H26" s="1461"/>
      <c r="I26" s="1461"/>
      <c r="J26" s="1469"/>
      <c r="K26" s="1443"/>
      <c r="L26" s="1440" t="str">
        <f>IFERROR(VLOOKUP(D26,#REF!,2,FALSE),"")</f>
        <v/>
      </c>
      <c r="M26" s="1515"/>
      <c r="N26" s="1704"/>
      <c r="O26" s="1515"/>
      <c r="P26" s="1704"/>
      <c r="Q26" s="1439"/>
      <c r="R26" s="1439"/>
      <c r="S26" s="1703"/>
      <c r="T26" s="1703"/>
      <c r="U26" s="1439"/>
      <c r="V26" s="1439"/>
      <c r="W26" s="1440"/>
      <c r="X26" s="1439"/>
      <c r="Y26" s="1439"/>
    </row>
    <row r="27" spans="1:25" ht="16.5">
      <c r="A27" s="1439"/>
      <c r="B27" s="1463">
        <f>+B26+0.01</f>
        <v>4.01</v>
      </c>
      <c r="C27" s="1481"/>
      <c r="D27" s="1485" t="s">
        <v>554</v>
      </c>
      <c r="E27" s="1485"/>
      <c r="F27" s="1486"/>
      <c r="G27" s="1460" t="s">
        <v>18</v>
      </c>
      <c r="H27" s="1461">
        <v>2</v>
      </c>
      <c r="I27" s="1502">
        <v>120.3</v>
      </c>
      <c r="J27" s="1467">
        <f t="shared" ref="J27:J29" si="5">+ROUND(I27*H27,2)</f>
        <v>240.6</v>
      </c>
      <c r="K27" s="1443"/>
      <c r="L27" s="1440" t="str">
        <f>IFERROR(VLOOKUP(D27,#REF!,2,FALSE),"")</f>
        <v/>
      </c>
      <c r="M27" s="1515"/>
      <c r="N27" s="1704"/>
      <c r="O27" s="1515"/>
      <c r="P27" s="1704"/>
      <c r="Q27" s="1439"/>
      <c r="R27" s="1439"/>
      <c r="S27" s="1703"/>
      <c r="T27" s="1703"/>
      <c r="U27" s="1439"/>
      <c r="V27" s="1439"/>
      <c r="W27" s="1440"/>
      <c r="X27" s="1439"/>
      <c r="Y27" s="1439"/>
    </row>
    <row r="28" spans="1:25" ht="16.5">
      <c r="A28" s="1439"/>
      <c r="B28" s="1463">
        <f>+B27+0.01</f>
        <v>4.0199999999999996</v>
      </c>
      <c r="C28" s="1481"/>
      <c r="D28" s="1485" t="s">
        <v>555</v>
      </c>
      <c r="E28" s="1485"/>
      <c r="F28" s="1488"/>
      <c r="G28" s="1460" t="s">
        <v>18</v>
      </c>
      <c r="H28" s="1461">
        <v>393</v>
      </c>
      <c r="I28" s="1502">
        <v>88.8</v>
      </c>
      <c r="J28" s="1467">
        <f t="shared" si="5"/>
        <v>34898.400000000001</v>
      </c>
      <c r="K28" s="1443"/>
      <c r="L28" s="1440" t="str">
        <f>IFERROR(VLOOKUP(D28,#REF!,2,FALSE),"")</f>
        <v/>
      </c>
      <c r="M28" s="1515"/>
      <c r="N28" s="1704"/>
      <c r="O28" s="1515"/>
      <c r="P28" s="1704"/>
      <c r="Q28" s="1439"/>
      <c r="R28" s="1439"/>
      <c r="S28" s="1703"/>
      <c r="T28" s="1703"/>
      <c r="U28" s="1439"/>
      <c r="V28" s="1439"/>
      <c r="W28" s="1440"/>
      <c r="X28" s="1439"/>
      <c r="Y28" s="1439"/>
    </row>
    <row r="29" spans="1:25" ht="16.5">
      <c r="A29" s="1439"/>
      <c r="B29" s="1463">
        <f>+B28+0.01</f>
        <v>4.0299999999999994</v>
      </c>
      <c r="C29" s="1481"/>
      <c r="D29" s="1485" t="s">
        <v>837</v>
      </c>
      <c r="E29" s="1485"/>
      <c r="F29" s="1488"/>
      <c r="G29" s="1460" t="s">
        <v>18</v>
      </c>
      <c r="H29" s="1461">
        <v>1</v>
      </c>
      <c r="I29" s="1502">
        <v>92.26</v>
      </c>
      <c r="J29" s="1467">
        <f t="shared" si="5"/>
        <v>92.26</v>
      </c>
      <c r="K29" s="1443"/>
      <c r="L29" s="1440" t="str">
        <f>IFERROR(VLOOKUP(D29,#REF!,2,FALSE),"")</f>
        <v/>
      </c>
      <c r="M29" s="1515"/>
      <c r="N29" s="1704"/>
      <c r="O29" s="1515"/>
      <c r="P29" s="1704"/>
      <c r="Q29" s="1439"/>
      <c r="R29" s="1439"/>
      <c r="S29" s="1703"/>
      <c r="T29" s="1703"/>
      <c r="U29" s="1439"/>
      <c r="V29" s="1439"/>
      <c r="W29" s="1440"/>
      <c r="X29" s="1439"/>
      <c r="Y29" s="1439"/>
    </row>
    <row r="30" spans="1:25" ht="16.5">
      <c r="A30" s="1439"/>
      <c r="B30" s="1459"/>
      <c r="C30" s="1481"/>
      <c r="D30" s="1485"/>
      <c r="E30" s="1485"/>
      <c r="F30" s="1488" t="str">
        <f>+"SUB-TOTAL   "&amp;B26&amp;":  "</f>
        <v xml:space="preserve">SUB-TOTAL   4:  </v>
      </c>
      <c r="G30" s="1457"/>
      <c r="H30" s="1458"/>
      <c r="I30" s="1458"/>
      <c r="J30" s="1468">
        <f>SUM(J27:J29)</f>
        <v>35231.26</v>
      </c>
      <c r="K30" s="1443"/>
      <c r="L30" s="1440" t="str">
        <f>IFERROR(VLOOKUP(D30,#REF!,2,FALSE),"")</f>
        <v/>
      </c>
      <c r="M30" s="1515"/>
      <c r="N30" s="1704"/>
      <c r="O30" s="1515"/>
      <c r="P30" s="1704"/>
      <c r="Q30" s="1439"/>
      <c r="R30" s="1439"/>
      <c r="S30" s="1703"/>
      <c r="T30" s="1703"/>
      <c r="U30" s="1439"/>
      <c r="V30" s="1439"/>
      <c r="W30" s="1440"/>
      <c r="X30" s="1439"/>
      <c r="Y30" s="1439"/>
    </row>
    <row r="31" spans="1:25" ht="16.5">
      <c r="A31" s="1439"/>
      <c r="B31" s="1462">
        <f>1+B26</f>
        <v>5</v>
      </c>
      <c r="C31" s="1481"/>
      <c r="D31" s="1489" t="s">
        <v>1</v>
      </c>
      <c r="E31" s="1485"/>
      <c r="F31" s="1486"/>
      <c r="G31" s="1460"/>
      <c r="H31" s="1461"/>
      <c r="I31" s="1461"/>
      <c r="J31" s="1467"/>
      <c r="K31" s="1443"/>
      <c r="L31" s="1440" t="str">
        <f>IFERROR(VLOOKUP(D31,#REF!,2,FALSE),"")</f>
        <v/>
      </c>
      <c r="M31" s="1515"/>
      <c r="N31" s="1704"/>
      <c r="O31" s="1515"/>
      <c r="P31" s="1704"/>
      <c r="Q31" s="1439"/>
      <c r="R31" s="1439"/>
      <c r="S31" s="1703"/>
      <c r="T31" s="1703"/>
      <c r="U31" s="1439"/>
      <c r="V31" s="1439"/>
      <c r="W31" s="1440"/>
      <c r="X31" s="1439"/>
      <c r="Y31" s="1439"/>
    </row>
    <row r="32" spans="1:25" ht="16.5">
      <c r="A32" s="1439"/>
      <c r="B32" s="1463">
        <f t="shared" ref="B32:B34" si="6">+B31+0.01</f>
        <v>5.01</v>
      </c>
      <c r="C32" s="1481"/>
      <c r="D32" s="1442" t="s">
        <v>2</v>
      </c>
      <c r="E32" s="1485"/>
      <c r="F32" s="1486"/>
      <c r="G32" s="1460" t="s">
        <v>18</v>
      </c>
      <c r="H32" s="1461">
        <v>29</v>
      </c>
      <c r="I32" s="1502">
        <v>76.45</v>
      </c>
      <c r="J32" s="1467">
        <f t="shared" ref="J32:J35" si="7">+ROUND(I32*H32,2)</f>
        <v>2217.0500000000002</v>
      </c>
      <c r="K32" s="1443"/>
      <c r="L32" s="1440" t="str">
        <f>IFERROR(VLOOKUP(D32,#REF!,2,FALSE),"")</f>
        <v/>
      </c>
      <c r="M32" s="1515"/>
      <c r="N32" s="1704"/>
      <c r="O32" s="1515"/>
      <c r="P32" s="1704"/>
      <c r="Q32" s="1445"/>
      <c r="R32" s="1439"/>
      <c r="S32" s="1703"/>
      <c r="T32" s="1703"/>
      <c r="U32" s="1439"/>
      <c r="V32" s="1439"/>
      <c r="W32" s="1440"/>
      <c r="X32" s="1439"/>
      <c r="Y32" s="1439"/>
    </row>
    <row r="33" spans="1:25" ht="16.5">
      <c r="A33" s="1439"/>
      <c r="B33" s="1463">
        <f t="shared" si="6"/>
        <v>5.0199999999999996</v>
      </c>
      <c r="C33" s="1481"/>
      <c r="D33" s="1442" t="s">
        <v>150</v>
      </c>
      <c r="E33" s="1485"/>
      <c r="F33" s="1486"/>
      <c r="G33" s="1460" t="s">
        <v>18</v>
      </c>
      <c r="H33" s="1461">
        <v>29</v>
      </c>
      <c r="I33" s="1502">
        <v>35.96</v>
      </c>
      <c r="J33" s="1467">
        <f t="shared" si="7"/>
        <v>1042.8399999999999</v>
      </c>
      <c r="K33" s="1443"/>
      <c r="L33" s="1440" t="str">
        <f>IFERROR(VLOOKUP(D33,#REF!,2,FALSE),"")</f>
        <v/>
      </c>
      <c r="M33" s="1515"/>
      <c r="N33" s="1704"/>
      <c r="O33" s="1515"/>
      <c r="P33" s="1704"/>
      <c r="Q33" s="1445"/>
      <c r="R33" s="1439"/>
      <c r="S33" s="1703"/>
      <c r="T33" s="1703"/>
      <c r="U33" s="1439"/>
      <c r="V33" s="1439"/>
      <c r="W33" s="1440"/>
      <c r="X33" s="1439"/>
      <c r="Y33" s="1439"/>
    </row>
    <row r="34" spans="1:25" ht="18.75" customHeight="1">
      <c r="A34" s="1439"/>
      <c r="B34" s="1463">
        <f t="shared" si="6"/>
        <v>5.0299999999999994</v>
      </c>
      <c r="C34" s="1481"/>
      <c r="D34" s="1442" t="s">
        <v>838</v>
      </c>
      <c r="E34" s="1485"/>
      <c r="F34" s="1486"/>
      <c r="G34" s="1460"/>
      <c r="H34" s="1461"/>
      <c r="I34" s="1502"/>
      <c r="J34" s="1467"/>
      <c r="K34" s="1443"/>
      <c r="L34" s="1440" t="str">
        <f>IFERROR(VLOOKUP(D34,#REF!,2,FALSE),"")</f>
        <v/>
      </c>
      <c r="M34" s="1515"/>
      <c r="N34" s="1704"/>
      <c r="O34" s="1515"/>
      <c r="P34" s="1704"/>
      <c r="Q34" s="1445"/>
      <c r="R34" s="1439"/>
      <c r="S34" s="1703"/>
      <c r="T34" s="1703"/>
      <c r="U34" s="1439"/>
      <c r="V34" s="1439"/>
      <c r="W34" s="1440"/>
      <c r="X34" s="1439"/>
      <c r="Y34" s="1439"/>
    </row>
    <row r="35" spans="1:25" ht="18.75" customHeight="1">
      <c r="A35" s="1439"/>
      <c r="B35" s="1463"/>
      <c r="C35" s="1481"/>
      <c r="D35" s="1442" t="s">
        <v>730</v>
      </c>
      <c r="E35" s="1867"/>
      <c r="F35" s="1868"/>
      <c r="G35" s="1460" t="s">
        <v>18</v>
      </c>
      <c r="H35" s="1461">
        <v>369</v>
      </c>
      <c r="I35" s="1502">
        <v>209.65</v>
      </c>
      <c r="J35" s="1467">
        <f t="shared" si="7"/>
        <v>77360.850000000006</v>
      </c>
      <c r="K35" s="1443"/>
      <c r="L35" s="1440" t="str">
        <f>IFERROR(VLOOKUP(D35,#REF!,2,FALSE),"")</f>
        <v/>
      </c>
      <c r="M35" s="1515"/>
      <c r="N35" s="1704"/>
      <c r="O35" s="1515"/>
      <c r="P35" s="1704"/>
      <c r="Q35" s="1439"/>
      <c r="R35" s="1439"/>
      <c r="S35" s="1703"/>
      <c r="T35" s="1703"/>
      <c r="U35" s="1439"/>
      <c r="V35" s="1439"/>
      <c r="W35" s="1440"/>
      <c r="X35" s="1439"/>
      <c r="Y35" s="1439"/>
    </row>
    <row r="36" spans="1:25" ht="16.5">
      <c r="A36" s="1439"/>
      <c r="B36" s="1459"/>
      <c r="C36" s="1481"/>
      <c r="D36" s="1485"/>
      <c r="E36" s="1485"/>
      <c r="F36" s="1488" t="str">
        <f>+"SUB-TOTAL   "&amp;B31&amp;":  "</f>
        <v xml:space="preserve">SUB-TOTAL   5:  </v>
      </c>
      <c r="G36" s="1457"/>
      <c r="H36" s="1506"/>
      <c r="I36" s="1458"/>
      <c r="J36" s="1468">
        <f>+SUM(J31:J35)</f>
        <v>80620.740000000005</v>
      </c>
      <c r="K36" s="1443"/>
      <c r="L36" s="1440" t="str">
        <f>IFERROR(VLOOKUP(D36,#REF!,2,FALSE),"")</f>
        <v/>
      </c>
      <c r="M36" s="1515"/>
      <c r="N36" s="1704"/>
      <c r="O36" s="1515"/>
      <c r="P36" s="1704"/>
      <c r="Q36" s="1439"/>
      <c r="R36" s="1439"/>
      <c r="S36" s="1703"/>
      <c r="T36" s="1703"/>
      <c r="U36" s="1439"/>
      <c r="V36" s="1439"/>
      <c r="W36" s="1440"/>
      <c r="X36" s="1439"/>
      <c r="Y36" s="1439"/>
    </row>
    <row r="37" spans="1:25" ht="16.5">
      <c r="A37" s="1439"/>
      <c r="B37" s="1462">
        <f>1+B31</f>
        <v>6</v>
      </c>
      <c r="C37" s="1481"/>
      <c r="D37" s="1489" t="s">
        <v>381</v>
      </c>
      <c r="E37" s="1485"/>
      <c r="F37" s="1486"/>
      <c r="G37" s="1460"/>
      <c r="H37" s="1504"/>
      <c r="I37" s="1461"/>
      <c r="J37" s="1467"/>
      <c r="K37" s="1443"/>
      <c r="L37" s="1440" t="str">
        <f>IFERROR(VLOOKUP(D37,#REF!,2,FALSE),"")</f>
        <v/>
      </c>
      <c r="M37" s="1515"/>
      <c r="N37" s="1704"/>
      <c r="O37" s="1515"/>
      <c r="P37" s="1704"/>
      <c r="Q37" s="1439"/>
      <c r="R37" s="1439"/>
      <c r="S37" s="1703"/>
      <c r="T37" s="1703"/>
      <c r="U37" s="1439"/>
      <c r="V37" s="1439"/>
      <c r="W37" s="1440"/>
      <c r="X37" s="1439"/>
      <c r="Y37" s="1439"/>
    </row>
    <row r="38" spans="1:25" ht="16.5">
      <c r="A38" s="1439"/>
      <c r="B38" s="1463">
        <f>0.01+B37</f>
        <v>6.01</v>
      </c>
      <c r="C38" s="1481"/>
      <c r="D38" s="1485" t="s">
        <v>328</v>
      </c>
      <c r="E38" s="1485"/>
      <c r="F38" s="1486"/>
      <c r="G38" s="1460" t="s">
        <v>18</v>
      </c>
      <c r="H38" s="1504">
        <v>155</v>
      </c>
      <c r="I38" s="1502">
        <v>17.760000000000002</v>
      </c>
      <c r="J38" s="1467">
        <f>+ROUND(I38*H38,2)</f>
        <v>2752.8</v>
      </c>
      <c r="K38" s="1443"/>
      <c r="L38" s="1440" t="str">
        <f>IFERROR(VLOOKUP(D38,#REF!,2,FALSE),"")</f>
        <v/>
      </c>
      <c r="M38" s="1515"/>
      <c r="N38" s="1704"/>
      <c r="O38" s="1515"/>
      <c r="P38" s="1704"/>
      <c r="Q38" s="1439"/>
      <c r="R38" s="1439"/>
      <c r="S38" s="1703"/>
      <c r="T38" s="1703"/>
      <c r="U38" s="1439"/>
      <c r="V38" s="1439"/>
      <c r="W38" s="1440"/>
      <c r="X38" s="1439"/>
      <c r="Y38" s="1439"/>
    </row>
    <row r="39" spans="1:25" ht="16.5">
      <c r="A39" s="1439"/>
      <c r="B39" s="1463">
        <f>0.01+B38</f>
        <v>6.02</v>
      </c>
      <c r="C39" s="1481"/>
      <c r="D39" s="1485" t="s">
        <v>329</v>
      </c>
      <c r="E39" s="1485"/>
      <c r="F39" s="1486"/>
      <c r="G39" s="1460" t="s">
        <v>18</v>
      </c>
      <c r="H39" s="1504">
        <v>155</v>
      </c>
      <c r="I39" s="1502">
        <v>76.66</v>
      </c>
      <c r="J39" s="1467">
        <f>+ROUND(I39*H39,2)</f>
        <v>11882.3</v>
      </c>
      <c r="K39" s="1443"/>
      <c r="L39" s="1440" t="str">
        <f>IFERROR(VLOOKUP(D39,#REF!,2,FALSE),"")</f>
        <v/>
      </c>
      <c r="M39" s="1515"/>
      <c r="N39" s="1704"/>
      <c r="O39" s="1515"/>
      <c r="P39" s="1704"/>
      <c r="Q39" s="1445"/>
      <c r="R39" s="1439"/>
      <c r="S39" s="1703"/>
      <c r="T39" s="1703"/>
      <c r="U39" s="1439"/>
      <c r="V39" s="1439"/>
      <c r="W39" s="1440"/>
      <c r="X39" s="1439"/>
      <c r="Y39" s="1439"/>
    </row>
    <row r="40" spans="1:25" ht="16.5">
      <c r="A40" s="1439"/>
      <c r="B40" s="1459"/>
      <c r="C40" s="1481"/>
      <c r="D40" s="1485"/>
      <c r="E40" s="1485"/>
      <c r="F40" s="1488" t="str">
        <f>+"SUB-TOTAL   "&amp;B37&amp;":  "</f>
        <v xml:space="preserve">SUB-TOTAL   6:  </v>
      </c>
      <c r="G40" s="1457"/>
      <c r="H40" s="1506"/>
      <c r="I40" s="1458"/>
      <c r="J40" s="1468">
        <f>SUM(J38:J39)</f>
        <v>14635.099999999999</v>
      </c>
      <c r="K40" s="1443"/>
      <c r="L40" s="1440" t="str">
        <f>IFERROR(VLOOKUP(D40,#REF!,2,FALSE),"")</f>
        <v/>
      </c>
      <c r="M40" s="1515"/>
      <c r="N40" s="1704"/>
      <c r="O40" s="1515"/>
      <c r="P40" s="1704"/>
      <c r="Q40" s="1439"/>
      <c r="R40" s="1439"/>
      <c r="S40" s="1703"/>
      <c r="T40" s="1703"/>
      <c r="U40" s="1439"/>
      <c r="V40" s="1439"/>
      <c r="W40" s="1440"/>
      <c r="X40" s="1439"/>
      <c r="Y40" s="1439"/>
    </row>
    <row r="41" spans="1:25" ht="16.5">
      <c r="A41" s="1439"/>
      <c r="B41" s="1462">
        <f>1+B37</f>
        <v>7</v>
      </c>
      <c r="C41" s="1481"/>
      <c r="D41" s="1489" t="s">
        <v>275</v>
      </c>
      <c r="E41" s="1485"/>
      <c r="F41" s="1486"/>
      <c r="G41" s="1460"/>
      <c r="H41" s="1504"/>
      <c r="I41" s="1461"/>
      <c r="J41" s="1467"/>
      <c r="K41" s="1443"/>
      <c r="L41" s="1440" t="str">
        <f>IFERROR(VLOOKUP(D41,#REF!,2,FALSE),"")</f>
        <v/>
      </c>
      <c r="M41" s="1515"/>
      <c r="N41" s="1704"/>
      <c r="O41" s="1515"/>
      <c r="P41" s="1704"/>
      <c r="Q41" s="1439"/>
      <c r="R41" s="1439"/>
      <c r="S41" s="1703"/>
      <c r="T41" s="1703"/>
      <c r="U41" s="1439"/>
      <c r="V41" s="1439"/>
      <c r="W41" s="1440"/>
      <c r="X41" s="1439"/>
      <c r="Y41" s="1439"/>
    </row>
    <row r="42" spans="1:25" ht="16.5">
      <c r="A42" s="1439"/>
      <c r="B42" s="1463">
        <f t="shared" ref="B42:B43" si="8">+B41+0.01</f>
        <v>7.01</v>
      </c>
      <c r="C42" s="1481"/>
      <c r="D42" s="1485" t="s">
        <v>3</v>
      </c>
      <c r="E42" s="1485"/>
      <c r="F42" s="1486"/>
      <c r="G42" s="1460" t="s">
        <v>191</v>
      </c>
      <c r="H42" s="1504">
        <v>53.399999999999991</v>
      </c>
      <c r="I42" s="1502">
        <v>2249.62</v>
      </c>
      <c r="J42" s="1467">
        <f t="shared" ref="J42:J43" si="9">+ROUND(I42*H42,2)</f>
        <v>120129.71</v>
      </c>
      <c r="K42" s="1443"/>
      <c r="L42" s="1440" t="str">
        <f>IFERROR(VLOOKUP(D42,#REF!,2,FALSE),"")</f>
        <v/>
      </c>
      <c r="M42" s="1515"/>
      <c r="N42" s="1704"/>
      <c r="O42" s="1515"/>
      <c r="P42" s="1704"/>
      <c r="Q42" s="1445"/>
      <c r="R42" s="1439"/>
      <c r="S42" s="1703"/>
      <c r="T42" s="1703"/>
      <c r="U42" s="1439"/>
      <c r="V42" s="1439"/>
      <c r="W42" s="1440"/>
      <c r="X42" s="1439"/>
      <c r="Y42" s="1439"/>
    </row>
    <row r="43" spans="1:25" ht="16.5">
      <c r="A43" s="1439"/>
      <c r="B43" s="1463">
        <f t="shared" si="8"/>
        <v>7.02</v>
      </c>
      <c r="C43" s="1481"/>
      <c r="D43" s="1485" t="s">
        <v>330</v>
      </c>
      <c r="E43" s="1485"/>
      <c r="F43" s="1486"/>
      <c r="G43" s="1460" t="s">
        <v>191</v>
      </c>
      <c r="H43" s="1504">
        <v>1.91</v>
      </c>
      <c r="I43" s="1502">
        <v>4157</v>
      </c>
      <c r="J43" s="1467">
        <f t="shared" si="9"/>
        <v>7939.87</v>
      </c>
      <c r="K43" s="1443"/>
      <c r="L43" s="1440" t="str">
        <f>IFERROR(VLOOKUP(D43,#REF!,2,FALSE),"")</f>
        <v/>
      </c>
      <c r="M43" s="1515"/>
      <c r="N43" s="1704"/>
      <c r="O43" s="1515"/>
      <c r="P43" s="1704"/>
      <c r="Q43" s="1439"/>
      <c r="R43" s="1439"/>
      <c r="S43" s="1703"/>
      <c r="T43" s="1703"/>
      <c r="U43" s="1439"/>
      <c r="V43" s="1439"/>
      <c r="W43" s="1440"/>
      <c r="X43" s="1439"/>
      <c r="Y43" s="1439"/>
    </row>
    <row r="44" spans="1:25" ht="16.5">
      <c r="A44" s="1439"/>
      <c r="B44" s="1459"/>
      <c r="C44" s="1481"/>
      <c r="D44" s="1485"/>
      <c r="E44" s="1485"/>
      <c r="F44" s="1488" t="str">
        <f>+"SUB-TOTAL   "&amp;B41&amp;":  "</f>
        <v xml:space="preserve">SUB-TOTAL   7:  </v>
      </c>
      <c r="G44" s="1457"/>
      <c r="H44" s="1506"/>
      <c r="I44" s="1458"/>
      <c r="J44" s="1468">
        <f>SUM(J42:J43)</f>
        <v>128069.58</v>
      </c>
      <c r="K44" s="1443"/>
      <c r="L44" s="1440" t="str">
        <f>IFERROR(VLOOKUP(D44,#REF!,2,FALSE),"")</f>
        <v/>
      </c>
      <c r="M44" s="1515"/>
      <c r="N44" s="1704"/>
      <c r="O44" s="1515"/>
      <c r="P44" s="1704"/>
      <c r="Q44" s="1439"/>
      <c r="R44" s="1439"/>
      <c r="S44" s="1703"/>
      <c r="T44" s="1703"/>
      <c r="U44" s="1439"/>
      <c r="V44" s="1439"/>
      <c r="W44" s="1440"/>
      <c r="X44" s="1439"/>
      <c r="Y44" s="1439"/>
    </row>
    <row r="45" spans="1:25" ht="16.5">
      <c r="A45" s="1439"/>
      <c r="B45" s="1462">
        <f>1+B41</f>
        <v>8</v>
      </c>
      <c r="C45" s="1481"/>
      <c r="D45" s="1489" t="s">
        <v>382</v>
      </c>
      <c r="E45" s="1485"/>
      <c r="F45" s="1486"/>
      <c r="G45" s="1460"/>
      <c r="H45" s="1504"/>
      <c r="I45" s="1461"/>
      <c r="J45" s="1467"/>
      <c r="K45" s="1443"/>
      <c r="L45" s="1440" t="str">
        <f>IFERROR(VLOOKUP(D45,#REF!,2,FALSE),"")</f>
        <v/>
      </c>
      <c r="M45" s="1515"/>
      <c r="N45" s="1704"/>
      <c r="O45" s="1515"/>
      <c r="P45" s="1704"/>
      <c r="Q45" s="1439"/>
      <c r="R45" s="1439"/>
      <c r="S45" s="1703"/>
      <c r="T45" s="1703"/>
      <c r="U45" s="1439"/>
      <c r="V45" s="1439"/>
      <c r="W45" s="1440"/>
      <c r="X45" s="1439"/>
      <c r="Y45" s="1439"/>
    </row>
    <row r="46" spans="1:25" ht="16.5">
      <c r="A46" s="1439"/>
      <c r="B46" s="1463">
        <f t="shared" ref="B46:B58" si="10">+B45+0.01</f>
        <v>8.01</v>
      </c>
      <c r="C46" s="1481"/>
      <c r="D46" s="1485" t="s">
        <v>4</v>
      </c>
      <c r="E46" s="1485"/>
      <c r="F46" s="1486"/>
      <c r="G46" s="1460" t="s">
        <v>18</v>
      </c>
      <c r="H46" s="1504">
        <v>326</v>
      </c>
      <c r="I46" s="1502">
        <v>10.19</v>
      </c>
      <c r="J46" s="1467">
        <f t="shared" ref="J46:J58" si="11">+ROUND(I46*H46,2)</f>
        <v>3321.94</v>
      </c>
      <c r="K46" s="1443"/>
      <c r="L46" s="1440" t="str">
        <f>IFERROR(VLOOKUP(D46,#REF!,2,FALSE),"")</f>
        <v/>
      </c>
      <c r="M46" s="1515"/>
      <c r="N46" s="1704"/>
      <c r="O46" s="1515"/>
      <c r="P46" s="1704"/>
      <c r="Q46" s="1445"/>
      <c r="R46" s="1439"/>
      <c r="S46" s="1703"/>
      <c r="T46" s="1703"/>
      <c r="U46" s="1439"/>
      <c r="V46" s="1439"/>
      <c r="W46" s="1440"/>
      <c r="X46" s="1439"/>
      <c r="Y46" s="1439"/>
    </row>
    <row r="47" spans="1:25" ht="16.5">
      <c r="A47" s="1439"/>
      <c r="B47" s="1463">
        <f t="shared" si="10"/>
        <v>8.02</v>
      </c>
      <c r="C47" s="1481"/>
      <c r="D47" s="1485" t="s">
        <v>331</v>
      </c>
      <c r="E47" s="1485"/>
      <c r="F47" s="1486"/>
      <c r="G47" s="1460" t="s">
        <v>18</v>
      </c>
      <c r="H47" s="1504">
        <v>2</v>
      </c>
      <c r="I47" s="1502">
        <v>17.38</v>
      </c>
      <c r="J47" s="1467">
        <f t="shared" si="11"/>
        <v>34.76</v>
      </c>
      <c r="K47" s="1443"/>
      <c r="L47" s="1440" t="str">
        <f>IFERROR(VLOOKUP(D47,#REF!,2,FALSE),"")</f>
        <v/>
      </c>
      <c r="M47" s="1515"/>
      <c r="N47" s="1704"/>
      <c r="O47" s="1515"/>
      <c r="P47" s="1704"/>
      <c r="Q47" s="1445"/>
      <c r="R47" s="1439"/>
      <c r="S47" s="1703"/>
      <c r="T47" s="1703"/>
      <c r="U47" s="1439"/>
      <c r="V47" s="1439"/>
      <c r="W47" s="1440"/>
      <c r="X47" s="1439"/>
      <c r="Y47" s="1439"/>
    </row>
    <row r="48" spans="1:25" ht="16.5">
      <c r="B48" s="1463">
        <f t="shared" si="10"/>
        <v>8.0299999999999994</v>
      </c>
      <c r="C48" s="1481"/>
      <c r="D48" s="1485" t="s">
        <v>5</v>
      </c>
      <c r="E48" s="1485"/>
      <c r="F48" s="1486"/>
      <c r="G48" s="1460" t="s">
        <v>18</v>
      </c>
      <c r="H48" s="1504">
        <v>17</v>
      </c>
      <c r="I48" s="1502">
        <v>12.11</v>
      </c>
      <c r="J48" s="1467">
        <f t="shared" si="11"/>
        <v>205.87</v>
      </c>
      <c r="K48" s="1443"/>
      <c r="L48" s="1440" t="str">
        <f>IFERROR(VLOOKUP(D48,#REF!,2,FALSE),"")</f>
        <v/>
      </c>
      <c r="M48" s="1515"/>
      <c r="N48" s="1704"/>
      <c r="O48" s="1515"/>
      <c r="P48" s="1704"/>
      <c r="Q48" s="1445"/>
      <c r="S48" s="1703"/>
      <c r="T48" s="1703"/>
      <c r="W48" s="1440"/>
    </row>
    <row r="49" spans="1:25" ht="16.5">
      <c r="B49" s="1463">
        <f t="shared" si="10"/>
        <v>8.0399999999999991</v>
      </c>
      <c r="C49" s="1481"/>
      <c r="D49" s="1485" t="s">
        <v>369</v>
      </c>
      <c r="E49" s="1485"/>
      <c r="F49" s="1486"/>
      <c r="G49" s="1460" t="s">
        <v>18</v>
      </c>
      <c r="H49" s="1504">
        <v>7</v>
      </c>
      <c r="I49" s="1502">
        <v>11.59</v>
      </c>
      <c r="J49" s="1467">
        <f t="shared" si="11"/>
        <v>81.13</v>
      </c>
      <c r="K49" s="1443"/>
      <c r="L49" s="1440" t="str">
        <f>IFERROR(VLOOKUP(D49,#REF!,2,FALSE),"")</f>
        <v/>
      </c>
      <c r="M49" s="1515"/>
      <c r="N49" s="1704"/>
      <c r="O49" s="1515"/>
      <c r="P49" s="1704"/>
      <c r="Q49" s="1445"/>
      <c r="S49" s="1703"/>
      <c r="T49" s="1703"/>
      <c r="W49" s="1440"/>
    </row>
    <row r="50" spans="1:25" ht="16.5">
      <c r="A50" s="1439"/>
      <c r="B50" s="1463">
        <f t="shared" si="10"/>
        <v>8.0499999999999989</v>
      </c>
      <c r="C50" s="1481"/>
      <c r="D50" s="1485" t="s">
        <v>6</v>
      </c>
      <c r="E50" s="1485"/>
      <c r="F50" s="1486"/>
      <c r="G50" s="1460" t="s">
        <v>18</v>
      </c>
      <c r="H50" s="1504">
        <v>84</v>
      </c>
      <c r="I50" s="1502">
        <v>7.77</v>
      </c>
      <c r="J50" s="1467">
        <f t="shared" si="11"/>
        <v>652.67999999999995</v>
      </c>
      <c r="K50" s="1443"/>
      <c r="L50" s="1440" t="str">
        <f>IFERROR(VLOOKUP(D50,#REF!,2,FALSE),"")</f>
        <v/>
      </c>
      <c r="M50" s="1515"/>
      <c r="N50" s="1704"/>
      <c r="O50" s="1515"/>
      <c r="P50" s="1704"/>
      <c r="Q50" s="1445"/>
      <c r="R50" s="1439"/>
      <c r="S50" s="1703"/>
      <c r="T50" s="1703"/>
      <c r="U50" s="1439"/>
      <c r="V50" s="1439"/>
      <c r="W50" s="1440"/>
      <c r="X50" s="1439"/>
      <c r="Y50" s="1439"/>
    </row>
    <row r="51" spans="1:25" ht="16.5">
      <c r="A51" s="1439"/>
      <c r="B51" s="1463">
        <f t="shared" si="10"/>
        <v>8.0599999999999987</v>
      </c>
      <c r="C51" s="1481"/>
      <c r="D51" s="1485" t="s">
        <v>332</v>
      </c>
      <c r="E51" s="1485"/>
      <c r="F51" s="1486"/>
      <c r="G51" s="1460" t="s">
        <v>18</v>
      </c>
      <c r="H51" s="1504">
        <v>2</v>
      </c>
      <c r="I51" s="1502">
        <v>10.36</v>
      </c>
      <c r="J51" s="1467">
        <f t="shared" si="11"/>
        <v>20.72</v>
      </c>
      <c r="K51" s="1443"/>
      <c r="L51" s="1440" t="str">
        <f>IFERROR(VLOOKUP(D51,#REF!,2,FALSE),"")</f>
        <v/>
      </c>
      <c r="M51" s="1515"/>
      <c r="N51" s="1704"/>
      <c r="O51" s="1515"/>
      <c r="P51" s="1704"/>
      <c r="Q51" s="1445"/>
      <c r="R51" s="1439"/>
      <c r="S51" s="1703"/>
      <c r="T51" s="1703"/>
      <c r="U51" s="1439"/>
      <c r="V51" s="1439"/>
      <c r="W51" s="1440"/>
      <c r="X51" s="1439"/>
      <c r="Y51" s="1439"/>
    </row>
    <row r="52" spans="1:25" ht="16.5">
      <c r="A52" s="1439"/>
      <c r="B52" s="1463">
        <f t="shared" si="10"/>
        <v>8.0699999999999985</v>
      </c>
      <c r="C52" s="1481"/>
      <c r="D52" s="1485" t="s">
        <v>192</v>
      </c>
      <c r="E52" s="1485"/>
      <c r="F52" s="1486"/>
      <c r="G52" s="1460" t="s">
        <v>187</v>
      </c>
      <c r="H52" s="1504">
        <v>1052.3</v>
      </c>
      <c r="I52" s="1502">
        <v>1.41</v>
      </c>
      <c r="J52" s="1467">
        <f t="shared" si="11"/>
        <v>1483.74</v>
      </c>
      <c r="K52" s="1443"/>
      <c r="L52" s="1440" t="str">
        <f>IFERROR(VLOOKUP(D52,#REF!,2,FALSE),"")</f>
        <v/>
      </c>
      <c r="M52" s="1515"/>
      <c r="N52" s="1704"/>
      <c r="O52" s="1515"/>
      <c r="P52" s="1704"/>
      <c r="Q52" s="1445"/>
      <c r="R52" s="1439"/>
      <c r="S52" s="1703"/>
      <c r="T52" s="1703"/>
      <c r="U52" s="1439"/>
      <c r="V52" s="1439"/>
      <c r="W52" s="1440"/>
      <c r="X52" s="1439"/>
      <c r="Y52" s="1439"/>
    </row>
    <row r="53" spans="1:25" ht="16.5">
      <c r="A53" s="1439"/>
      <c r="B53" s="1463">
        <f t="shared" si="10"/>
        <v>8.0799999999999983</v>
      </c>
      <c r="C53" s="1481"/>
      <c r="D53" s="1485" t="s">
        <v>333</v>
      </c>
      <c r="E53" s="1485"/>
      <c r="F53" s="1486"/>
      <c r="G53" s="1460" t="s">
        <v>18</v>
      </c>
      <c r="H53" s="1504">
        <v>4</v>
      </c>
      <c r="I53" s="1502">
        <v>36.01</v>
      </c>
      <c r="J53" s="1467">
        <f t="shared" si="11"/>
        <v>144.04</v>
      </c>
      <c r="K53" s="1443"/>
      <c r="L53" s="1440" t="str">
        <f>IFERROR(VLOOKUP(D53,#REF!,2,FALSE),"")</f>
        <v/>
      </c>
      <c r="M53" s="1515"/>
      <c r="N53" s="1704"/>
      <c r="O53" s="1515"/>
      <c r="P53" s="1704"/>
      <c r="Q53" s="1445"/>
      <c r="R53" s="1439"/>
      <c r="S53" s="1703"/>
      <c r="T53" s="1703"/>
      <c r="U53" s="1439"/>
      <c r="V53" s="1439"/>
      <c r="W53" s="1440"/>
      <c r="X53" s="1439"/>
      <c r="Y53" s="1439"/>
    </row>
    <row r="54" spans="1:25" ht="16.5">
      <c r="A54" s="1439"/>
      <c r="B54" s="1463">
        <f t="shared" si="10"/>
        <v>8.0899999999999981</v>
      </c>
      <c r="C54" s="1481"/>
      <c r="D54" s="1485" t="s">
        <v>334</v>
      </c>
      <c r="E54" s="1485"/>
      <c r="F54" s="1486"/>
      <c r="G54" s="1460" t="s">
        <v>18</v>
      </c>
      <c r="H54" s="1504">
        <v>8</v>
      </c>
      <c r="I54" s="1502">
        <v>44.34</v>
      </c>
      <c r="J54" s="1467">
        <f t="shared" si="11"/>
        <v>354.72</v>
      </c>
      <c r="K54" s="1443"/>
      <c r="L54" s="1440" t="str">
        <f>IFERROR(VLOOKUP(D54,#REF!,2,FALSE),"")</f>
        <v/>
      </c>
      <c r="M54" s="1515"/>
      <c r="N54" s="1704"/>
      <c r="O54" s="1515"/>
      <c r="P54" s="1704"/>
      <c r="Q54" s="1439"/>
      <c r="R54" s="1439"/>
      <c r="S54" s="1703"/>
      <c r="T54" s="1703"/>
      <c r="U54" s="1439"/>
      <c r="V54" s="1439"/>
      <c r="W54" s="1440"/>
      <c r="X54" s="1439"/>
      <c r="Y54" s="1439"/>
    </row>
    <row r="55" spans="1:25" ht="16.5">
      <c r="A55" s="1439"/>
      <c r="B55" s="1463">
        <f t="shared" si="10"/>
        <v>8.0999999999999979</v>
      </c>
      <c r="C55" s="1481"/>
      <c r="D55" s="1485" t="s">
        <v>307</v>
      </c>
      <c r="E55" s="1485"/>
      <c r="F55" s="1486"/>
      <c r="G55" s="1460" t="s">
        <v>18</v>
      </c>
      <c r="H55" s="1504">
        <v>14</v>
      </c>
      <c r="I55" s="1502">
        <v>29.37</v>
      </c>
      <c r="J55" s="1467">
        <f t="shared" si="11"/>
        <v>411.18</v>
      </c>
      <c r="K55" s="1443"/>
      <c r="L55" s="1440" t="str">
        <f>IFERROR(VLOOKUP(D55,#REF!,2,FALSE),"")</f>
        <v/>
      </c>
      <c r="M55" s="1515"/>
      <c r="N55" s="1704"/>
      <c r="O55" s="1515"/>
      <c r="P55" s="1704"/>
      <c r="Q55" s="1445"/>
      <c r="R55" s="1439"/>
      <c r="S55" s="1703"/>
      <c r="T55" s="1703"/>
      <c r="U55" s="1439"/>
      <c r="V55" s="1439"/>
      <c r="W55" s="1440"/>
      <c r="X55" s="1439"/>
      <c r="Y55" s="1439"/>
    </row>
    <row r="56" spans="1:25" ht="16.5">
      <c r="A56" s="1439"/>
      <c r="B56" s="1463">
        <f t="shared" si="10"/>
        <v>8.1099999999999977</v>
      </c>
      <c r="C56" s="1481"/>
      <c r="D56" s="1485" t="s">
        <v>572</v>
      </c>
      <c r="E56" s="1485"/>
      <c r="F56" s="1486"/>
      <c r="G56" s="1460" t="s">
        <v>18</v>
      </c>
      <c r="H56" s="1461">
        <v>4</v>
      </c>
      <c r="I56" s="1502">
        <v>47.48</v>
      </c>
      <c r="J56" s="1467">
        <f t="shared" si="11"/>
        <v>189.92</v>
      </c>
      <c r="K56" s="1443"/>
      <c r="L56" s="1440" t="str">
        <f>IFERROR(VLOOKUP(D56,#REF!,2,FALSE),"")</f>
        <v/>
      </c>
      <c r="M56" s="1515"/>
      <c r="N56" s="1704"/>
      <c r="O56" s="1515"/>
      <c r="P56" s="1704"/>
      <c r="Q56" s="1445"/>
      <c r="R56" s="1439"/>
      <c r="S56" s="1703"/>
      <c r="T56" s="1703"/>
      <c r="U56" s="1439"/>
      <c r="V56" s="1439"/>
      <c r="W56" s="1440"/>
      <c r="X56" s="1439"/>
      <c r="Y56" s="1439"/>
    </row>
    <row r="57" spans="1:25" ht="16.5">
      <c r="A57" s="1439"/>
      <c r="B57" s="1463">
        <f t="shared" si="10"/>
        <v>8.1199999999999974</v>
      </c>
      <c r="C57" s="1481"/>
      <c r="D57" s="1485" t="s">
        <v>193</v>
      </c>
      <c r="E57" s="1485"/>
      <c r="F57" s="1486"/>
      <c r="G57" s="1460" t="s">
        <v>18</v>
      </c>
      <c r="H57" s="1461">
        <v>129</v>
      </c>
      <c r="I57" s="1502">
        <v>25.34</v>
      </c>
      <c r="J57" s="1467">
        <f t="shared" si="11"/>
        <v>3268.86</v>
      </c>
      <c r="K57" s="1443"/>
      <c r="L57" s="1440" t="str">
        <f>IFERROR(VLOOKUP(D57,#REF!,2,FALSE),"")</f>
        <v/>
      </c>
      <c r="M57" s="1515"/>
      <c r="N57" s="1704"/>
      <c r="O57" s="1515"/>
      <c r="P57" s="1704"/>
      <c r="Q57" s="1445"/>
      <c r="R57" s="1439"/>
      <c r="S57" s="1703"/>
      <c r="T57" s="1703"/>
      <c r="U57" s="1439"/>
      <c r="V57" s="1439"/>
      <c r="W57" s="1440"/>
      <c r="X57" s="1439"/>
      <c r="Y57" s="1439"/>
    </row>
    <row r="58" spans="1:25" ht="16.5">
      <c r="A58" s="1439"/>
      <c r="B58" s="1463">
        <f t="shared" si="10"/>
        <v>8.1299999999999972</v>
      </c>
      <c r="C58" s="1481"/>
      <c r="D58" s="1485" t="s">
        <v>335</v>
      </c>
      <c r="E58" s="1485"/>
      <c r="F58" s="1486"/>
      <c r="G58" s="1460" t="s">
        <v>18</v>
      </c>
      <c r="H58" s="1461">
        <v>8</v>
      </c>
      <c r="I58" s="1502">
        <v>49.03</v>
      </c>
      <c r="J58" s="1467">
        <f t="shared" si="11"/>
        <v>392.24</v>
      </c>
      <c r="K58" s="1443"/>
      <c r="L58" s="1440" t="str">
        <f>IFERROR(VLOOKUP(D58,#REF!,2,FALSE),"")</f>
        <v/>
      </c>
      <c r="M58" s="1515"/>
      <c r="N58" s="1704"/>
      <c r="O58" s="1515"/>
      <c r="P58" s="1704"/>
      <c r="Q58" s="1439"/>
      <c r="R58" s="1439"/>
      <c r="S58" s="1703"/>
      <c r="T58" s="1703"/>
      <c r="U58" s="1439"/>
      <c r="V58" s="1439"/>
      <c r="W58" s="1440"/>
      <c r="X58" s="1439"/>
      <c r="Y58" s="1439"/>
    </row>
    <row r="59" spans="1:25" ht="16.5">
      <c r="A59" s="1439"/>
      <c r="B59" s="1459"/>
      <c r="C59" s="1481"/>
      <c r="D59" s="1485"/>
      <c r="E59" s="1485"/>
      <c r="F59" s="1488" t="str">
        <f>+"SUB-TOTAL   "&amp;B45&amp;":  "</f>
        <v xml:space="preserve">SUB-TOTAL   8:  </v>
      </c>
      <c r="G59" s="1457"/>
      <c r="H59" s="1458"/>
      <c r="I59" s="1458"/>
      <c r="J59" s="1468">
        <f>SUM(J46:J58)</f>
        <v>10561.800000000001</v>
      </c>
      <c r="K59" s="1443"/>
      <c r="L59" s="1440" t="str">
        <f>IFERROR(VLOOKUP(D59,#REF!,2,FALSE),"")</f>
        <v/>
      </c>
      <c r="M59" s="1515"/>
      <c r="N59" s="1704"/>
      <c r="O59" s="1515"/>
      <c r="P59" s="1704"/>
      <c r="Q59" s="1439"/>
      <c r="R59" s="1439"/>
      <c r="S59" s="1703"/>
      <c r="T59" s="1703"/>
      <c r="U59" s="1439"/>
      <c r="V59" s="1439"/>
      <c r="W59" s="1440"/>
      <c r="X59" s="1439"/>
      <c r="Y59" s="1439"/>
    </row>
    <row r="60" spans="1:25" ht="16.5">
      <c r="A60" s="1439"/>
      <c r="B60" s="1462">
        <f>1+B45</f>
        <v>9</v>
      </c>
      <c r="C60" s="1481"/>
      <c r="D60" s="1489" t="s">
        <v>17</v>
      </c>
      <c r="E60" s="1485"/>
      <c r="F60" s="1486"/>
      <c r="G60" s="1460"/>
      <c r="H60" s="1461"/>
      <c r="I60" s="1461"/>
      <c r="J60" s="1467"/>
      <c r="K60" s="1443"/>
      <c r="L60" s="1440" t="str">
        <f>IFERROR(VLOOKUP(D60,#REF!,2,FALSE),"")</f>
        <v/>
      </c>
      <c r="M60" s="1515"/>
      <c r="N60" s="1704"/>
      <c r="O60" s="1515"/>
      <c r="P60" s="1704"/>
      <c r="Q60" s="1439"/>
      <c r="R60" s="1439"/>
      <c r="S60" s="1703"/>
      <c r="T60" s="1703"/>
      <c r="U60" s="1439"/>
      <c r="V60" s="1439"/>
      <c r="W60" s="1440"/>
      <c r="X60" s="1439"/>
      <c r="Y60" s="1439"/>
    </row>
    <row r="61" spans="1:25" ht="30.75" customHeight="1">
      <c r="A61" s="1439"/>
      <c r="B61" s="1463">
        <f t="shared" ref="B61" si="12">+B60+0.01</f>
        <v>9.01</v>
      </c>
      <c r="C61" s="1481"/>
      <c r="D61" s="2054" t="s">
        <v>336</v>
      </c>
      <c r="E61" s="2054"/>
      <c r="F61" s="2055"/>
      <c r="G61" s="1460" t="s">
        <v>187</v>
      </c>
      <c r="H61" s="1461">
        <v>2936.1</v>
      </c>
      <c r="I61" s="1502">
        <v>12.8</v>
      </c>
      <c r="J61" s="1467">
        <f t="shared" ref="J61" si="13">+ROUND(I61*H61,2)</f>
        <v>37582.080000000002</v>
      </c>
      <c r="K61" s="1443"/>
      <c r="L61" s="1440" t="str">
        <f>IFERROR(VLOOKUP(D61,#REF!,2,FALSE),"")</f>
        <v/>
      </c>
      <c r="M61" s="1515"/>
      <c r="N61" s="1704"/>
      <c r="O61" s="1515"/>
      <c r="P61" s="1704"/>
      <c r="Q61" s="1445"/>
      <c r="R61" s="1439"/>
      <c r="S61" s="1703"/>
      <c r="T61" s="1703"/>
      <c r="U61" s="1439"/>
      <c r="V61" s="1439"/>
      <c r="W61" s="1440"/>
      <c r="X61" s="1439"/>
      <c r="Y61" s="1439"/>
    </row>
    <row r="62" spans="1:25" ht="16.5">
      <c r="A62" s="1439"/>
      <c r="B62" s="1462"/>
      <c r="C62" s="1481"/>
      <c r="D62" s="1485"/>
      <c r="E62" s="1485"/>
      <c r="F62" s="1488" t="str">
        <f>+"SUB-TOTAL   "&amp;B60&amp;":  "</f>
        <v xml:space="preserve">SUB-TOTAL   9:  </v>
      </c>
      <c r="G62" s="1457"/>
      <c r="H62" s="1458"/>
      <c r="I62" s="1458"/>
      <c r="J62" s="1468">
        <f>+SUM(J61:J61)</f>
        <v>37582.080000000002</v>
      </c>
      <c r="K62" s="1443"/>
      <c r="L62" s="1440" t="str">
        <f>IFERROR(VLOOKUP(D62,#REF!,2,FALSE),"")</f>
        <v/>
      </c>
      <c r="M62" s="1515"/>
      <c r="N62" s="1704"/>
      <c r="O62" s="1515"/>
      <c r="P62" s="1704"/>
      <c r="Q62" s="1439"/>
      <c r="R62" s="1439"/>
      <c r="S62" s="1703"/>
      <c r="T62" s="1703"/>
      <c r="U62" s="1439"/>
      <c r="V62" s="1439"/>
      <c r="W62" s="1440"/>
      <c r="X62" s="1439"/>
      <c r="Y62" s="1439"/>
    </row>
    <row r="63" spans="1:25" ht="16.5">
      <c r="A63" s="1439"/>
      <c r="B63" s="1462">
        <f>1+B60</f>
        <v>10</v>
      </c>
      <c r="C63" s="1481"/>
      <c r="D63" s="1489" t="s">
        <v>276</v>
      </c>
      <c r="E63" s="1485"/>
      <c r="F63" s="1486"/>
      <c r="G63" s="1460"/>
      <c r="H63" s="1461"/>
      <c r="I63" s="1461"/>
      <c r="J63" s="1467"/>
      <c r="K63" s="1443"/>
      <c r="L63" s="1440" t="str">
        <f>IFERROR(VLOOKUP(D63,#REF!,2,FALSE),"")</f>
        <v/>
      </c>
      <c r="M63" s="1515"/>
      <c r="N63" s="1704"/>
      <c r="O63" s="1515"/>
      <c r="P63" s="1704"/>
      <c r="Q63" s="1439"/>
      <c r="R63" s="1439"/>
      <c r="S63" s="1703"/>
      <c r="T63" s="1703"/>
      <c r="U63" s="1439"/>
      <c r="V63" s="1439"/>
      <c r="W63" s="1440"/>
      <c r="X63" s="1439"/>
      <c r="Y63" s="1439"/>
    </row>
    <row r="64" spans="1:25" ht="34.5" customHeight="1">
      <c r="A64" s="1439"/>
      <c r="B64" s="1463">
        <f t="shared" ref="B64:B70" si="14">+B63+0.01</f>
        <v>10.01</v>
      </c>
      <c r="C64" s="1481"/>
      <c r="D64" s="2054" t="s">
        <v>370</v>
      </c>
      <c r="E64" s="2054"/>
      <c r="F64" s="2055"/>
      <c r="G64" s="1460" t="s">
        <v>18</v>
      </c>
      <c r="H64" s="1461">
        <v>9</v>
      </c>
      <c r="I64" s="1502">
        <v>3.86</v>
      </c>
      <c r="J64" s="1467">
        <f t="shared" ref="J64:J83" si="15">+ROUND(I64*H64,2)</f>
        <v>34.74</v>
      </c>
      <c r="K64" s="1443"/>
      <c r="L64" s="1440" t="str">
        <f>IFERROR(VLOOKUP(D64,#REF!,2,FALSE),"")</f>
        <v/>
      </c>
      <c r="M64" s="1515"/>
      <c r="N64" s="1704"/>
      <c r="O64" s="1515"/>
      <c r="P64" s="1704"/>
      <c r="Q64" s="1445"/>
      <c r="R64" s="1439"/>
      <c r="S64" s="1703"/>
      <c r="T64" s="1703"/>
      <c r="U64" s="1439"/>
      <c r="V64" s="1439"/>
      <c r="W64" s="1440"/>
      <c r="X64" s="1439"/>
      <c r="Y64" s="1439"/>
    </row>
    <row r="65" spans="1:25" ht="16.5">
      <c r="A65" s="1439"/>
      <c r="B65" s="1463">
        <f t="shared" si="14"/>
        <v>10.02</v>
      </c>
      <c r="C65" s="1481"/>
      <c r="D65" s="1485" t="s">
        <v>314</v>
      </c>
      <c r="E65" s="1485"/>
      <c r="F65" s="1486"/>
      <c r="G65" s="1460" t="s">
        <v>18</v>
      </c>
      <c r="H65" s="1461">
        <v>26</v>
      </c>
      <c r="I65" s="1502">
        <v>5.57</v>
      </c>
      <c r="J65" s="1467">
        <f t="shared" si="15"/>
        <v>144.82</v>
      </c>
      <c r="K65" s="1443"/>
      <c r="L65" s="1440" t="str">
        <f>IFERROR(VLOOKUP(D65,#REF!,2,FALSE),"")</f>
        <v/>
      </c>
      <c r="M65" s="1515"/>
      <c r="N65" s="1704"/>
      <c r="O65" s="1515"/>
      <c r="P65" s="1704"/>
      <c r="Q65" s="1445"/>
      <c r="R65" s="1439"/>
      <c r="S65" s="1703"/>
      <c r="T65" s="1703"/>
      <c r="U65" s="1439"/>
      <c r="V65" s="1439"/>
      <c r="W65" s="1440"/>
      <c r="X65" s="1439"/>
      <c r="Y65" s="1439"/>
    </row>
    <row r="66" spans="1:25" ht="16.5">
      <c r="A66" s="1439"/>
      <c r="B66" s="1463">
        <f t="shared" si="14"/>
        <v>10.029999999999999</v>
      </c>
      <c r="C66" s="1481"/>
      <c r="D66" s="1485" t="s">
        <v>315</v>
      </c>
      <c r="E66" s="1485"/>
      <c r="F66" s="1486"/>
      <c r="G66" s="1460" t="s">
        <v>18</v>
      </c>
      <c r="H66" s="1461">
        <v>7</v>
      </c>
      <c r="I66" s="1502">
        <v>6.25</v>
      </c>
      <c r="J66" s="1467">
        <f t="shared" si="15"/>
        <v>43.75</v>
      </c>
      <c r="K66" s="1443"/>
      <c r="L66" s="1440" t="str">
        <f>IFERROR(VLOOKUP(D66,#REF!,2,FALSE),"")</f>
        <v/>
      </c>
      <c r="M66" s="1515"/>
      <c r="N66" s="1704"/>
      <c r="O66" s="1515"/>
      <c r="P66" s="1704"/>
      <c r="Q66" s="1445"/>
      <c r="R66" s="1439"/>
      <c r="S66" s="1703"/>
      <c r="T66" s="1703"/>
      <c r="U66" s="1439"/>
      <c r="V66" s="1439"/>
      <c r="W66" s="1440"/>
      <c r="X66" s="1439"/>
      <c r="Y66" s="1439"/>
    </row>
    <row r="67" spans="1:25" ht="16.5">
      <c r="A67" s="1439"/>
      <c r="B67" s="1463">
        <f t="shared" si="14"/>
        <v>10.039999999999999</v>
      </c>
      <c r="C67" s="1481"/>
      <c r="D67" s="1485" t="s">
        <v>308</v>
      </c>
      <c r="E67" s="1485"/>
      <c r="F67" s="1486"/>
      <c r="G67" s="1460" t="s">
        <v>18</v>
      </c>
      <c r="H67" s="1461">
        <v>18</v>
      </c>
      <c r="I67" s="1502">
        <v>8.61</v>
      </c>
      <c r="J67" s="1467">
        <f t="shared" si="15"/>
        <v>154.97999999999999</v>
      </c>
      <c r="K67" s="1443"/>
      <c r="L67" s="1440" t="str">
        <f>IFERROR(VLOOKUP(D67,#REF!,2,FALSE),"")</f>
        <v/>
      </c>
      <c r="M67" s="1515"/>
      <c r="N67" s="1704"/>
      <c r="O67" s="1515"/>
      <c r="P67" s="1704"/>
      <c r="Q67" s="1445"/>
      <c r="R67" s="1439"/>
      <c r="S67" s="1703"/>
      <c r="T67" s="1703"/>
      <c r="U67" s="1439"/>
      <c r="V67" s="1439"/>
      <c r="W67" s="1440"/>
      <c r="X67" s="1439"/>
      <c r="Y67" s="1439"/>
    </row>
    <row r="68" spans="1:25" ht="16.5">
      <c r="A68" s="1439"/>
      <c r="B68" s="1463">
        <f t="shared" si="14"/>
        <v>10.049999999999999</v>
      </c>
      <c r="C68" s="1481"/>
      <c r="D68" s="1485" t="s">
        <v>11</v>
      </c>
      <c r="E68" s="1485"/>
      <c r="F68" s="1486"/>
      <c r="G68" s="1473" t="s">
        <v>18</v>
      </c>
      <c r="H68" s="1504">
        <v>18</v>
      </c>
      <c r="I68" s="1502">
        <v>9.14</v>
      </c>
      <c r="J68" s="1467">
        <f t="shared" si="15"/>
        <v>164.52</v>
      </c>
      <c r="K68" s="1443"/>
      <c r="L68" s="1440" t="str">
        <f>IFERROR(VLOOKUP(D68,#REF!,2,FALSE),"")</f>
        <v/>
      </c>
      <c r="M68" s="1515"/>
      <c r="N68" s="1704"/>
      <c r="O68" s="1515"/>
      <c r="P68" s="1704"/>
      <c r="Q68" s="1445"/>
      <c r="R68" s="1439"/>
      <c r="S68" s="1703"/>
      <c r="T68" s="1703"/>
      <c r="U68" s="1439"/>
      <c r="V68" s="1439"/>
      <c r="W68" s="1440"/>
      <c r="X68" s="1439"/>
      <c r="Y68" s="1439"/>
    </row>
    <row r="69" spans="1:25" ht="16.5">
      <c r="A69" s="1439"/>
      <c r="B69" s="1463">
        <f t="shared" si="14"/>
        <v>10.059999999999999</v>
      </c>
      <c r="C69" s="1481"/>
      <c r="D69" s="1485" t="s">
        <v>292</v>
      </c>
      <c r="E69" s="1485"/>
      <c r="F69" s="1486"/>
      <c r="G69" s="1473" t="s">
        <v>18</v>
      </c>
      <c r="H69" s="1504">
        <v>8</v>
      </c>
      <c r="I69" s="1502">
        <v>9.82</v>
      </c>
      <c r="J69" s="1467">
        <f t="shared" si="15"/>
        <v>78.56</v>
      </c>
      <c r="K69" s="1443"/>
      <c r="L69" s="1440" t="str">
        <f>IFERROR(VLOOKUP(D69,#REF!,2,FALSE),"")</f>
        <v/>
      </c>
      <c r="M69" s="1515"/>
      <c r="N69" s="1704"/>
      <c r="O69" s="1515"/>
      <c r="P69" s="1704"/>
      <c r="Q69" s="1445"/>
      <c r="R69" s="1439"/>
      <c r="S69" s="1703"/>
      <c r="T69" s="1703"/>
      <c r="U69" s="1439"/>
      <c r="V69" s="1439"/>
      <c r="W69" s="1440"/>
      <c r="X69" s="1439"/>
      <c r="Y69" s="1439"/>
    </row>
    <row r="70" spans="1:25" ht="16.5">
      <c r="A70" s="1439"/>
      <c r="B70" s="1463">
        <f t="shared" si="14"/>
        <v>10.069999999999999</v>
      </c>
      <c r="C70" s="1481"/>
      <c r="D70" s="1485" t="s">
        <v>305</v>
      </c>
      <c r="E70" s="1485"/>
      <c r="F70" s="1486"/>
      <c r="G70" s="1473" t="s">
        <v>18</v>
      </c>
      <c r="H70" s="1504">
        <v>3</v>
      </c>
      <c r="I70" s="1502">
        <v>12.54</v>
      </c>
      <c r="J70" s="1467">
        <f t="shared" si="15"/>
        <v>37.619999999999997</v>
      </c>
      <c r="K70" s="1443"/>
      <c r="L70" s="1440" t="str">
        <f>IFERROR(VLOOKUP(D70,#REF!,2,FALSE),"")</f>
        <v/>
      </c>
      <c r="M70" s="1515"/>
      <c r="N70" s="1704"/>
      <c r="O70" s="1515"/>
      <c r="P70" s="1704"/>
      <c r="Q70" s="1445"/>
      <c r="R70" s="1439"/>
      <c r="S70" s="1703"/>
      <c r="T70" s="1703"/>
      <c r="U70" s="1439"/>
      <c r="V70" s="1439"/>
      <c r="W70" s="1440"/>
      <c r="X70" s="1439"/>
      <c r="Y70" s="1439"/>
    </row>
    <row r="71" spans="1:25" ht="16.5">
      <c r="A71" s="1439"/>
      <c r="B71" s="1463">
        <f>+B70+0.01</f>
        <v>10.079999999999998</v>
      </c>
      <c r="C71" s="1481"/>
      <c r="D71" s="2054" t="s">
        <v>312</v>
      </c>
      <c r="E71" s="2054"/>
      <c r="F71" s="2055"/>
      <c r="G71" s="1473" t="s">
        <v>18</v>
      </c>
      <c r="H71" s="1504">
        <v>380</v>
      </c>
      <c r="I71" s="1502">
        <v>18.18</v>
      </c>
      <c r="J71" s="1467">
        <f t="shared" si="15"/>
        <v>6908.4</v>
      </c>
      <c r="K71" s="1443"/>
      <c r="L71" s="1440" t="str">
        <f>IFERROR(VLOOKUP(D71,#REF!,2,FALSE),"")</f>
        <v/>
      </c>
      <c r="M71" s="1515"/>
      <c r="N71" s="1704"/>
      <c r="O71" s="1515"/>
      <c r="P71" s="1704"/>
      <c r="Q71" s="1445"/>
      <c r="R71" s="1439"/>
      <c r="S71" s="1703"/>
      <c r="T71" s="1703"/>
      <c r="U71" s="1439"/>
      <c r="V71" s="1439"/>
      <c r="W71" s="1440"/>
      <c r="X71" s="1439"/>
      <c r="Y71" s="1439"/>
    </row>
    <row r="72" spans="1:25" ht="16.5">
      <c r="A72" s="1439"/>
      <c r="B72" s="1463">
        <f t="shared" ref="B72:B83" si="16">+B71+0.01</f>
        <v>10.089999999999998</v>
      </c>
      <c r="C72" s="1481"/>
      <c r="D72" s="1485" t="s">
        <v>313</v>
      </c>
      <c r="E72" s="1485"/>
      <c r="F72" s="1486"/>
      <c r="G72" s="1473" t="s">
        <v>18</v>
      </c>
      <c r="H72" s="1504">
        <v>61</v>
      </c>
      <c r="I72" s="1502">
        <v>13.11</v>
      </c>
      <c r="J72" s="1467">
        <f t="shared" si="15"/>
        <v>799.71</v>
      </c>
      <c r="K72" s="1443"/>
      <c r="L72" s="1440" t="str">
        <f>IFERROR(VLOOKUP(D72,#REF!,2,FALSE),"")</f>
        <v/>
      </c>
      <c r="M72" s="1515"/>
      <c r="N72" s="1704"/>
      <c r="O72" s="1515"/>
      <c r="P72" s="1704"/>
      <c r="Q72" s="1445"/>
      <c r="R72" s="1439"/>
      <c r="S72" s="1703"/>
      <c r="T72" s="1703"/>
      <c r="U72" s="1439"/>
      <c r="V72" s="1439"/>
      <c r="W72" s="1440"/>
      <c r="X72" s="1439"/>
      <c r="Y72" s="1439"/>
    </row>
    <row r="73" spans="1:25" ht="16.5">
      <c r="A73" s="1439"/>
      <c r="B73" s="1463">
        <f t="shared" si="16"/>
        <v>10.099999999999998</v>
      </c>
      <c r="C73" s="1481"/>
      <c r="D73" s="1485" t="s">
        <v>293</v>
      </c>
      <c r="E73" s="1485"/>
      <c r="F73" s="1486"/>
      <c r="G73" s="1473" t="s">
        <v>18</v>
      </c>
      <c r="H73" s="1504">
        <v>47</v>
      </c>
      <c r="I73" s="1502">
        <v>14.35</v>
      </c>
      <c r="J73" s="1467">
        <f t="shared" si="15"/>
        <v>674.45</v>
      </c>
      <c r="K73" s="1443"/>
      <c r="L73" s="1440" t="str">
        <f>IFERROR(VLOOKUP(D73,#REF!,2,FALSE),"")</f>
        <v/>
      </c>
      <c r="M73" s="1515"/>
      <c r="N73" s="1704"/>
      <c r="O73" s="1515"/>
      <c r="P73" s="1704"/>
      <c r="Q73" s="1445"/>
      <c r="R73" s="1439"/>
      <c r="S73" s="1703"/>
      <c r="T73" s="1703"/>
      <c r="U73" s="1439"/>
      <c r="V73" s="1439"/>
      <c r="W73" s="1440"/>
      <c r="X73" s="1439"/>
      <c r="Y73" s="1439"/>
    </row>
    <row r="74" spans="1:25" ht="16.5">
      <c r="A74" s="1439"/>
      <c r="B74" s="1463">
        <f t="shared" si="16"/>
        <v>10.109999999999998</v>
      </c>
      <c r="C74" s="1481"/>
      <c r="D74" s="1485" t="s">
        <v>337</v>
      </c>
      <c r="E74" s="1485"/>
      <c r="F74" s="1486"/>
      <c r="G74" s="1473" t="s">
        <v>18</v>
      </c>
      <c r="H74" s="1504">
        <v>9</v>
      </c>
      <c r="I74" s="1502">
        <v>14.6</v>
      </c>
      <c r="J74" s="1467">
        <f t="shared" si="15"/>
        <v>131.4</v>
      </c>
      <c r="K74" s="1443"/>
      <c r="L74" s="1440" t="str">
        <f>IFERROR(VLOOKUP(D74,#REF!,2,FALSE),"")</f>
        <v/>
      </c>
      <c r="M74" s="1515"/>
      <c r="N74" s="1704"/>
      <c r="O74" s="1515"/>
      <c r="P74" s="1704"/>
      <c r="Q74" s="1445"/>
      <c r="R74" s="1439"/>
      <c r="S74" s="1703"/>
      <c r="T74" s="1703"/>
      <c r="U74" s="1439"/>
      <c r="V74" s="1439"/>
      <c r="W74" s="1440"/>
      <c r="X74" s="1439"/>
      <c r="Y74" s="1439"/>
    </row>
    <row r="75" spans="1:25" ht="16.5">
      <c r="A75" s="1439"/>
      <c r="B75" s="1463">
        <f t="shared" si="16"/>
        <v>10.119999999999997</v>
      </c>
      <c r="C75" s="1481"/>
      <c r="D75" s="1485" t="s">
        <v>12</v>
      </c>
      <c r="E75" s="1485"/>
      <c r="F75" s="1486"/>
      <c r="G75" s="1473" t="s">
        <v>18</v>
      </c>
      <c r="H75" s="1504">
        <v>38</v>
      </c>
      <c r="I75" s="1502">
        <v>11.17</v>
      </c>
      <c r="J75" s="1467">
        <f t="shared" si="15"/>
        <v>424.46</v>
      </c>
      <c r="K75" s="1443"/>
      <c r="L75" s="1440" t="str">
        <f>IFERROR(VLOOKUP(D75,#REF!,2,FALSE),"")</f>
        <v/>
      </c>
      <c r="M75" s="1515"/>
      <c r="N75" s="1704"/>
      <c r="O75" s="1515"/>
      <c r="P75" s="1704"/>
      <c r="Q75" s="1445"/>
      <c r="R75" s="1439"/>
      <c r="S75" s="1703"/>
      <c r="T75" s="1703"/>
      <c r="U75" s="1439"/>
      <c r="V75" s="1439"/>
      <c r="W75" s="1440"/>
      <c r="X75" s="1439"/>
      <c r="Y75" s="1439"/>
    </row>
    <row r="76" spans="1:25" ht="16.5">
      <c r="A76" s="1439"/>
      <c r="B76" s="1463">
        <f t="shared" si="16"/>
        <v>10.129999999999997</v>
      </c>
      <c r="C76" s="1481"/>
      <c r="D76" s="1485" t="s">
        <v>338</v>
      </c>
      <c r="E76" s="1485"/>
      <c r="F76" s="1486"/>
      <c r="G76" s="1473" t="s">
        <v>18</v>
      </c>
      <c r="H76" s="1504">
        <v>4</v>
      </c>
      <c r="I76" s="1502">
        <v>2.74</v>
      </c>
      <c r="J76" s="1467">
        <f t="shared" si="15"/>
        <v>10.96</v>
      </c>
      <c r="K76" s="1443"/>
      <c r="L76" s="1440" t="str">
        <f>IFERROR(VLOOKUP(D76,#REF!,2,FALSE),"")</f>
        <v/>
      </c>
      <c r="M76" s="1515"/>
      <c r="N76" s="1704"/>
      <c r="O76" s="1515"/>
      <c r="P76" s="1704"/>
      <c r="Q76" s="1445"/>
      <c r="R76" s="1439"/>
      <c r="S76" s="1703"/>
      <c r="T76" s="1703"/>
      <c r="U76" s="1439"/>
      <c r="V76" s="1439"/>
      <c r="W76" s="1440"/>
      <c r="X76" s="1439"/>
      <c r="Y76" s="1439"/>
    </row>
    <row r="77" spans="1:25" ht="16.5">
      <c r="A77" s="1439"/>
      <c r="B77" s="1463">
        <f t="shared" si="16"/>
        <v>10.139999999999997</v>
      </c>
      <c r="C77" s="1481"/>
      <c r="D77" s="1485" t="s">
        <v>151</v>
      </c>
      <c r="E77" s="1485"/>
      <c r="F77" s="1486"/>
      <c r="G77" s="1473" t="s">
        <v>18</v>
      </c>
      <c r="H77" s="1504">
        <v>13</v>
      </c>
      <c r="I77" s="1502">
        <v>22.46</v>
      </c>
      <c r="J77" s="1467">
        <f t="shared" si="15"/>
        <v>291.98</v>
      </c>
      <c r="K77" s="1443"/>
      <c r="L77" s="1440" t="str">
        <f>IFERROR(VLOOKUP(D77,#REF!,2,FALSE),"")</f>
        <v/>
      </c>
      <c r="M77" s="1515"/>
      <c r="N77" s="1704"/>
      <c r="O77" s="1515"/>
      <c r="P77" s="1704"/>
      <c r="Q77" s="1445"/>
      <c r="R77" s="1439"/>
      <c r="S77" s="1703"/>
      <c r="T77" s="1703"/>
      <c r="U77" s="1439"/>
      <c r="V77" s="1439"/>
      <c r="W77" s="1440"/>
      <c r="X77" s="1439"/>
      <c r="Y77" s="1439"/>
    </row>
    <row r="78" spans="1:25" ht="16.5">
      <c r="A78" s="1439"/>
      <c r="B78" s="1463">
        <f t="shared" si="16"/>
        <v>10.149999999999997</v>
      </c>
      <c r="C78" s="1481"/>
      <c r="D78" s="1485" t="s">
        <v>264</v>
      </c>
      <c r="E78" s="1485"/>
      <c r="F78" s="1486"/>
      <c r="G78" s="1473" t="s">
        <v>18</v>
      </c>
      <c r="H78" s="1504">
        <v>618</v>
      </c>
      <c r="I78" s="1502">
        <v>1.67</v>
      </c>
      <c r="J78" s="1467">
        <f t="shared" si="15"/>
        <v>1032.06</v>
      </c>
      <c r="K78" s="1443"/>
      <c r="L78" s="1440" t="str">
        <f>IFERROR(VLOOKUP(D78,#REF!,2,FALSE),"")</f>
        <v/>
      </c>
      <c r="M78" s="1515"/>
      <c r="N78" s="1704"/>
      <c r="O78" s="1515"/>
      <c r="P78" s="1704"/>
      <c r="Q78" s="1445"/>
      <c r="R78" s="1439"/>
      <c r="S78" s="1703"/>
      <c r="T78" s="1703"/>
      <c r="U78" s="1439"/>
      <c r="V78" s="1439"/>
      <c r="W78" s="1440"/>
      <c r="X78" s="1439"/>
      <c r="Y78" s="1439"/>
    </row>
    <row r="79" spans="1:25" ht="16.5">
      <c r="A79" s="1439"/>
      <c r="B79" s="1463">
        <f t="shared" si="16"/>
        <v>10.159999999999997</v>
      </c>
      <c r="C79" s="1481"/>
      <c r="D79" s="1485" t="s">
        <v>417</v>
      </c>
      <c r="E79" s="1485"/>
      <c r="F79" s="1486"/>
      <c r="G79" s="1473" t="s">
        <v>18</v>
      </c>
      <c r="H79" s="1504">
        <v>979</v>
      </c>
      <c r="I79" s="1502">
        <v>1.67</v>
      </c>
      <c r="J79" s="1467">
        <f t="shared" si="15"/>
        <v>1634.93</v>
      </c>
      <c r="K79" s="1443"/>
      <c r="L79" s="1440" t="str">
        <f>IFERROR(VLOOKUP(D79,#REF!,2,FALSE),"")</f>
        <v/>
      </c>
      <c r="M79" s="1515"/>
      <c r="N79" s="1704"/>
      <c r="O79" s="1515"/>
      <c r="P79" s="1704"/>
      <c r="Q79" s="1445"/>
      <c r="R79" s="1439"/>
      <c r="S79" s="1703"/>
      <c r="T79" s="1703"/>
      <c r="U79" s="1439"/>
      <c r="V79" s="1439"/>
      <c r="W79" s="1440"/>
      <c r="X79" s="1439"/>
      <c r="Y79" s="1439"/>
    </row>
    <row r="80" spans="1:25" ht="31.5" customHeight="1">
      <c r="B80" s="1463">
        <f t="shared" si="16"/>
        <v>10.169999999999996</v>
      </c>
      <c r="C80" s="1481"/>
      <c r="D80" s="2054" t="s">
        <v>294</v>
      </c>
      <c r="E80" s="2054"/>
      <c r="F80" s="2055"/>
      <c r="G80" s="1473" t="s">
        <v>295</v>
      </c>
      <c r="H80" s="1504">
        <v>21</v>
      </c>
      <c r="I80" s="1502">
        <v>23.08</v>
      </c>
      <c r="J80" s="1467">
        <f t="shared" si="15"/>
        <v>484.68</v>
      </c>
      <c r="K80" s="1443"/>
      <c r="L80" s="1440" t="str">
        <f>IFERROR(VLOOKUP(D80,#REF!,2,FALSE),"")</f>
        <v/>
      </c>
      <c r="M80" s="1515"/>
      <c r="N80" s="1704"/>
      <c r="O80" s="1515"/>
      <c r="P80" s="1704"/>
      <c r="Q80" s="1445"/>
      <c r="S80" s="1703"/>
      <c r="T80" s="1703"/>
      <c r="W80" s="1440"/>
    </row>
    <row r="81" spans="1:25" ht="16.5">
      <c r="B81" s="1463">
        <f t="shared" si="16"/>
        <v>10.179999999999996</v>
      </c>
      <c r="C81" s="1481"/>
      <c r="D81" s="1485" t="s">
        <v>339</v>
      </c>
      <c r="E81" s="1485"/>
      <c r="F81" s="1486"/>
      <c r="G81" s="1473" t="s">
        <v>18</v>
      </c>
      <c r="H81" s="1504">
        <v>9</v>
      </c>
      <c r="I81" s="1502">
        <v>18.239999999999998</v>
      </c>
      <c r="J81" s="1467">
        <f t="shared" si="15"/>
        <v>164.16</v>
      </c>
      <c r="K81" s="1443"/>
      <c r="L81" s="1440" t="str">
        <f>IFERROR(VLOOKUP(D81,#REF!,2,FALSE),"")</f>
        <v/>
      </c>
      <c r="M81" s="1515"/>
      <c r="N81" s="1704"/>
      <c r="O81" s="1515"/>
      <c r="P81" s="1704"/>
      <c r="Q81" s="1445"/>
      <c r="S81" s="1703"/>
      <c r="T81" s="1703"/>
      <c r="W81" s="1440"/>
    </row>
    <row r="82" spans="1:25" ht="16.5">
      <c r="B82" s="1463">
        <f t="shared" si="16"/>
        <v>10.189999999999996</v>
      </c>
      <c r="C82" s="1481"/>
      <c r="D82" s="1485" t="s">
        <v>340</v>
      </c>
      <c r="E82" s="1485"/>
      <c r="F82" s="1486"/>
      <c r="G82" s="1473" t="s">
        <v>18</v>
      </c>
      <c r="H82" s="1504">
        <v>9</v>
      </c>
      <c r="I82" s="1502">
        <v>16.84</v>
      </c>
      <c r="J82" s="1467">
        <f t="shared" si="15"/>
        <v>151.56</v>
      </c>
      <c r="K82" s="1443"/>
      <c r="L82" s="1440" t="str">
        <f>IFERROR(VLOOKUP(D82,#REF!,2,FALSE),"")</f>
        <v/>
      </c>
      <c r="M82" s="1515"/>
      <c r="N82" s="1704"/>
      <c r="O82" s="1515"/>
      <c r="P82" s="1704"/>
      <c r="Q82" s="1445"/>
      <c r="S82" s="1703"/>
      <c r="T82" s="1703"/>
      <c r="W82" s="1440"/>
    </row>
    <row r="83" spans="1:25" ht="16.5">
      <c r="B83" s="1463">
        <f t="shared" si="16"/>
        <v>10.199999999999996</v>
      </c>
      <c r="C83" s="1481"/>
      <c r="D83" s="1485" t="s">
        <v>341</v>
      </c>
      <c r="E83" s="1485"/>
      <c r="F83" s="1486"/>
      <c r="G83" s="1473" t="s">
        <v>18</v>
      </c>
      <c r="H83" s="1504">
        <v>9</v>
      </c>
      <c r="I83" s="1502">
        <v>18.78</v>
      </c>
      <c r="J83" s="1467">
        <f t="shared" si="15"/>
        <v>169.02</v>
      </c>
      <c r="K83" s="1443"/>
      <c r="L83" s="1440" t="str">
        <f>IFERROR(VLOOKUP(D83,#REF!,2,FALSE),"")</f>
        <v/>
      </c>
      <c r="M83" s="1515"/>
      <c r="N83" s="1704"/>
      <c r="O83" s="1515"/>
      <c r="P83" s="1704"/>
      <c r="Q83" s="1445"/>
      <c r="S83" s="1703"/>
      <c r="T83" s="1703"/>
      <c r="W83" s="1440"/>
    </row>
    <row r="84" spans="1:25" ht="16.5">
      <c r="A84" s="1439"/>
      <c r="B84" s="1471"/>
      <c r="C84" s="1490"/>
      <c r="D84" s="1747"/>
      <c r="E84" s="1747"/>
      <c r="F84" s="1748" t="str">
        <f>+"SUB-TOTAL   "&amp;B63&amp;":  "</f>
        <v xml:space="preserve">SUB-TOTAL   10:  </v>
      </c>
      <c r="G84" s="1447"/>
      <c r="H84" s="1602"/>
      <c r="I84" s="1503"/>
      <c r="J84" s="1472">
        <f>SUM(J64:J83)</f>
        <v>13536.759999999997</v>
      </c>
      <c r="K84" s="1443"/>
      <c r="L84" s="1440" t="str">
        <f>IFERROR(VLOOKUP(D84,#REF!,2,FALSE),"")</f>
        <v/>
      </c>
      <c r="M84" s="1515"/>
      <c r="N84" s="1704"/>
      <c r="O84" s="1515"/>
      <c r="P84" s="1704"/>
      <c r="Q84" s="1439"/>
      <c r="R84" s="1439"/>
      <c r="S84" s="1703"/>
      <c r="T84" s="1703"/>
      <c r="U84" s="1439"/>
      <c r="V84" s="1439"/>
      <c r="W84" s="1440"/>
      <c r="X84" s="1439"/>
      <c r="Y84" s="1439"/>
    </row>
    <row r="85" spans="1:25" ht="16.5">
      <c r="A85" s="1439"/>
      <c r="B85" s="1462">
        <f>1+B63</f>
        <v>11</v>
      </c>
      <c r="C85" s="1481"/>
      <c r="D85" s="1489" t="s">
        <v>277</v>
      </c>
      <c r="E85" s="1485"/>
      <c r="F85" s="1486"/>
      <c r="G85" s="1473"/>
      <c r="H85" s="1504"/>
      <c r="I85" s="1461"/>
      <c r="J85" s="1467"/>
      <c r="K85" s="1443"/>
      <c r="L85" s="1440" t="str">
        <f>IFERROR(VLOOKUP(D85,#REF!,2,FALSE),"")</f>
        <v/>
      </c>
      <c r="M85" s="1515"/>
      <c r="N85" s="1704"/>
      <c r="O85" s="1515"/>
      <c r="P85" s="1704"/>
      <c r="Q85" s="1439"/>
      <c r="R85" s="1439"/>
      <c r="S85" s="1703"/>
      <c r="T85" s="1703"/>
      <c r="U85" s="1439"/>
      <c r="V85" s="1439"/>
      <c r="W85" s="1440"/>
      <c r="X85" s="1439"/>
      <c r="Y85" s="1439"/>
    </row>
    <row r="86" spans="1:25" ht="16.5">
      <c r="A86" s="1439"/>
      <c r="B86" s="1463">
        <f t="shared" ref="B86:B98" si="17">+B85+0.01</f>
        <v>11.01</v>
      </c>
      <c r="C86" s="1481"/>
      <c r="D86" s="1485" t="s">
        <v>371</v>
      </c>
      <c r="E86" s="1485"/>
      <c r="F86" s="1486"/>
      <c r="G86" s="1473" t="s">
        <v>187</v>
      </c>
      <c r="H86" s="1504">
        <v>881</v>
      </c>
      <c r="I86" s="1502">
        <v>4.3099999999999996</v>
      </c>
      <c r="J86" s="1467">
        <f t="shared" ref="J86:J98" si="18">+ROUND(I86*H86,2)</f>
        <v>3797.11</v>
      </c>
      <c r="K86" s="1443"/>
      <c r="L86" s="1440" t="str">
        <f>IFERROR(VLOOKUP(D86,#REF!,2,FALSE),"")</f>
        <v/>
      </c>
      <c r="M86" s="1515"/>
      <c r="N86" s="1704"/>
      <c r="O86" s="1515"/>
      <c r="P86" s="1704"/>
      <c r="Q86" s="1445"/>
      <c r="R86" s="1439"/>
      <c r="S86" s="1703"/>
      <c r="T86" s="1703"/>
      <c r="U86" s="1439"/>
      <c r="V86" s="1439"/>
      <c r="W86" s="1440"/>
      <c r="X86" s="1439"/>
      <c r="Y86" s="1439"/>
    </row>
    <row r="87" spans="1:25" ht="33" customHeight="1">
      <c r="A87" s="1439"/>
      <c r="B87" s="1463">
        <f t="shared" si="17"/>
        <v>11.02</v>
      </c>
      <c r="C87" s="1481"/>
      <c r="D87" s="2054" t="s">
        <v>153</v>
      </c>
      <c r="E87" s="2054"/>
      <c r="F87" s="2055"/>
      <c r="G87" s="1473" t="s">
        <v>18</v>
      </c>
      <c r="H87" s="1504">
        <v>66</v>
      </c>
      <c r="I87" s="1502">
        <v>46.85</v>
      </c>
      <c r="J87" s="1467">
        <f t="shared" si="18"/>
        <v>3092.1</v>
      </c>
      <c r="K87" s="1443"/>
      <c r="L87" s="1440" t="str">
        <f>IFERROR(VLOOKUP(D87,#REF!,2,FALSE),"")</f>
        <v/>
      </c>
      <c r="M87" s="1515"/>
      <c r="N87" s="1704"/>
      <c r="O87" s="1515"/>
      <c r="P87" s="1704"/>
      <c r="Q87" s="1445"/>
      <c r="R87" s="1439"/>
      <c r="S87" s="1703"/>
      <c r="T87" s="1703"/>
      <c r="U87" s="1439"/>
      <c r="V87" s="1439"/>
      <c r="W87" s="1440"/>
      <c r="X87" s="1439"/>
      <c r="Y87" s="1439"/>
    </row>
    <row r="88" spans="1:25" ht="16.5">
      <c r="A88" s="1439"/>
      <c r="B88" s="1463">
        <f t="shared" si="17"/>
        <v>11.03</v>
      </c>
      <c r="C88" s="1481"/>
      <c r="D88" s="1485" t="s">
        <v>342</v>
      </c>
      <c r="E88" s="1485"/>
      <c r="F88" s="1486"/>
      <c r="G88" s="1473" t="s">
        <v>18</v>
      </c>
      <c r="H88" s="1504">
        <v>208</v>
      </c>
      <c r="I88" s="1502">
        <v>11.69</v>
      </c>
      <c r="J88" s="1467">
        <f t="shared" si="18"/>
        <v>2431.52</v>
      </c>
      <c r="K88" s="1443"/>
      <c r="L88" s="1440" t="str">
        <f>IFERROR(VLOOKUP(D88,#REF!,2,FALSE),"")</f>
        <v/>
      </c>
      <c r="M88" s="1515"/>
      <c r="N88" s="1704"/>
      <c r="O88" s="1515"/>
      <c r="P88" s="1704"/>
      <c r="Q88" s="1445"/>
      <c r="R88" s="1439"/>
      <c r="S88" s="1703"/>
      <c r="T88" s="1703"/>
      <c r="U88" s="1439"/>
      <c r="V88" s="1439"/>
      <c r="W88" s="1440"/>
      <c r="X88" s="1439"/>
      <c r="Y88" s="1439"/>
    </row>
    <row r="89" spans="1:25" ht="16.5">
      <c r="A89" s="1439"/>
      <c r="B89" s="1463">
        <f t="shared" si="17"/>
        <v>11.04</v>
      </c>
      <c r="C89" s="1481"/>
      <c r="D89" s="1485" t="s">
        <v>722</v>
      </c>
      <c r="E89" s="1485"/>
      <c r="F89" s="1486"/>
      <c r="G89" s="1473" t="s">
        <v>187</v>
      </c>
      <c r="H89" s="1504">
        <v>312</v>
      </c>
      <c r="I89" s="1502">
        <v>0.71</v>
      </c>
      <c r="J89" s="1467">
        <f t="shared" si="18"/>
        <v>221.52</v>
      </c>
      <c r="K89" s="1443"/>
      <c r="L89" s="1440" t="str">
        <f>IFERROR(VLOOKUP(D89,#REF!,2,FALSE),"")</f>
        <v/>
      </c>
      <c r="M89" s="1515"/>
      <c r="N89" s="1704"/>
      <c r="O89" s="1515"/>
      <c r="P89" s="1704"/>
      <c r="Q89" s="1445"/>
      <c r="R89" s="1439"/>
      <c r="S89" s="1703"/>
      <c r="T89" s="1703"/>
      <c r="U89" s="1439"/>
      <c r="V89" s="1439"/>
      <c r="W89" s="1440"/>
      <c r="X89" s="1439"/>
      <c r="Y89" s="1439"/>
    </row>
    <row r="90" spans="1:25" ht="16.5">
      <c r="A90" s="1439"/>
      <c r="B90" s="1463">
        <f t="shared" si="17"/>
        <v>11.049999999999999</v>
      </c>
      <c r="C90" s="1481"/>
      <c r="D90" s="1485" t="s">
        <v>343</v>
      </c>
      <c r="E90" s="1485"/>
      <c r="F90" s="1486"/>
      <c r="G90" s="1473" t="s">
        <v>18</v>
      </c>
      <c r="H90" s="1504">
        <v>66</v>
      </c>
      <c r="I90" s="1502">
        <v>5.46</v>
      </c>
      <c r="J90" s="1467">
        <f t="shared" si="18"/>
        <v>360.36</v>
      </c>
      <c r="K90" s="1443"/>
      <c r="L90" s="1440" t="str">
        <f>IFERROR(VLOOKUP(D90,#REF!,2,FALSE),"")</f>
        <v/>
      </c>
      <c r="M90" s="1515"/>
      <c r="N90" s="1704"/>
      <c r="O90" s="1515"/>
      <c r="P90" s="1704"/>
      <c r="Q90" s="1445"/>
      <c r="R90" s="1439"/>
      <c r="S90" s="1703"/>
      <c r="T90" s="1703"/>
      <c r="U90" s="1439"/>
      <c r="V90" s="1439"/>
      <c r="W90" s="1440"/>
      <c r="X90" s="1439"/>
      <c r="Y90" s="1439"/>
    </row>
    <row r="91" spans="1:25" ht="27.75" customHeight="1">
      <c r="A91" s="1439"/>
      <c r="B91" s="1463">
        <f t="shared" si="17"/>
        <v>11.059999999999999</v>
      </c>
      <c r="C91" s="1481"/>
      <c r="D91" s="2054" t="s">
        <v>306</v>
      </c>
      <c r="E91" s="2054"/>
      <c r="F91" s="2055"/>
      <c r="G91" s="1473" t="s">
        <v>18</v>
      </c>
      <c r="H91" s="1504">
        <v>12</v>
      </c>
      <c r="I91" s="1502">
        <v>112.06</v>
      </c>
      <c r="J91" s="1467">
        <f t="shared" si="18"/>
        <v>1344.72</v>
      </c>
      <c r="K91" s="1443"/>
      <c r="L91" s="1440" t="str">
        <f>IFERROR(VLOOKUP(D91,#REF!,2,FALSE),"")</f>
        <v/>
      </c>
      <c r="M91" s="1515"/>
      <c r="N91" s="1704"/>
      <c r="O91" s="1515"/>
      <c r="P91" s="1704"/>
      <c r="Q91" s="1445"/>
      <c r="R91" s="1439"/>
      <c r="S91" s="1703"/>
      <c r="T91" s="1703"/>
      <c r="U91" s="1439"/>
      <c r="V91" s="1439"/>
      <c r="W91" s="1440"/>
      <c r="X91" s="1439"/>
      <c r="Y91" s="1439"/>
    </row>
    <row r="92" spans="1:25" ht="33.75" customHeight="1">
      <c r="A92" s="1439"/>
      <c r="B92" s="1463">
        <f t="shared" si="17"/>
        <v>11.069999999999999</v>
      </c>
      <c r="C92" s="1481"/>
      <c r="D92" s="2054" t="s">
        <v>344</v>
      </c>
      <c r="E92" s="2054"/>
      <c r="F92" s="2055"/>
      <c r="G92" s="1473" t="s">
        <v>18</v>
      </c>
      <c r="H92" s="1504">
        <v>66</v>
      </c>
      <c r="I92" s="1502">
        <v>81.849999999999994</v>
      </c>
      <c r="J92" s="1467">
        <f t="shared" si="18"/>
        <v>5402.1</v>
      </c>
      <c r="K92" s="1443"/>
      <c r="L92" s="1440" t="str">
        <f>IFERROR(VLOOKUP(D92,#REF!,2,FALSE),"")</f>
        <v/>
      </c>
      <c r="M92" s="1515"/>
      <c r="N92" s="1704"/>
      <c r="O92" s="1515"/>
      <c r="P92" s="1704"/>
      <c r="Q92" s="1445"/>
      <c r="R92" s="1439"/>
      <c r="S92" s="1703"/>
      <c r="T92" s="1703"/>
      <c r="U92" s="1439"/>
      <c r="V92" s="1439"/>
      <c r="W92" s="1440"/>
      <c r="X92" s="1439"/>
      <c r="Y92" s="1439"/>
    </row>
    <row r="93" spans="1:25" ht="16.5">
      <c r="A93" s="1439"/>
      <c r="B93" s="1463">
        <f t="shared" si="17"/>
        <v>11.079999999999998</v>
      </c>
      <c r="C93" s="1481"/>
      <c r="D93" s="1485" t="s">
        <v>322</v>
      </c>
      <c r="E93" s="1485"/>
      <c r="F93" s="1486"/>
      <c r="G93" s="1473" t="s">
        <v>18</v>
      </c>
      <c r="H93" s="1504">
        <v>66</v>
      </c>
      <c r="I93" s="1502">
        <v>28.99</v>
      </c>
      <c r="J93" s="1467">
        <f t="shared" si="18"/>
        <v>1913.34</v>
      </c>
      <c r="K93" s="1443"/>
      <c r="L93" s="1440" t="str">
        <f>IFERROR(VLOOKUP(D93,#REF!,2,FALSE),"")</f>
        <v/>
      </c>
      <c r="M93" s="1515"/>
      <c r="N93" s="1704"/>
      <c r="O93" s="1515"/>
      <c r="P93" s="1704"/>
      <c r="Q93" s="1445"/>
      <c r="R93" s="1439"/>
      <c r="S93" s="1703"/>
      <c r="T93" s="1703"/>
      <c r="U93" s="1439"/>
      <c r="V93" s="1439"/>
      <c r="W93" s="1440"/>
      <c r="X93" s="1439"/>
      <c r="Y93" s="1439"/>
    </row>
    <row r="94" spans="1:25" ht="30" customHeight="1">
      <c r="A94" s="1439"/>
      <c r="B94" s="1463">
        <f t="shared" si="17"/>
        <v>11.089999999999998</v>
      </c>
      <c r="C94" s="1481"/>
      <c r="D94" s="2054" t="s">
        <v>345</v>
      </c>
      <c r="E94" s="2054"/>
      <c r="F94" s="2055"/>
      <c r="G94" s="1473" t="s">
        <v>18</v>
      </c>
      <c r="H94" s="1504">
        <v>66</v>
      </c>
      <c r="I94" s="1502">
        <v>76.66</v>
      </c>
      <c r="J94" s="1467">
        <f t="shared" si="18"/>
        <v>5059.5600000000004</v>
      </c>
      <c r="K94" s="1443"/>
      <c r="L94" s="1440" t="str">
        <f>IFERROR(VLOOKUP(D94,#REF!,2,FALSE),"")</f>
        <v/>
      </c>
      <c r="M94" s="1515"/>
      <c r="N94" s="1704"/>
      <c r="O94" s="1515"/>
      <c r="P94" s="1704"/>
      <c r="Q94" s="1445"/>
      <c r="R94" s="1439"/>
      <c r="S94" s="1703"/>
      <c r="T94" s="1703"/>
      <c r="U94" s="1439"/>
      <c r="V94" s="1439"/>
      <c r="W94" s="1440"/>
      <c r="X94" s="1439"/>
      <c r="Y94" s="1439"/>
    </row>
    <row r="95" spans="1:25" ht="16.5">
      <c r="A95" s="1439"/>
      <c r="B95" s="1463">
        <f t="shared" si="17"/>
        <v>11.099999999999998</v>
      </c>
      <c r="C95" s="1481"/>
      <c r="D95" s="1485" t="s">
        <v>317</v>
      </c>
      <c r="E95" s="1485"/>
      <c r="F95" s="1486"/>
      <c r="G95" s="1473" t="s">
        <v>18</v>
      </c>
      <c r="H95" s="1504">
        <v>85</v>
      </c>
      <c r="I95" s="1502">
        <v>15.01</v>
      </c>
      <c r="J95" s="1467">
        <f t="shared" si="18"/>
        <v>1275.8499999999999</v>
      </c>
      <c r="K95" s="1443"/>
      <c r="L95" s="1440" t="str">
        <f>IFERROR(VLOOKUP(D95,#REF!,2,FALSE),"")</f>
        <v/>
      </c>
      <c r="M95" s="1515"/>
      <c r="N95" s="1704"/>
      <c r="O95" s="1515"/>
      <c r="P95" s="1704"/>
      <c r="Q95" s="1445"/>
      <c r="R95" s="1439"/>
      <c r="S95" s="1703"/>
      <c r="T95" s="1703"/>
      <c r="U95" s="1439"/>
      <c r="V95" s="1439"/>
      <c r="W95" s="1440"/>
      <c r="X95" s="1439"/>
      <c r="Y95" s="1439"/>
    </row>
    <row r="96" spans="1:25" ht="16.5">
      <c r="B96" s="1463">
        <f t="shared" si="17"/>
        <v>11.109999999999998</v>
      </c>
      <c r="C96" s="1481"/>
      <c r="D96" s="1485" t="s">
        <v>265</v>
      </c>
      <c r="E96" s="1485"/>
      <c r="F96" s="1486"/>
      <c r="G96" s="1473" t="s">
        <v>18</v>
      </c>
      <c r="H96" s="1504">
        <v>66</v>
      </c>
      <c r="I96" s="1502">
        <v>40.94</v>
      </c>
      <c r="J96" s="1467">
        <f t="shared" si="18"/>
        <v>2702.04</v>
      </c>
      <c r="K96" s="1443"/>
      <c r="L96" s="1440" t="str">
        <f>IFERROR(VLOOKUP(D96,#REF!,2,FALSE),"")</f>
        <v/>
      </c>
      <c r="M96" s="1515"/>
      <c r="N96" s="1704"/>
      <c r="O96" s="1515"/>
      <c r="P96" s="1704"/>
      <c r="Q96" s="1445"/>
      <c r="S96" s="1703"/>
      <c r="T96" s="1703"/>
      <c r="W96" s="1440"/>
    </row>
    <row r="97" spans="1:25" ht="16.5">
      <c r="B97" s="1463">
        <f t="shared" si="17"/>
        <v>11.119999999999997</v>
      </c>
      <c r="C97" s="1481"/>
      <c r="D97" s="1442" t="s">
        <v>12</v>
      </c>
      <c r="E97" s="1442"/>
      <c r="F97" s="1487"/>
      <c r="G97" s="1473" t="s">
        <v>18</v>
      </c>
      <c r="H97" s="1504">
        <v>22</v>
      </c>
      <c r="I97" s="1502">
        <v>11.17</v>
      </c>
      <c r="J97" s="1467">
        <f t="shared" si="18"/>
        <v>245.74</v>
      </c>
      <c r="K97" s="1443"/>
      <c r="L97" s="1440" t="str">
        <f>IFERROR(VLOOKUP(D97,#REF!,2,FALSE),"")</f>
        <v/>
      </c>
      <c r="M97" s="1515"/>
      <c r="N97" s="1704"/>
      <c r="O97" s="1515"/>
      <c r="P97" s="1704"/>
      <c r="Q97" s="1445"/>
      <c r="S97" s="1703"/>
      <c r="T97" s="1703"/>
      <c r="W97" s="1440"/>
    </row>
    <row r="98" spans="1:25" ht="16.5">
      <c r="B98" s="1463">
        <f t="shared" si="17"/>
        <v>11.129999999999997</v>
      </c>
      <c r="C98" s="1481"/>
      <c r="D98" s="1485" t="s">
        <v>264</v>
      </c>
      <c r="E98" s="1485"/>
      <c r="F98" s="1486"/>
      <c r="G98" s="1473" t="s">
        <v>18</v>
      </c>
      <c r="H98" s="1504">
        <v>39</v>
      </c>
      <c r="I98" s="1502">
        <v>1.67</v>
      </c>
      <c r="J98" s="1467">
        <f t="shared" si="18"/>
        <v>65.13</v>
      </c>
      <c r="K98" s="1443"/>
      <c r="L98" s="1440" t="str">
        <f>IFERROR(VLOOKUP(D98,#REF!,2,FALSE),"")</f>
        <v/>
      </c>
      <c r="M98" s="1515"/>
      <c r="N98" s="1704"/>
      <c r="O98" s="1515"/>
      <c r="P98" s="1704"/>
      <c r="Q98" s="1445"/>
      <c r="S98" s="1703"/>
      <c r="T98" s="1703"/>
      <c r="W98" s="1440"/>
    </row>
    <row r="99" spans="1:25" ht="16.5">
      <c r="A99" s="1439"/>
      <c r="B99" s="1459"/>
      <c r="C99" s="1481"/>
      <c r="D99" s="1485"/>
      <c r="E99" s="1485"/>
      <c r="F99" s="1488" t="str">
        <f>+"SUB-TOTAL   "&amp;B85&amp;":  "</f>
        <v xml:space="preserve">SUB-TOTAL   11:  </v>
      </c>
      <c r="G99" s="1475"/>
      <c r="H99" s="1506"/>
      <c r="I99" s="1458"/>
      <c r="J99" s="1468">
        <f>SUM(J86:J98)</f>
        <v>27911.090000000004</v>
      </c>
      <c r="K99" s="1443"/>
      <c r="L99" s="1440" t="str">
        <f>IFERROR(VLOOKUP(D99,#REF!,2,FALSE),"")</f>
        <v/>
      </c>
      <c r="M99" s="1515"/>
      <c r="N99" s="1704"/>
      <c r="O99" s="1515"/>
      <c r="P99" s="1704"/>
      <c r="Q99" s="1439"/>
      <c r="R99" s="1439"/>
      <c r="S99" s="1703"/>
      <c r="T99" s="1703"/>
      <c r="U99" s="1439"/>
      <c r="V99" s="1439"/>
      <c r="W99" s="1440"/>
      <c r="X99" s="1439"/>
      <c r="Y99" s="1439"/>
    </row>
    <row r="100" spans="1:25" ht="16.5">
      <c r="A100" s="1439"/>
      <c r="B100" s="1462">
        <f>1+B85</f>
        <v>12</v>
      </c>
      <c r="C100" s="1481"/>
      <c r="D100" s="1489" t="s">
        <v>278</v>
      </c>
      <c r="E100" s="1485"/>
      <c r="F100" s="1486"/>
      <c r="G100" s="1473"/>
      <c r="H100" s="1504"/>
      <c r="I100" s="1461"/>
      <c r="J100" s="1467"/>
      <c r="K100" s="1443"/>
      <c r="L100" s="1440" t="str">
        <f>IFERROR(VLOOKUP(D100,#REF!,2,FALSE),"")</f>
        <v/>
      </c>
      <c r="M100" s="1515"/>
      <c r="N100" s="1704"/>
      <c r="O100" s="1515"/>
      <c r="P100" s="1704"/>
      <c r="Q100" s="1439"/>
      <c r="R100" s="1439"/>
      <c r="S100" s="1703"/>
      <c r="T100" s="1703"/>
      <c r="U100" s="1439"/>
      <c r="V100" s="1439"/>
      <c r="W100" s="1440"/>
      <c r="X100" s="1439"/>
      <c r="Y100" s="1439"/>
    </row>
    <row r="101" spans="1:25" ht="16.5">
      <c r="A101" s="1439"/>
      <c r="B101" s="1463">
        <f t="shared" ref="B101:B109" si="19">+B100+0.01</f>
        <v>12.01</v>
      </c>
      <c r="C101" s="1481"/>
      <c r="D101" s="1485" t="s">
        <v>154</v>
      </c>
      <c r="E101" s="1485"/>
      <c r="F101" s="1486"/>
      <c r="G101" s="1473" t="s">
        <v>18</v>
      </c>
      <c r="H101" s="1504">
        <v>15</v>
      </c>
      <c r="I101" s="1502">
        <v>66.7</v>
      </c>
      <c r="J101" s="1467">
        <f t="shared" ref="J101:J109" si="20">+ROUND(I101*H101,2)</f>
        <v>1000.5</v>
      </c>
      <c r="K101" s="1443"/>
      <c r="L101" s="1440" t="str">
        <f>IFERROR(VLOOKUP(D101,#REF!,2,FALSE),"")</f>
        <v/>
      </c>
      <c r="M101" s="1515"/>
      <c r="N101" s="1704"/>
      <c r="O101" s="1515"/>
      <c r="P101" s="1704"/>
      <c r="Q101" s="1445"/>
      <c r="R101" s="1439"/>
      <c r="S101" s="1703"/>
      <c r="T101" s="1703"/>
      <c r="U101" s="1439"/>
      <c r="V101" s="1439"/>
      <c r="W101" s="1440"/>
      <c r="X101" s="1439"/>
      <c r="Y101" s="1439"/>
    </row>
    <row r="102" spans="1:25" ht="16.5">
      <c r="A102" s="1439"/>
      <c r="B102" s="1463">
        <f t="shared" si="19"/>
        <v>12.02</v>
      </c>
      <c r="C102" s="1481"/>
      <c r="D102" s="1485" t="s">
        <v>155</v>
      </c>
      <c r="E102" s="1485"/>
      <c r="F102" s="1486"/>
      <c r="G102" s="1473" t="s">
        <v>18</v>
      </c>
      <c r="H102" s="1504">
        <v>518</v>
      </c>
      <c r="I102" s="1502">
        <v>10.54</v>
      </c>
      <c r="J102" s="1467">
        <f t="shared" si="20"/>
        <v>5459.72</v>
      </c>
      <c r="K102" s="1443"/>
      <c r="L102" s="1440" t="str">
        <f>IFERROR(VLOOKUP(D102,#REF!,2,FALSE),"")</f>
        <v/>
      </c>
      <c r="M102" s="1515"/>
      <c r="N102" s="1704"/>
      <c r="O102" s="1515"/>
      <c r="P102" s="1704"/>
      <c r="Q102" s="1445"/>
      <c r="R102" s="1439"/>
      <c r="S102" s="1703"/>
      <c r="T102" s="1703"/>
      <c r="U102" s="1439"/>
      <c r="V102" s="1439"/>
      <c r="W102" s="1440"/>
      <c r="X102" s="1439"/>
      <c r="Y102" s="1439"/>
    </row>
    <row r="103" spans="1:25" ht="27.75" customHeight="1">
      <c r="A103" s="1439"/>
      <c r="B103" s="1463">
        <f t="shared" si="19"/>
        <v>12.03</v>
      </c>
      <c r="C103" s="1481"/>
      <c r="D103" s="2054" t="s">
        <v>346</v>
      </c>
      <c r="E103" s="2054"/>
      <c r="F103" s="2055"/>
      <c r="G103" s="1473" t="s">
        <v>18</v>
      </c>
      <c r="H103" s="1504">
        <v>15</v>
      </c>
      <c r="I103" s="1502">
        <v>6.94</v>
      </c>
      <c r="J103" s="1467">
        <f t="shared" si="20"/>
        <v>104.1</v>
      </c>
      <c r="K103" s="1443"/>
      <c r="L103" s="1440" t="str">
        <f>IFERROR(VLOOKUP(D103,#REF!,2,FALSE),"")</f>
        <v/>
      </c>
      <c r="M103" s="1515"/>
      <c r="N103" s="1704"/>
      <c r="O103" s="1515"/>
      <c r="P103" s="1704"/>
      <c r="Q103" s="1445"/>
      <c r="R103" s="1439"/>
      <c r="S103" s="1703"/>
      <c r="T103" s="1703"/>
      <c r="U103" s="1439"/>
      <c r="V103" s="1439"/>
      <c r="W103" s="1440"/>
      <c r="X103" s="1439"/>
      <c r="Y103" s="1439"/>
    </row>
    <row r="104" spans="1:25" ht="27.75" customHeight="1">
      <c r="A104" s="1439"/>
      <c r="B104" s="1463">
        <f t="shared" si="19"/>
        <v>12.04</v>
      </c>
      <c r="C104" s="1481"/>
      <c r="D104" s="2054" t="s">
        <v>347</v>
      </c>
      <c r="E104" s="2054"/>
      <c r="F104" s="2055"/>
      <c r="G104" s="1473" t="s">
        <v>18</v>
      </c>
      <c r="H104" s="1504">
        <v>428</v>
      </c>
      <c r="I104" s="1502">
        <v>7.4</v>
      </c>
      <c r="J104" s="1467">
        <f t="shared" si="20"/>
        <v>3167.2</v>
      </c>
      <c r="K104" s="1443"/>
      <c r="L104" s="1440" t="str">
        <f>IFERROR(VLOOKUP(D104,#REF!,2,FALSE),"")</f>
        <v/>
      </c>
      <c r="M104" s="1515"/>
      <c r="N104" s="1704"/>
      <c r="O104" s="1515"/>
      <c r="P104" s="1704"/>
      <c r="Q104" s="1445"/>
      <c r="R104" s="1439"/>
      <c r="S104" s="1703"/>
      <c r="T104" s="1703"/>
      <c r="U104" s="1439"/>
      <c r="V104" s="1439"/>
      <c r="W104" s="1440"/>
      <c r="X104" s="1439"/>
      <c r="Y104" s="1439"/>
    </row>
    <row r="105" spans="1:25" ht="16.5">
      <c r="A105" s="1439"/>
      <c r="B105" s="1463">
        <f t="shared" si="19"/>
        <v>12.049999999999999</v>
      </c>
      <c r="C105" s="1481"/>
      <c r="D105" s="1485" t="s">
        <v>35</v>
      </c>
      <c r="E105" s="1485"/>
      <c r="F105" s="1486"/>
      <c r="G105" s="1473" t="s">
        <v>18</v>
      </c>
      <c r="H105" s="1504">
        <v>15</v>
      </c>
      <c r="I105" s="1502">
        <v>53.58</v>
      </c>
      <c r="J105" s="1467">
        <f t="shared" si="20"/>
        <v>803.7</v>
      </c>
      <c r="K105" s="1443"/>
      <c r="L105" s="1440" t="str">
        <f>IFERROR(VLOOKUP(D105,#REF!,2,FALSE),"")</f>
        <v/>
      </c>
      <c r="M105" s="1515"/>
      <c r="N105" s="1704"/>
      <c r="O105" s="1515"/>
      <c r="P105" s="1704"/>
      <c r="Q105" s="1445"/>
      <c r="R105" s="1439"/>
      <c r="S105" s="1703"/>
      <c r="T105" s="1703"/>
      <c r="U105" s="1439"/>
      <c r="V105" s="1439"/>
      <c r="W105" s="1440"/>
      <c r="X105" s="1439"/>
      <c r="Y105" s="1439"/>
    </row>
    <row r="106" spans="1:25" ht="16.5">
      <c r="A106" s="1439"/>
      <c r="B106" s="1463">
        <f t="shared" si="19"/>
        <v>12.059999999999999</v>
      </c>
      <c r="C106" s="1481"/>
      <c r="D106" s="1485" t="s">
        <v>944</v>
      </c>
      <c r="E106" s="1485"/>
      <c r="F106" s="1486"/>
      <c r="G106" s="1473" t="s">
        <v>18</v>
      </c>
      <c r="H106" s="1504">
        <v>204</v>
      </c>
      <c r="I106" s="1505">
        <v>0.47</v>
      </c>
      <c r="J106" s="1474">
        <f t="shared" si="20"/>
        <v>95.88</v>
      </c>
      <c r="K106" s="1443"/>
      <c r="L106" s="1440" t="str">
        <f>IFERROR(VLOOKUP(D106,#REF!,2,FALSE),"")</f>
        <v/>
      </c>
      <c r="M106" s="1515"/>
      <c r="N106" s="1704"/>
      <c r="O106" s="1515"/>
      <c r="P106" s="1704"/>
      <c r="Q106" s="1445"/>
      <c r="R106" s="1439"/>
      <c r="S106" s="1703"/>
      <c r="T106" s="1703"/>
      <c r="U106" s="1439"/>
      <c r="V106" s="1439"/>
      <c r="W106" s="1440"/>
      <c r="X106" s="1439"/>
      <c r="Y106" s="1439"/>
    </row>
    <row r="107" spans="1:25" ht="16.5">
      <c r="A107" s="1439"/>
      <c r="B107" s="1463">
        <f t="shared" si="19"/>
        <v>12.069999999999999</v>
      </c>
      <c r="C107" s="1481"/>
      <c r="D107" s="1485" t="s">
        <v>349</v>
      </c>
      <c r="E107" s="1485"/>
      <c r="F107" s="1486"/>
      <c r="G107" s="1473" t="s">
        <v>18</v>
      </c>
      <c r="H107" s="1504">
        <v>2</v>
      </c>
      <c r="I107" s="1505">
        <v>17.43</v>
      </c>
      <c r="J107" s="1474">
        <f t="shared" si="20"/>
        <v>34.86</v>
      </c>
      <c r="K107" s="1443"/>
      <c r="L107" s="1440" t="str">
        <f>IFERROR(VLOOKUP(D107,#REF!,2,FALSE),"")</f>
        <v/>
      </c>
      <c r="M107" s="1515"/>
      <c r="N107" s="1704"/>
      <c r="O107" s="1515"/>
      <c r="P107" s="1705"/>
      <c r="Q107" s="1441"/>
      <c r="R107" s="1440"/>
      <c r="S107" s="1702"/>
      <c r="T107" s="1702"/>
      <c r="U107" s="1440"/>
      <c r="V107" s="1440"/>
      <c r="W107" s="1440"/>
      <c r="X107" s="1439"/>
      <c r="Y107" s="1439"/>
    </row>
    <row r="108" spans="1:25" ht="16.5">
      <c r="A108" s="1439"/>
      <c r="B108" s="1463">
        <f t="shared" si="19"/>
        <v>12.079999999999998</v>
      </c>
      <c r="C108" s="1481"/>
      <c r="D108" s="1485" t="s">
        <v>300</v>
      </c>
      <c r="E108" s="1485"/>
      <c r="F108" s="1486"/>
      <c r="G108" s="1473" t="s">
        <v>18</v>
      </c>
      <c r="H108" s="1504">
        <v>6</v>
      </c>
      <c r="I108" s="1505">
        <v>16.25</v>
      </c>
      <c r="J108" s="1474">
        <f t="shared" si="20"/>
        <v>97.5</v>
      </c>
      <c r="K108" s="1443"/>
      <c r="L108" s="1440" t="str">
        <f>IFERROR(VLOOKUP(D108,#REF!,2,FALSE),"")</f>
        <v/>
      </c>
      <c r="M108" s="1515"/>
      <c r="N108" s="1704"/>
      <c r="O108" s="1515"/>
      <c r="P108" s="1749"/>
      <c r="Q108" s="1749"/>
      <c r="R108" s="1749"/>
      <c r="S108" s="1702"/>
      <c r="T108" s="1702"/>
      <c r="U108" s="1440"/>
      <c r="V108" s="1440"/>
      <c r="W108" s="1440"/>
      <c r="X108" s="1439"/>
      <c r="Y108" s="1439"/>
    </row>
    <row r="109" spans="1:25" ht="16.5">
      <c r="A109" s="1439"/>
      <c r="B109" s="1463">
        <f t="shared" si="19"/>
        <v>12.089999999999998</v>
      </c>
      <c r="C109" s="1481"/>
      <c r="D109" s="1485" t="s">
        <v>848</v>
      </c>
      <c r="E109" s="1485"/>
      <c r="F109" s="1486"/>
      <c r="G109" s="1473" t="s">
        <v>18</v>
      </c>
      <c r="H109" s="1504">
        <v>180</v>
      </c>
      <c r="I109" s="1505">
        <v>2.39</v>
      </c>
      <c r="J109" s="1474">
        <f t="shared" si="20"/>
        <v>430.2</v>
      </c>
      <c r="K109" s="1443"/>
      <c r="L109" s="1440" t="str">
        <f>IFERROR(VLOOKUP(D109,#REF!,2,FALSE),"")</f>
        <v/>
      </c>
      <c r="M109" s="1515"/>
      <c r="N109" s="1704"/>
      <c r="O109" s="1515"/>
      <c r="P109" s="1750"/>
      <c r="Q109" s="1440"/>
      <c r="R109" s="1440"/>
      <c r="S109" s="1702"/>
      <c r="T109" s="1702"/>
      <c r="U109" s="1440"/>
      <c r="V109" s="1750"/>
      <c r="W109" s="1440"/>
      <c r="X109" s="1439"/>
      <c r="Y109" s="1439"/>
    </row>
    <row r="110" spans="1:25" ht="16.5">
      <c r="A110" s="1439"/>
      <c r="B110" s="1459"/>
      <c r="C110" s="1481"/>
      <c r="D110" s="1485"/>
      <c r="E110" s="1485"/>
      <c r="F110" s="1488" t="str">
        <f>+"SUB-TOTAL   "&amp;B100&amp;":  "</f>
        <v xml:space="preserve">SUB-TOTAL   12:  </v>
      </c>
      <c r="G110" s="1475"/>
      <c r="H110" s="1506"/>
      <c r="I110" s="1506"/>
      <c r="J110" s="1476">
        <f>SUM(J101:J109)</f>
        <v>11193.660000000002</v>
      </c>
      <c r="K110" s="1443"/>
      <c r="L110" s="1440" t="str">
        <f>IFERROR(VLOOKUP(D110,#REF!,2,FALSE),"")</f>
        <v/>
      </c>
      <c r="M110" s="1515"/>
      <c r="N110" s="1704"/>
      <c r="O110" s="1515"/>
      <c r="P110" s="1704"/>
      <c r="Q110" s="1439"/>
      <c r="R110" s="1439"/>
      <c r="S110" s="1702"/>
      <c r="T110" s="1702"/>
      <c r="U110" s="1440"/>
      <c r="V110" s="1440"/>
      <c r="W110" s="1440"/>
      <c r="X110" s="1439"/>
      <c r="Y110" s="1439"/>
    </row>
    <row r="111" spans="1:25" ht="16.5">
      <c r="A111" s="1439"/>
      <c r="B111" s="1462">
        <f>1+B100</f>
        <v>13</v>
      </c>
      <c r="C111" s="1481"/>
      <c r="D111" s="1489" t="s">
        <v>279</v>
      </c>
      <c r="E111" s="1485"/>
      <c r="F111" s="1486"/>
      <c r="G111" s="1473"/>
      <c r="H111" s="1504"/>
      <c r="I111" s="1504"/>
      <c r="J111" s="1474"/>
      <c r="K111" s="1443"/>
      <c r="L111" s="1440" t="str">
        <f>IFERROR(VLOOKUP(D111,#REF!,2,FALSE),"")</f>
        <v/>
      </c>
      <c r="M111" s="1515"/>
      <c r="N111" s="1704"/>
      <c r="O111" s="1515"/>
      <c r="P111" s="1704"/>
      <c r="Q111" s="1439"/>
      <c r="R111" s="1439"/>
      <c r="S111" s="1702"/>
      <c r="T111" s="1702"/>
      <c r="U111" s="1439"/>
      <c r="V111" s="1439"/>
      <c r="W111" s="1440"/>
      <c r="X111" s="1439"/>
      <c r="Y111" s="1439"/>
    </row>
    <row r="112" spans="1:25" ht="16.5">
      <c r="A112" s="1439"/>
      <c r="B112" s="1463">
        <f t="shared" ref="B112:B115" si="21">+B111+0.01</f>
        <v>13.01</v>
      </c>
      <c r="C112" s="1481"/>
      <c r="D112" s="1485" t="s">
        <v>156</v>
      </c>
      <c r="E112" s="1485"/>
      <c r="F112" s="1486"/>
      <c r="G112" s="1473" t="s">
        <v>18</v>
      </c>
      <c r="H112" s="1504">
        <v>15</v>
      </c>
      <c r="I112" s="1505">
        <v>377.78</v>
      </c>
      <c r="J112" s="1474">
        <f t="shared" ref="J112:J115" si="22">+ROUND(I112*H112,2)</f>
        <v>5666.7</v>
      </c>
      <c r="K112" s="1443"/>
      <c r="L112" s="1440" t="str">
        <f>IFERROR(VLOOKUP(D112,#REF!,2,FALSE),"")</f>
        <v/>
      </c>
      <c r="M112" s="1515"/>
      <c r="N112" s="1704"/>
      <c r="O112" s="1515"/>
      <c r="P112" s="1704"/>
      <c r="Q112" s="1445"/>
      <c r="R112" s="1439"/>
      <c r="S112" s="1702"/>
      <c r="T112" s="1702"/>
      <c r="U112" s="1439"/>
      <c r="V112" s="1439"/>
      <c r="W112" s="1440"/>
      <c r="X112" s="1439"/>
      <c r="Y112" s="1439"/>
    </row>
    <row r="113" spans="1:25" ht="16.5">
      <c r="A113" s="1439"/>
      <c r="B113" s="1463">
        <f t="shared" si="21"/>
        <v>13.02</v>
      </c>
      <c r="C113" s="1481"/>
      <c r="D113" s="1485" t="s">
        <v>351</v>
      </c>
      <c r="E113" s="1485"/>
      <c r="F113" s="1486"/>
      <c r="G113" s="1473" t="s">
        <v>18</v>
      </c>
      <c r="H113" s="1504">
        <v>12</v>
      </c>
      <c r="I113" s="1505">
        <v>7.26</v>
      </c>
      <c r="J113" s="1474">
        <f t="shared" si="22"/>
        <v>87.12</v>
      </c>
      <c r="K113" s="1443"/>
      <c r="L113" s="1440" t="str">
        <f>IFERROR(VLOOKUP(D113,#REF!,2,FALSE),"")</f>
        <v/>
      </c>
      <c r="M113" s="1515"/>
      <c r="N113" s="1704"/>
      <c r="O113" s="1515"/>
      <c r="P113" s="1704"/>
      <c r="Q113" s="1439"/>
      <c r="R113" s="1439"/>
      <c r="S113" s="1702"/>
      <c r="T113" s="1702"/>
      <c r="U113" s="1439"/>
      <c r="V113" s="1439"/>
      <c r="W113" s="1440"/>
      <c r="X113" s="1439"/>
      <c r="Y113" s="1439"/>
    </row>
    <row r="114" spans="1:25" ht="16.5">
      <c r="A114" s="1439"/>
      <c r="B114" s="1463">
        <f t="shared" si="21"/>
        <v>13.03</v>
      </c>
      <c r="C114" s="1481"/>
      <c r="D114" s="1485" t="s">
        <v>731</v>
      </c>
      <c r="E114" s="1485"/>
      <c r="F114" s="1486"/>
      <c r="G114" s="1473" t="s">
        <v>18</v>
      </c>
      <c r="H114" s="1504">
        <v>3</v>
      </c>
      <c r="I114" s="1505">
        <v>7.22</v>
      </c>
      <c r="J114" s="1474">
        <f t="shared" si="22"/>
        <v>21.66</v>
      </c>
      <c r="K114" s="1443"/>
      <c r="L114" s="1440" t="str">
        <f>IFERROR(VLOOKUP(D114,#REF!,2,FALSE),"")</f>
        <v/>
      </c>
      <c r="M114" s="1515"/>
      <c r="N114" s="1704"/>
      <c r="O114" s="1515"/>
      <c r="P114" s="1704"/>
      <c r="Q114" s="1439"/>
      <c r="R114" s="1439"/>
      <c r="S114" s="1702"/>
      <c r="T114" s="1702"/>
      <c r="U114" s="1439"/>
      <c r="V114" s="1439"/>
      <c r="W114" s="1440"/>
      <c r="X114" s="1439"/>
      <c r="Y114" s="1439"/>
    </row>
    <row r="115" spans="1:25" ht="16.5">
      <c r="A115" s="1439"/>
      <c r="B115" s="1463">
        <f t="shared" si="21"/>
        <v>13.04</v>
      </c>
      <c r="C115" s="1481"/>
      <c r="D115" s="1485" t="s">
        <v>15</v>
      </c>
      <c r="E115" s="1485"/>
      <c r="F115" s="1486"/>
      <c r="G115" s="1473" t="s">
        <v>18</v>
      </c>
      <c r="H115" s="1504">
        <v>15</v>
      </c>
      <c r="I115" s="1505">
        <v>264.86</v>
      </c>
      <c r="J115" s="1474">
        <f t="shared" si="22"/>
        <v>3972.9</v>
      </c>
      <c r="K115" s="1443"/>
      <c r="L115" s="1440" t="str">
        <f>IFERROR(VLOOKUP(D115,#REF!,2,FALSE),"")</f>
        <v/>
      </c>
      <c r="M115" s="1515"/>
      <c r="N115" s="1704"/>
      <c r="O115" s="1515"/>
      <c r="P115" s="1704"/>
      <c r="Q115" s="1439"/>
      <c r="R115" s="1439"/>
      <c r="S115" s="1702"/>
      <c r="T115" s="1702"/>
      <c r="U115" s="1439"/>
      <c r="V115" s="1439"/>
      <c r="W115" s="1440"/>
      <c r="X115" s="1439"/>
      <c r="Y115" s="1439"/>
    </row>
    <row r="116" spans="1:25" ht="16.5">
      <c r="A116" s="1439"/>
      <c r="B116" s="1459"/>
      <c r="C116" s="1481"/>
      <c r="D116" s="1485"/>
      <c r="E116" s="1485"/>
      <c r="F116" s="1488" t="str">
        <f>+"SUB-TOTAL   "&amp;B111&amp;":  "</f>
        <v xml:space="preserve">SUB-TOTAL   13:  </v>
      </c>
      <c r="G116" s="1475"/>
      <c r="H116" s="1506"/>
      <c r="I116" s="1506"/>
      <c r="J116" s="1476">
        <f>SUM(J112:J115)</f>
        <v>9748.3799999999992</v>
      </c>
      <c r="K116" s="1443"/>
      <c r="L116" s="1440" t="str">
        <f>IFERROR(VLOOKUP(D116,#REF!,2,FALSE),"")</f>
        <v/>
      </c>
      <c r="M116" s="1515"/>
      <c r="N116" s="1704"/>
      <c r="O116" s="1515"/>
      <c r="P116" s="1704"/>
      <c r="Q116" s="1439"/>
      <c r="R116" s="1439"/>
      <c r="S116" s="1702"/>
      <c r="T116" s="1702"/>
      <c r="U116" s="1440"/>
      <c r="V116" s="1440"/>
      <c r="W116" s="1440"/>
      <c r="X116" s="1439"/>
      <c r="Y116" s="1439"/>
    </row>
    <row r="117" spans="1:25" ht="16.5">
      <c r="A117" s="1439"/>
      <c r="B117" s="1462">
        <f>1+B111</f>
        <v>14</v>
      </c>
      <c r="C117" s="1481"/>
      <c r="D117" s="1489" t="s">
        <v>573</v>
      </c>
      <c r="E117" s="1485"/>
      <c r="F117" s="1486"/>
      <c r="G117" s="1473"/>
      <c r="H117" s="1504"/>
      <c r="I117" s="1504"/>
      <c r="J117" s="1474"/>
      <c r="K117" s="1443"/>
      <c r="L117" s="1440" t="str">
        <f>IFERROR(VLOOKUP(D117,#REF!,2,FALSE),"")</f>
        <v/>
      </c>
      <c r="M117" s="1515"/>
      <c r="N117" s="1704"/>
      <c r="O117" s="1515"/>
      <c r="P117" s="1704"/>
      <c r="Q117" s="1439"/>
      <c r="R117" s="1439"/>
      <c r="S117" s="1702"/>
      <c r="T117" s="1702"/>
      <c r="U117" s="1440"/>
      <c r="V117" s="1440"/>
      <c r="W117" s="1440"/>
      <c r="X117" s="1439"/>
      <c r="Y117" s="1439"/>
    </row>
    <row r="118" spans="1:25" ht="16.5">
      <c r="A118" s="1439"/>
      <c r="B118" s="1463">
        <f t="shared" ref="B118:B127" si="23">+B117+0.01</f>
        <v>14.01</v>
      </c>
      <c r="C118" s="1481"/>
      <c r="D118" s="1485" t="s">
        <v>574</v>
      </c>
      <c r="E118" s="1485"/>
      <c r="F118" s="1486"/>
      <c r="G118" s="1473" t="s">
        <v>18</v>
      </c>
      <c r="H118" s="1504">
        <v>24</v>
      </c>
      <c r="I118" s="1505">
        <v>10.61</v>
      </c>
      <c r="J118" s="1474">
        <f t="shared" ref="J118:J127" si="24">+ROUND(I118*H118,2)</f>
        <v>254.64</v>
      </c>
      <c r="K118" s="1443"/>
      <c r="L118" s="1440" t="str">
        <f>IFERROR(VLOOKUP(D118,#REF!,2,FALSE),"")</f>
        <v/>
      </c>
      <c r="M118" s="1515"/>
      <c r="N118" s="1704"/>
      <c r="O118" s="1515"/>
      <c r="P118" s="1750"/>
      <c r="Q118" s="1445"/>
      <c r="R118" s="1440"/>
      <c r="S118" s="1751"/>
      <c r="T118" s="1702"/>
      <c r="U118" s="1439"/>
      <c r="V118" s="1750"/>
      <c r="W118" s="1440"/>
      <c r="X118" s="1439"/>
      <c r="Y118" s="1439"/>
    </row>
    <row r="119" spans="1:25" ht="16.5">
      <c r="A119" s="1439"/>
      <c r="B119" s="1463">
        <f t="shared" si="23"/>
        <v>14.02</v>
      </c>
      <c r="C119" s="1481"/>
      <c r="D119" s="1485" t="s">
        <v>839</v>
      </c>
      <c r="E119" s="1485"/>
      <c r="F119" s="1486"/>
      <c r="G119" s="1473" t="s">
        <v>18</v>
      </c>
      <c r="H119" s="1504">
        <v>30</v>
      </c>
      <c r="I119" s="1505">
        <v>867.73</v>
      </c>
      <c r="J119" s="1474">
        <f t="shared" si="24"/>
        <v>26031.9</v>
      </c>
      <c r="K119" s="1443"/>
      <c r="L119" s="1440" t="str">
        <f>IFERROR(VLOOKUP(D119,#REF!,2,FALSE),"")</f>
        <v/>
      </c>
      <c r="M119" s="1515"/>
      <c r="N119" s="1704"/>
      <c r="O119" s="1515"/>
      <c r="P119" s="1750"/>
      <c r="Q119" s="1445"/>
      <c r="R119" s="1440"/>
      <c r="S119" s="1751"/>
      <c r="T119" s="1702"/>
      <c r="U119" s="1439"/>
      <c r="V119" s="1750"/>
      <c r="W119" s="1440"/>
      <c r="X119" s="1439"/>
      <c r="Y119" s="1439"/>
    </row>
    <row r="120" spans="1:25" ht="16.5">
      <c r="A120" s="1439"/>
      <c r="B120" s="1463">
        <f t="shared" si="23"/>
        <v>14.03</v>
      </c>
      <c r="C120" s="1481"/>
      <c r="D120" s="1485" t="s">
        <v>840</v>
      </c>
      <c r="E120" s="1485"/>
      <c r="F120" s="1486"/>
      <c r="G120" s="1473" t="s">
        <v>187</v>
      </c>
      <c r="H120" s="1504">
        <v>673.12</v>
      </c>
      <c r="I120" s="1505">
        <v>40</v>
      </c>
      <c r="J120" s="1474">
        <f t="shared" si="24"/>
        <v>26924.799999999999</v>
      </c>
      <c r="K120" s="1443">
        <f>+H120/3</f>
        <v>224.37333333333333</v>
      </c>
      <c r="L120" s="1440" t="str">
        <f>IFERROR(VLOOKUP(D120,#REF!,2,FALSE),"")</f>
        <v/>
      </c>
      <c r="M120" s="1515"/>
      <c r="N120" s="1704"/>
      <c r="O120" s="1515"/>
      <c r="P120" s="1750"/>
      <c r="Q120" s="1445"/>
      <c r="R120" s="1440"/>
      <c r="S120" s="1751"/>
      <c r="T120" s="1702"/>
      <c r="U120" s="1439"/>
      <c r="V120" s="1750"/>
      <c r="W120" s="1440"/>
      <c r="X120" s="1439"/>
      <c r="Y120" s="1439"/>
    </row>
    <row r="121" spans="1:25" ht="16.5">
      <c r="A121" s="1439"/>
      <c r="B121" s="1463">
        <f t="shared" si="23"/>
        <v>14.04</v>
      </c>
      <c r="C121" s="1481"/>
      <c r="D121" s="1485" t="s">
        <v>575</v>
      </c>
      <c r="E121" s="1485"/>
      <c r="F121" s="1486"/>
      <c r="G121" s="1473" t="s">
        <v>18</v>
      </c>
      <c r="H121" s="1504">
        <v>12</v>
      </c>
      <c r="I121" s="1505">
        <v>81.86</v>
      </c>
      <c r="J121" s="1474">
        <f t="shared" si="24"/>
        <v>982.32</v>
      </c>
      <c r="K121" s="1443"/>
      <c r="L121" s="1440" t="str">
        <f>IFERROR(VLOOKUP(D121,#REF!,2,FALSE),"")</f>
        <v/>
      </c>
      <c r="M121" s="1515"/>
      <c r="N121" s="1704"/>
      <c r="O121" s="1515"/>
      <c r="P121" s="1750"/>
      <c r="Q121" s="1445"/>
      <c r="R121" s="1440"/>
      <c r="S121" s="1751"/>
      <c r="T121" s="1702"/>
      <c r="U121" s="1439"/>
      <c r="V121" s="1750"/>
      <c r="W121" s="1440"/>
      <c r="X121" s="1439"/>
      <c r="Y121" s="1439"/>
    </row>
    <row r="122" spans="1:25" ht="16.5">
      <c r="A122" s="1439"/>
      <c r="B122" s="1463">
        <f t="shared" si="23"/>
        <v>14.049999999999999</v>
      </c>
      <c r="C122" s="1481"/>
      <c r="D122" s="1485" t="s">
        <v>576</v>
      </c>
      <c r="E122" s="1485"/>
      <c r="F122" s="1486"/>
      <c r="G122" s="1473" t="s">
        <v>18</v>
      </c>
      <c r="H122" s="1504">
        <v>25</v>
      </c>
      <c r="I122" s="1505">
        <v>1.47</v>
      </c>
      <c r="J122" s="1474">
        <f t="shared" si="24"/>
        <v>36.75</v>
      </c>
      <c r="K122" s="1443"/>
      <c r="L122" s="1440" t="str">
        <f>IFERROR(VLOOKUP(D122,#REF!,2,FALSE),"")</f>
        <v/>
      </c>
      <c r="M122" s="1515"/>
      <c r="N122" s="1704"/>
      <c r="O122" s="1515"/>
      <c r="P122" s="1750"/>
      <c r="Q122" s="1445"/>
      <c r="R122" s="1440"/>
      <c r="S122" s="1751"/>
      <c r="T122" s="1702"/>
      <c r="U122" s="1439"/>
      <c r="V122" s="1750"/>
      <c r="W122" s="1440"/>
      <c r="X122" s="1439"/>
      <c r="Y122" s="1439"/>
    </row>
    <row r="123" spans="1:25" ht="16.5">
      <c r="A123" s="1439"/>
      <c r="B123" s="1463">
        <f t="shared" si="23"/>
        <v>14.059999999999999</v>
      </c>
      <c r="C123" s="1481"/>
      <c r="D123" s="1485" t="s">
        <v>577</v>
      </c>
      <c r="E123" s="1485"/>
      <c r="F123" s="1486"/>
      <c r="G123" s="1473" t="s">
        <v>18</v>
      </c>
      <c r="H123" s="1504">
        <v>23</v>
      </c>
      <c r="I123" s="1505">
        <v>3.17</v>
      </c>
      <c r="J123" s="1474">
        <f t="shared" si="24"/>
        <v>72.91</v>
      </c>
      <c r="K123" s="1443"/>
      <c r="L123" s="1440" t="str">
        <f>IFERROR(VLOOKUP(D123,#REF!,2,FALSE),"")</f>
        <v/>
      </c>
      <c r="M123" s="1515"/>
      <c r="N123" s="1704"/>
      <c r="O123" s="1515"/>
      <c r="P123" s="1750"/>
      <c r="Q123" s="1445"/>
      <c r="R123" s="1440"/>
      <c r="S123" s="1751"/>
      <c r="T123" s="1702"/>
      <c r="U123" s="1439"/>
      <c r="V123" s="1750"/>
      <c r="W123" s="1440"/>
      <c r="X123" s="1439"/>
      <c r="Y123" s="1439"/>
    </row>
    <row r="124" spans="1:25" ht="16.5">
      <c r="A124" s="1439"/>
      <c r="B124" s="1463">
        <f t="shared" si="23"/>
        <v>14.069999999999999</v>
      </c>
      <c r="C124" s="1481"/>
      <c r="D124" s="1485" t="s">
        <v>578</v>
      </c>
      <c r="E124" s="1485"/>
      <c r="F124" s="1486"/>
      <c r="G124" s="1473" t="s">
        <v>18</v>
      </c>
      <c r="H124" s="1504">
        <v>32</v>
      </c>
      <c r="I124" s="1505">
        <v>13.05</v>
      </c>
      <c r="J124" s="1474">
        <f t="shared" si="24"/>
        <v>417.6</v>
      </c>
      <c r="K124" s="1443"/>
      <c r="L124" s="1440" t="str">
        <f>IFERROR(VLOOKUP(D124,#REF!,2,FALSE),"")</f>
        <v/>
      </c>
      <c r="M124" s="1515"/>
      <c r="N124" s="1704"/>
      <c r="O124" s="1515"/>
      <c r="P124" s="1750"/>
      <c r="Q124" s="1439"/>
      <c r="R124" s="1440"/>
      <c r="S124" s="1751"/>
      <c r="T124" s="1702"/>
      <c r="U124" s="1439"/>
      <c r="V124" s="1750"/>
      <c r="W124" s="1440"/>
      <c r="X124" s="1439"/>
      <c r="Y124" s="1439"/>
    </row>
    <row r="125" spans="1:25" ht="16.5">
      <c r="A125" s="1439"/>
      <c r="B125" s="1463">
        <f t="shared" si="23"/>
        <v>14.079999999999998</v>
      </c>
      <c r="C125" s="1481"/>
      <c r="D125" s="1485" t="s">
        <v>579</v>
      </c>
      <c r="E125" s="1485"/>
      <c r="F125" s="1486"/>
      <c r="G125" s="1473" t="s">
        <v>187</v>
      </c>
      <c r="H125" s="1504">
        <v>53</v>
      </c>
      <c r="I125" s="1505">
        <v>6.02</v>
      </c>
      <c r="J125" s="1474">
        <f t="shared" si="24"/>
        <v>319.06</v>
      </c>
      <c r="K125" s="1443"/>
      <c r="L125" s="1440" t="str">
        <f>IFERROR(VLOOKUP(D125,#REF!,2,FALSE),"")</f>
        <v/>
      </c>
      <c r="M125" s="1515"/>
      <c r="N125" s="1704"/>
      <c r="O125" s="1515"/>
      <c r="P125" s="1750"/>
      <c r="Q125" s="1439"/>
      <c r="R125" s="1440"/>
      <c r="S125" s="1751"/>
      <c r="T125" s="1702"/>
      <c r="U125" s="1439"/>
      <c r="V125" s="1750"/>
      <c r="W125" s="1440"/>
      <c r="X125" s="1439"/>
      <c r="Y125" s="1439"/>
    </row>
    <row r="126" spans="1:25" ht="16.5">
      <c r="A126" s="1439"/>
      <c r="B126" s="1463">
        <f t="shared" si="23"/>
        <v>14.089999999999998</v>
      </c>
      <c r="C126" s="1481"/>
      <c r="D126" s="1485" t="s">
        <v>841</v>
      </c>
      <c r="E126" s="1485"/>
      <c r="F126" s="1486"/>
      <c r="G126" s="1473" t="s">
        <v>18</v>
      </c>
      <c r="H126" s="1504">
        <v>10</v>
      </c>
      <c r="I126" s="1505">
        <v>27.44</v>
      </c>
      <c r="J126" s="1474">
        <f t="shared" si="24"/>
        <v>274.39999999999998</v>
      </c>
      <c r="K126" s="1443"/>
      <c r="L126" s="1440" t="str">
        <f>IFERROR(VLOOKUP(D126,#REF!,2,FALSE),"")</f>
        <v/>
      </c>
      <c r="M126" s="1515"/>
      <c r="N126" s="1704"/>
      <c r="O126" s="1515"/>
      <c r="P126" s="1752"/>
      <c r="Q126" s="1439"/>
      <c r="R126" s="1440"/>
      <c r="S126" s="1751"/>
      <c r="T126" s="1702"/>
      <c r="U126" s="1439"/>
      <c r="V126" s="1752"/>
      <c r="W126" s="1440"/>
      <c r="X126" s="1439"/>
      <c r="Y126" s="1439"/>
    </row>
    <row r="127" spans="1:25" ht="16.5">
      <c r="A127" s="1439"/>
      <c r="B127" s="1463">
        <f t="shared" si="23"/>
        <v>14.099999999999998</v>
      </c>
      <c r="C127" s="1481"/>
      <c r="D127" s="1485" t="s">
        <v>580</v>
      </c>
      <c r="E127" s="1485"/>
      <c r="F127" s="1486"/>
      <c r="G127" s="1473" t="s">
        <v>18</v>
      </c>
      <c r="H127" s="1504">
        <v>60</v>
      </c>
      <c r="I127" s="1505">
        <v>30.41</v>
      </c>
      <c r="J127" s="1474">
        <f t="shared" si="24"/>
        <v>1824.6</v>
      </c>
      <c r="K127" s="1443"/>
      <c r="L127" s="1440" t="str">
        <f>IFERROR(VLOOKUP(D127,#REF!,2,FALSE),"")</f>
        <v/>
      </c>
      <c r="M127" s="1515"/>
      <c r="N127" s="1704"/>
      <c r="O127" s="1515"/>
      <c r="P127" s="1750"/>
      <c r="Q127" s="1439"/>
      <c r="R127" s="1440"/>
      <c r="S127" s="1751"/>
      <c r="T127" s="1702"/>
      <c r="U127" s="1439"/>
      <c r="V127" s="1750"/>
      <c r="W127" s="1440"/>
      <c r="X127" s="1439"/>
      <c r="Y127" s="1439"/>
    </row>
    <row r="128" spans="1:25" ht="16.5">
      <c r="A128" s="1439"/>
      <c r="B128" s="1477"/>
      <c r="C128" s="1491"/>
      <c r="F128" s="1492" t="str">
        <f>+"SUB-TOTAL   "&amp;B117&amp;":  "</f>
        <v xml:space="preserve">SUB-TOTAL   14:  </v>
      </c>
      <c r="G128" s="1475"/>
      <c r="H128" s="1506"/>
      <c r="I128" s="1506"/>
      <c r="J128" s="1476">
        <f>SUM(J118:J127)</f>
        <v>57138.979999999996</v>
      </c>
      <c r="K128" s="1706"/>
      <c r="L128" s="1440"/>
      <c r="M128" s="1440"/>
      <c r="N128" s="1440"/>
      <c r="O128" s="1515"/>
      <c r="P128" s="1751"/>
      <c r="Q128" s="1439"/>
      <c r="R128" s="1439"/>
      <c r="S128" s="1702"/>
      <c r="T128" s="1702"/>
      <c r="U128" s="1439"/>
      <c r="V128" s="1439"/>
      <c r="W128" s="1440"/>
      <c r="X128" s="1439"/>
      <c r="Y128" s="1439"/>
    </row>
    <row r="129" spans="1:25" ht="16.5">
      <c r="A129" s="1439"/>
      <c r="B129" s="1495"/>
      <c r="C129" s="1496"/>
      <c r="D129" s="1497" t="s">
        <v>202</v>
      </c>
      <c r="E129" s="1496"/>
      <c r="F129" s="1496"/>
      <c r="G129" s="1498"/>
      <c r="H129" s="1499"/>
      <c r="I129" s="1500"/>
      <c r="J129" s="1901">
        <f>+ROUND(SUM(J8:J128)/2,2)</f>
        <v>628325.26</v>
      </c>
      <c r="K129" s="1706"/>
      <c r="L129" s="1702"/>
      <c r="M129" s="1702"/>
      <c r="N129" s="1702"/>
      <c r="O129" s="1439"/>
      <c r="P129" s="1440"/>
      <c r="Q129" s="1707"/>
      <c r="R129" s="1439"/>
      <c r="S129" s="1703"/>
      <c r="T129" s="1703"/>
      <c r="U129" s="1439"/>
      <c r="V129" s="1439"/>
      <c r="W129" s="1440"/>
      <c r="X129" s="1439"/>
      <c r="Y129" s="1439"/>
    </row>
    <row r="130" spans="1:25" ht="14.25">
      <c r="B130" s="521"/>
      <c r="C130" s="522"/>
      <c r="D130" s="522"/>
    </row>
    <row r="131" spans="1:25" ht="14.25">
      <c r="B131" s="522"/>
      <c r="C131" s="522"/>
      <c r="D131" s="522"/>
      <c r="J131" s="1711">
        <f>+J128+J116+J110+J99+J84+J62+J59+J44+J40+J36+J30+J25+J22+J16</f>
        <v>628325.26</v>
      </c>
    </row>
    <row r="132" spans="1:25">
      <c r="H132" s="527"/>
      <c r="J132" s="1418" t="b">
        <f>J131=J129</f>
        <v>1</v>
      </c>
      <c r="K132" s="1708"/>
    </row>
    <row r="133" spans="1:25">
      <c r="H133" s="529"/>
      <c r="J133" s="1419"/>
      <c r="K133" s="1709"/>
    </row>
    <row r="134" spans="1:25">
      <c r="H134" s="527"/>
      <c r="J134" s="1420"/>
      <c r="K134" s="1710"/>
    </row>
    <row r="135" spans="1:25">
      <c r="J135" s="1418"/>
      <c r="K135" s="1708"/>
    </row>
  </sheetData>
  <mergeCells count="11">
    <mergeCell ref="D91:F91"/>
    <mergeCell ref="D94:F94"/>
    <mergeCell ref="D92:F92"/>
    <mergeCell ref="D103:F103"/>
    <mergeCell ref="D104:F104"/>
    <mergeCell ref="D87:F87"/>
    <mergeCell ref="C7:F7"/>
    <mergeCell ref="D61:F61"/>
    <mergeCell ref="D64:F64"/>
    <mergeCell ref="D71:F71"/>
    <mergeCell ref="D80:F80"/>
  </mergeCells>
  <printOptions horizontalCentered="1"/>
  <pageMargins left="0.51181102362204722" right="0.51181102362204722" top="0.35433070866141736" bottom="0.35433070866141736" header="0.31496062992125984" footer="0.31496062992125984"/>
  <pageSetup paperSize="9" scale="75" orientation="portrait" verticalDpi="1200" r:id="rId1"/>
  <rowBreaks count="2" manualBreakCount="2">
    <brk id="59" min="1" max="9" man="1"/>
    <brk id="99" min="1" max="9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C137"/>
  <sheetViews>
    <sheetView view="pageBreakPreview" topLeftCell="A7" zoomScale="80" zoomScaleNormal="100" zoomScaleSheetLayoutView="80" workbookViewId="0">
      <pane xSplit="6" ySplit="2" topLeftCell="G111" activePane="bottomRight" state="frozen"/>
      <selection activeCell="C18" sqref="C18"/>
      <selection pane="topRight" activeCell="C18" sqref="C18"/>
      <selection pane="bottomLeft" activeCell="C18" sqref="C18"/>
      <selection pane="bottomRight" activeCell="C18" sqref="C18"/>
    </sheetView>
  </sheetViews>
  <sheetFormatPr baseColWidth="10" defaultColWidth="9.33203125" defaultRowHeight="12.75"/>
  <cols>
    <col min="2" max="2" width="9.5" bestFit="1" customWidth="1"/>
    <col min="3" max="3" width="0" hidden="1" customWidth="1"/>
    <col min="6" max="6" width="67.1640625" customWidth="1"/>
    <col min="8" max="8" width="9.5" bestFit="1" customWidth="1"/>
    <col min="9" max="9" width="11.33203125" bestFit="1" customWidth="1"/>
    <col min="10" max="10" width="16.5" bestFit="1" customWidth="1"/>
    <col min="11" max="11" width="9.5" bestFit="1" customWidth="1"/>
    <col min="12" max="13" width="11.33203125" bestFit="1" customWidth="1"/>
  </cols>
  <sheetData>
    <row r="1" spans="1:107" ht="27.75">
      <c r="B1" s="1429" t="s">
        <v>127</v>
      </c>
      <c r="C1" s="309"/>
      <c r="D1" s="296"/>
      <c r="E1" s="297"/>
      <c r="F1" s="298"/>
      <c r="G1" s="298"/>
      <c r="H1" s="523"/>
      <c r="I1" s="523"/>
      <c r="K1" s="1760"/>
      <c r="L1" s="523"/>
      <c r="M1" s="523"/>
      <c r="CX1" s="530"/>
      <c r="CY1" s="530"/>
      <c r="CZ1" s="530"/>
      <c r="DA1" s="530"/>
      <c r="DB1" s="530"/>
    </row>
    <row r="2" spans="1:107" ht="21.75">
      <c r="B2" s="1433" t="s">
        <v>963</v>
      </c>
      <c r="C2" s="310"/>
      <c r="D2" s="300"/>
      <c r="E2" s="301"/>
      <c r="F2" s="311"/>
      <c r="G2" s="311"/>
      <c r="H2" s="523"/>
      <c r="I2" s="523"/>
      <c r="K2" s="1760"/>
      <c r="L2" s="523"/>
      <c r="M2" s="523"/>
      <c r="CX2" s="530"/>
      <c r="CY2" s="530"/>
      <c r="CZ2" s="530"/>
      <c r="DA2" s="530"/>
      <c r="DB2" s="530"/>
    </row>
    <row r="3" spans="1:107" ht="21.75">
      <c r="B3" s="1435" t="s">
        <v>9</v>
      </c>
      <c r="C3" s="312"/>
      <c r="D3" s="302"/>
      <c r="E3" s="1910" t="s">
        <v>10</v>
      </c>
      <c r="F3" s="1437" t="s">
        <v>544</v>
      </c>
      <c r="G3" s="311"/>
      <c r="H3" s="523"/>
      <c r="I3" s="523"/>
      <c r="K3" s="1760"/>
      <c r="L3" s="523"/>
      <c r="M3" s="523"/>
      <c r="CX3" s="530"/>
      <c r="CY3" s="530"/>
      <c r="CZ3" s="530"/>
      <c r="DA3" s="530"/>
      <c r="DB3" s="530"/>
    </row>
    <row r="4" spans="1:107" ht="20.25">
      <c r="B4" s="1433" t="s">
        <v>284</v>
      </c>
      <c r="C4" s="313"/>
      <c r="D4" s="314"/>
      <c r="E4" s="1911" t="s">
        <v>10</v>
      </c>
      <c r="F4" s="1438" t="s">
        <v>20</v>
      </c>
      <c r="G4" s="316"/>
      <c r="H4" s="523"/>
      <c r="I4" s="523"/>
      <c r="K4" s="1760"/>
      <c r="L4" s="523"/>
      <c r="M4" s="523"/>
      <c r="CX4" s="530"/>
      <c r="CY4" s="530"/>
      <c r="CZ4" s="530"/>
      <c r="DA4" s="530"/>
      <c r="DB4" s="530"/>
    </row>
    <row r="5" spans="1:107" ht="18">
      <c r="B5" s="304" t="s">
        <v>964</v>
      </c>
      <c r="C5" s="317"/>
      <c r="D5" s="318"/>
      <c r="E5" s="319"/>
      <c r="F5" s="315"/>
      <c r="G5" s="316"/>
      <c r="H5" s="523"/>
      <c r="I5" s="523"/>
      <c r="J5" s="530"/>
      <c r="K5" s="1761"/>
      <c r="L5" s="523"/>
      <c r="M5" s="523"/>
      <c r="N5" s="530"/>
      <c r="O5" s="530"/>
      <c r="P5" s="530"/>
      <c r="Q5" s="530"/>
      <c r="R5" s="530"/>
      <c r="S5" s="530"/>
      <c r="T5" s="530"/>
      <c r="U5" s="530"/>
      <c r="V5" s="530"/>
      <c r="W5" s="530"/>
      <c r="X5" s="530"/>
      <c r="Y5" s="530"/>
      <c r="Z5" s="530"/>
      <c r="AA5" s="530"/>
      <c r="AB5" s="530"/>
      <c r="AC5" s="530"/>
      <c r="AD5" s="530"/>
      <c r="AE5" s="530"/>
      <c r="AF5" s="530"/>
      <c r="AG5" s="530"/>
      <c r="AH5" s="530"/>
      <c r="AI5" s="530"/>
      <c r="AJ5" s="530"/>
      <c r="AK5" s="530"/>
      <c r="AL5" s="530"/>
      <c r="AM5" s="530"/>
      <c r="AN5" s="530"/>
      <c r="AO5" s="530"/>
      <c r="AP5" s="530"/>
      <c r="AQ5" s="530"/>
      <c r="AR5" s="530"/>
      <c r="AS5" s="530"/>
      <c r="AT5" s="530"/>
      <c r="AU5" s="530"/>
      <c r="AV5" s="530"/>
      <c r="AW5" s="530"/>
      <c r="AX5" s="530"/>
      <c r="AY5" s="530"/>
      <c r="AZ5" s="530"/>
      <c r="BA5" s="530"/>
      <c r="BB5" s="530"/>
      <c r="BC5" s="530"/>
      <c r="BD5" s="530"/>
      <c r="BE5" s="530"/>
      <c r="BF5" s="530"/>
      <c r="BG5" s="530"/>
      <c r="BH5" s="530"/>
      <c r="BI5" s="530"/>
      <c r="BJ5" s="530"/>
      <c r="BK5" s="530"/>
      <c r="BL5" s="530"/>
      <c r="BM5" s="530"/>
      <c r="BN5" s="530"/>
      <c r="BO5" s="530"/>
      <c r="BP5" s="530"/>
      <c r="BQ5" s="530"/>
      <c r="BR5" s="530"/>
      <c r="BS5" s="530"/>
      <c r="BT5" s="530"/>
      <c r="BU5" s="530"/>
      <c r="BV5" s="530"/>
      <c r="BW5" s="530"/>
      <c r="BX5" s="530"/>
      <c r="BY5" s="530"/>
      <c r="BZ5" s="530"/>
      <c r="CA5" s="530"/>
      <c r="CB5" s="530"/>
      <c r="CC5" s="530"/>
      <c r="CD5" s="530"/>
      <c r="CE5" s="530"/>
      <c r="CF5" s="530"/>
      <c r="CG5" s="530"/>
      <c r="CH5" s="530"/>
      <c r="CI5" s="530"/>
      <c r="CJ5" s="530"/>
      <c r="CK5" s="530"/>
      <c r="CL5" s="530"/>
      <c r="CM5" s="530"/>
      <c r="CN5" s="530"/>
      <c r="CO5" s="530"/>
      <c r="CP5" s="530"/>
      <c r="CQ5" s="530"/>
      <c r="CR5" s="530"/>
      <c r="CS5" s="530"/>
      <c r="CT5" s="530"/>
      <c r="CU5" s="530"/>
      <c r="CV5" s="530"/>
      <c r="CW5" s="530"/>
      <c r="CX5" s="530"/>
      <c r="CY5" s="530"/>
      <c r="CZ5" s="530"/>
      <c r="DA5" s="530"/>
      <c r="DB5" s="530"/>
    </row>
    <row r="6" spans="1:107" ht="23.25" hidden="1">
      <c r="C6" s="320"/>
      <c r="D6" s="317"/>
      <c r="E6" s="318"/>
      <c r="G6" s="315"/>
      <c r="H6" s="524"/>
      <c r="I6" s="513"/>
      <c r="J6" s="507"/>
      <c r="K6" s="1732"/>
      <c r="L6" s="513"/>
      <c r="M6" s="513"/>
      <c r="N6" s="507"/>
      <c r="O6" s="507"/>
      <c r="P6" s="530"/>
      <c r="Q6" s="530"/>
      <c r="R6" s="530"/>
      <c r="S6" s="530"/>
      <c r="T6" s="530"/>
      <c r="U6" s="530"/>
      <c r="V6" s="530"/>
      <c r="W6" s="530"/>
      <c r="X6" s="530"/>
      <c r="Y6" s="530"/>
      <c r="Z6" s="530"/>
      <c r="AA6" s="530"/>
      <c r="AB6" s="530"/>
      <c r="AC6" s="530"/>
      <c r="AD6" s="530"/>
      <c r="AE6" s="530"/>
      <c r="AF6" s="530"/>
      <c r="AG6" s="530"/>
      <c r="AH6" s="530"/>
      <c r="AI6" s="530"/>
      <c r="AJ6" s="530"/>
      <c r="AK6" s="530"/>
      <c r="AL6" s="530"/>
      <c r="AM6" s="530"/>
      <c r="AN6" s="530"/>
      <c r="AO6" s="530"/>
      <c r="AP6" s="530"/>
      <c r="AQ6" s="530"/>
      <c r="AR6" s="530"/>
      <c r="AS6" s="530"/>
      <c r="AT6" s="530"/>
      <c r="AU6" s="530"/>
      <c r="AV6" s="530"/>
      <c r="AW6" s="530"/>
      <c r="AX6" s="530"/>
      <c r="AY6" s="530"/>
      <c r="AZ6" s="530"/>
      <c r="BA6" s="530"/>
      <c r="BB6" s="530"/>
      <c r="BC6" s="530"/>
      <c r="BD6" s="530"/>
      <c r="BE6" s="530"/>
      <c r="BF6" s="530"/>
      <c r="BG6" s="530"/>
      <c r="BH6" s="530"/>
      <c r="BI6" s="530"/>
      <c r="BJ6" s="530"/>
      <c r="BK6" s="530"/>
      <c r="BL6" s="530"/>
      <c r="BM6" s="530"/>
      <c r="BN6" s="530"/>
      <c r="BO6" s="530"/>
      <c r="BP6" s="530"/>
      <c r="BQ6" s="530"/>
      <c r="BR6" s="530"/>
      <c r="BS6" s="530"/>
      <c r="BT6" s="530"/>
      <c r="BU6" s="530"/>
      <c r="BV6" s="530"/>
      <c r="BW6" s="530"/>
      <c r="BX6" s="530"/>
      <c r="BY6" s="530"/>
      <c r="BZ6" s="530"/>
      <c r="CA6" s="530"/>
      <c r="CB6" s="530"/>
      <c r="CC6" s="530"/>
      <c r="CD6" s="530"/>
      <c r="CE6" s="530"/>
      <c r="CF6" s="530"/>
      <c r="CG6" s="530"/>
      <c r="CH6" s="530"/>
      <c r="CI6" s="530"/>
      <c r="CJ6" s="530"/>
      <c r="CK6" s="530"/>
      <c r="CL6" s="530"/>
      <c r="CM6" s="530"/>
      <c r="CN6" s="530"/>
      <c r="CO6" s="530"/>
      <c r="CP6" s="530"/>
      <c r="CQ6" s="530"/>
      <c r="CR6" s="530"/>
      <c r="CS6" s="530"/>
      <c r="CT6" s="530"/>
      <c r="CU6" s="530"/>
      <c r="CV6" s="530"/>
      <c r="CW6" s="530"/>
      <c r="CX6" s="530"/>
      <c r="CY6" s="530"/>
      <c r="CZ6" s="530"/>
      <c r="DA6" s="530"/>
      <c r="DB6" s="530"/>
      <c r="DC6" s="530"/>
    </row>
    <row r="7" spans="1:107" ht="42.75" customHeight="1">
      <c r="B7" s="1453" t="s">
        <v>959</v>
      </c>
      <c r="C7" s="2056" t="s">
        <v>958</v>
      </c>
      <c r="D7" s="2057"/>
      <c r="E7" s="2057"/>
      <c r="F7" s="2058"/>
      <c r="G7" s="1454" t="s">
        <v>376</v>
      </c>
      <c r="H7" s="1455" t="s">
        <v>960</v>
      </c>
      <c r="I7" s="1455" t="s">
        <v>961</v>
      </c>
      <c r="J7" s="1455" t="s">
        <v>1004</v>
      </c>
      <c r="K7" s="1762"/>
      <c r="L7" s="1530" t="s">
        <v>961</v>
      </c>
      <c r="M7" s="1905">
        <v>0.9</v>
      </c>
      <c r="N7" s="1421"/>
      <c r="O7" s="327"/>
    </row>
    <row r="8" spans="1:107" hidden="1">
      <c r="B8" s="1531"/>
      <c r="C8" s="1550"/>
      <c r="D8" s="1551"/>
      <c r="E8" s="1551"/>
      <c r="F8" s="1552"/>
      <c r="G8" s="1532"/>
      <c r="H8" s="1533"/>
      <c r="I8" s="1533"/>
      <c r="J8" s="1532"/>
      <c r="K8" s="1763"/>
      <c r="L8" s="1533"/>
      <c r="M8" s="1533"/>
      <c r="N8" s="323"/>
      <c r="O8" s="327"/>
      <c r="Q8" s="325"/>
    </row>
    <row r="9" spans="1:107" ht="16.5">
      <c r="A9" s="1508"/>
      <c r="B9" s="1534">
        <v>1</v>
      </c>
      <c r="C9" s="1553"/>
      <c r="D9" s="1484" t="s">
        <v>204</v>
      </c>
      <c r="F9" s="1487"/>
      <c r="G9" s="1465"/>
      <c r="H9" s="1501"/>
      <c r="I9" s="1501"/>
      <c r="J9" s="1535"/>
      <c r="K9" s="1764"/>
      <c r="L9" s="1501"/>
      <c r="M9" s="1501"/>
      <c r="N9" s="1509"/>
      <c r="O9" s="1510"/>
      <c r="Q9" s="1510"/>
    </row>
    <row r="10" spans="1:107" ht="16.5">
      <c r="A10" s="1511"/>
      <c r="B10" s="1535">
        <f>B9+0.01</f>
        <v>1.01</v>
      </c>
      <c r="C10" s="1553"/>
      <c r="D10" s="1508" t="s">
        <v>581</v>
      </c>
      <c r="E10" s="1508"/>
      <c r="F10" s="1579"/>
      <c r="G10" s="1465" t="s">
        <v>19</v>
      </c>
      <c r="H10" s="1501">
        <v>1</v>
      </c>
      <c r="I10" s="1501">
        <v>5182.5200000000004</v>
      </c>
      <c r="J10" s="1536">
        <f t="shared" ref="J10:J12" si="0">+ROUND(I10*H10,2)</f>
        <v>5182.5200000000004</v>
      </c>
      <c r="K10" s="1765"/>
      <c r="L10" s="1501">
        <v>5758.36</v>
      </c>
      <c r="M10" s="1501">
        <f>+ROUND(L10*$M$7,2)</f>
        <v>5182.5200000000004</v>
      </c>
      <c r="N10" s="1512"/>
      <c r="O10" s="1510"/>
      <c r="P10" s="1513"/>
      <c r="Q10" s="1514"/>
      <c r="R10" s="1442"/>
      <c r="S10" s="1515"/>
    </row>
    <row r="11" spans="1:107" ht="16.5">
      <c r="A11" s="1511"/>
      <c r="B11" s="1535">
        <f t="shared" ref="B11:B17" si="1">B10+0.01</f>
        <v>1.02</v>
      </c>
      <c r="C11" s="1553"/>
      <c r="D11" s="1508" t="s">
        <v>582</v>
      </c>
      <c r="E11" s="1873"/>
      <c r="F11" s="1874"/>
      <c r="G11" s="1465" t="s">
        <v>19</v>
      </c>
      <c r="H11" s="1501">
        <v>1</v>
      </c>
      <c r="I11" s="1501">
        <v>7070.38</v>
      </c>
      <c r="J11" s="1536">
        <f t="shared" si="0"/>
        <v>7070.38</v>
      </c>
      <c r="K11" s="1765"/>
      <c r="L11" s="1501">
        <v>7855.9800000000005</v>
      </c>
      <c r="M11" s="1501">
        <f t="shared" ref="M11:M17" si="2">+ROUND(L11*$M$7,2)</f>
        <v>7070.38</v>
      </c>
      <c r="N11" s="1512"/>
      <c r="O11" s="1510"/>
      <c r="P11" s="1513"/>
      <c r="Q11" s="1514"/>
      <c r="R11" s="1442"/>
      <c r="S11" s="1515"/>
    </row>
    <row r="12" spans="1:107" ht="16.5">
      <c r="A12" s="1511"/>
      <c r="B12" s="1535">
        <f t="shared" si="1"/>
        <v>1.03</v>
      </c>
      <c r="C12" s="1553"/>
      <c r="D12" s="1508" t="s">
        <v>583</v>
      </c>
      <c r="E12" s="1871"/>
      <c r="F12" s="1872"/>
      <c r="G12" s="1465" t="s">
        <v>19</v>
      </c>
      <c r="H12" s="1501">
        <v>1</v>
      </c>
      <c r="I12" s="1501">
        <v>4953.82</v>
      </c>
      <c r="J12" s="1536">
        <f t="shared" si="0"/>
        <v>4953.82</v>
      </c>
      <c r="K12" s="1907" t="e">
        <f>+#REF!</f>
        <v>#REF!</v>
      </c>
      <c r="L12" s="1501">
        <v>5735.13</v>
      </c>
      <c r="M12" s="1501">
        <f t="shared" si="2"/>
        <v>5161.62</v>
      </c>
      <c r="N12" s="1512"/>
      <c r="O12" s="1510"/>
      <c r="P12" s="1513"/>
      <c r="Q12" s="1514"/>
      <c r="R12" s="1442"/>
      <c r="S12" s="1442"/>
    </row>
    <row r="13" spans="1:107" ht="16.5">
      <c r="A13" s="1511"/>
      <c r="B13" s="1535">
        <f t="shared" si="1"/>
        <v>1.04</v>
      </c>
      <c r="C13" s="1553"/>
      <c r="D13" s="1508" t="s">
        <v>493</v>
      </c>
      <c r="E13" s="1508"/>
      <c r="F13" s="1579"/>
      <c r="G13" s="1465" t="s">
        <v>19</v>
      </c>
      <c r="H13" s="1501">
        <v>1</v>
      </c>
      <c r="I13" s="1501">
        <v>5429.3</v>
      </c>
      <c r="J13" s="1536">
        <f t="shared" ref="J13:J17" si="3">+ROUND(I13*H13,2)</f>
        <v>5429.3</v>
      </c>
      <c r="K13" s="1907" t="e">
        <f>+#REF!</f>
        <v>#REF!</v>
      </c>
      <c r="L13" s="1501">
        <v>6280</v>
      </c>
      <c r="M13" s="1501">
        <f t="shared" si="2"/>
        <v>5652</v>
      </c>
      <c r="N13" s="1512"/>
      <c r="O13" s="1510"/>
      <c r="P13" s="1513"/>
      <c r="Q13" s="1514"/>
      <c r="R13" s="1442"/>
      <c r="S13" s="1515"/>
    </row>
    <row r="14" spans="1:107" ht="16.5">
      <c r="A14" s="1511"/>
      <c r="B14" s="1535">
        <f t="shared" si="1"/>
        <v>1.05</v>
      </c>
      <c r="C14" s="1553"/>
      <c r="D14" s="1508" t="s">
        <v>584</v>
      </c>
      <c r="E14" s="1508"/>
      <c r="F14" s="1579"/>
      <c r="G14" s="1465" t="s">
        <v>19</v>
      </c>
      <c r="H14" s="1501">
        <v>1</v>
      </c>
      <c r="I14" s="1501">
        <v>1947.8000000000002</v>
      </c>
      <c r="J14" s="1536">
        <f t="shared" si="3"/>
        <v>1947.8</v>
      </c>
      <c r="K14" s="1765"/>
      <c r="L14" s="1501">
        <v>2151.58</v>
      </c>
      <c r="M14" s="1501">
        <f t="shared" si="2"/>
        <v>1936.42</v>
      </c>
      <c r="N14" s="1512"/>
      <c r="O14" s="1510"/>
      <c r="P14" s="1513"/>
      <c r="Q14" s="1514"/>
      <c r="R14" s="1442"/>
      <c r="S14" s="1515"/>
    </row>
    <row r="15" spans="1:107" ht="16.5">
      <c r="A15" s="1511"/>
      <c r="B15" s="1535">
        <f t="shared" si="1"/>
        <v>1.06</v>
      </c>
      <c r="C15" s="1553"/>
      <c r="D15" s="1508" t="s">
        <v>585</v>
      </c>
      <c r="E15" s="1508"/>
      <c r="F15" s="1579"/>
      <c r="G15" s="1465" t="s">
        <v>18</v>
      </c>
      <c r="H15" s="1501">
        <v>1</v>
      </c>
      <c r="I15" s="1501">
        <v>1703.1</v>
      </c>
      <c r="J15" s="1536">
        <f t="shared" si="3"/>
        <v>1703.1</v>
      </c>
      <c r="K15" s="1765"/>
      <c r="L15" s="1501">
        <v>1892.33</v>
      </c>
      <c r="M15" s="1501">
        <f t="shared" si="2"/>
        <v>1703.1</v>
      </c>
      <c r="N15" s="1512"/>
      <c r="O15" s="1510"/>
      <c r="P15" s="1513"/>
      <c r="Q15" s="1514"/>
      <c r="R15" s="1442"/>
      <c r="S15" s="1515"/>
    </row>
    <row r="16" spans="1:107" ht="16.5">
      <c r="A16" s="1511"/>
      <c r="B16" s="1535">
        <f t="shared" si="1"/>
        <v>1.07</v>
      </c>
      <c r="C16" s="1553"/>
      <c r="D16" s="1508" t="s">
        <v>735</v>
      </c>
      <c r="E16" s="1508"/>
      <c r="F16" s="1579"/>
      <c r="G16" s="1465" t="s">
        <v>301</v>
      </c>
      <c r="H16" s="1501">
        <v>0.68</v>
      </c>
      <c r="I16" s="1501">
        <v>2340.59</v>
      </c>
      <c r="J16" s="1536">
        <f t="shared" si="3"/>
        <v>1591.6</v>
      </c>
      <c r="K16" s="1765"/>
      <c r="L16" s="1501">
        <v>2600.66</v>
      </c>
      <c r="M16" s="1501">
        <f t="shared" si="2"/>
        <v>2340.59</v>
      </c>
      <c r="N16" s="1512"/>
      <c r="O16" s="1510"/>
      <c r="P16" s="1513"/>
      <c r="Q16" s="1514"/>
      <c r="R16" s="1442"/>
      <c r="S16" s="1515"/>
    </row>
    <row r="17" spans="1:23" ht="16.5">
      <c r="A17" s="1511"/>
      <c r="B17" s="1535">
        <f t="shared" si="1"/>
        <v>1.08</v>
      </c>
      <c r="C17" s="1553"/>
      <c r="D17" s="1508" t="s">
        <v>586</v>
      </c>
      <c r="E17" s="1871"/>
      <c r="F17" s="1872"/>
      <c r="G17" s="1465" t="s">
        <v>191</v>
      </c>
      <c r="H17" s="1501">
        <v>22.95</v>
      </c>
      <c r="I17" s="1501">
        <v>585.05999999999995</v>
      </c>
      <c r="J17" s="1536">
        <f t="shared" si="3"/>
        <v>13427.13</v>
      </c>
      <c r="K17" s="1765"/>
      <c r="L17" s="1501">
        <v>716.73</v>
      </c>
      <c r="M17" s="1501">
        <f t="shared" si="2"/>
        <v>645.05999999999995</v>
      </c>
      <c r="N17" s="1512"/>
      <c r="O17" s="1510"/>
      <c r="P17" s="1513"/>
      <c r="Q17" s="1514"/>
      <c r="R17" s="1442"/>
      <c r="S17" s="1515"/>
    </row>
    <row r="18" spans="1:23" ht="16.5">
      <c r="A18" s="1508"/>
      <c r="B18" s="1464"/>
      <c r="C18" s="1553"/>
      <c r="D18" s="1508"/>
      <c r="E18" s="1508"/>
      <c r="F18" s="1605" t="str">
        <f>+"SUB-TOTAL   "&amp;B9&amp;":  "</f>
        <v xml:space="preserve">SUB-TOTAL   1:  </v>
      </c>
      <c r="G18" s="1537"/>
      <c r="H18" s="1565"/>
      <c r="I18" s="1565"/>
      <c r="J18" s="1539">
        <f>+SUM(J8:J17)</f>
        <v>41305.649999999994</v>
      </c>
      <c r="K18" s="1765"/>
      <c r="L18" s="1565"/>
      <c r="M18" s="1565"/>
      <c r="N18" s="1512"/>
      <c r="O18" s="1510"/>
      <c r="P18" s="1513"/>
      <c r="Q18" s="1514"/>
      <c r="U18" s="1516"/>
      <c r="V18" s="1516"/>
      <c r="W18" s="1516"/>
    </row>
    <row r="19" spans="1:23" ht="16.5">
      <c r="A19" s="1508"/>
      <c r="B19" s="1534">
        <v>2</v>
      </c>
      <c r="C19" s="1553"/>
      <c r="D19" s="1575" t="s">
        <v>408</v>
      </c>
      <c r="E19" s="1508"/>
      <c r="F19" s="1579"/>
      <c r="G19" s="1465"/>
      <c r="H19" s="1501"/>
      <c r="I19" s="1501"/>
      <c r="J19" s="1536"/>
      <c r="K19" s="1765"/>
      <c r="L19" s="1501"/>
      <c r="M19" s="1501"/>
      <c r="N19" s="1512"/>
      <c r="O19" s="1510"/>
      <c r="P19" s="1513"/>
      <c r="Q19" s="1514"/>
      <c r="R19" s="1517"/>
    </row>
    <row r="20" spans="1:23" ht="16.5">
      <c r="A20" s="1511"/>
      <c r="B20" s="1535">
        <f>+B19+0.01</f>
        <v>2.0099999999999998</v>
      </c>
      <c r="C20" s="1553"/>
      <c r="D20" s="1508" t="s">
        <v>563</v>
      </c>
      <c r="E20" s="1508"/>
      <c r="F20" s="1579"/>
      <c r="G20" s="1465" t="s">
        <v>18</v>
      </c>
      <c r="H20" s="1501">
        <v>14</v>
      </c>
      <c r="I20" s="1501">
        <v>247.05</v>
      </c>
      <c r="J20" s="1536">
        <f t="shared" ref="J20:J45" si="4">+ROUND(I20*H20,2)</f>
        <v>3458.7</v>
      </c>
      <c r="K20" s="1765"/>
      <c r="L20" s="1501">
        <v>274.5</v>
      </c>
      <c r="M20" s="1501">
        <f t="shared" ref="M20:M54" si="5">+ROUND(L20*$M$7,2)</f>
        <v>247.05</v>
      </c>
      <c r="N20" s="1512"/>
      <c r="O20" s="1510"/>
      <c r="P20" s="1513"/>
      <c r="Q20" s="1514"/>
      <c r="R20" s="1442"/>
      <c r="S20" s="1515"/>
    </row>
    <row r="21" spans="1:23" ht="16.5">
      <c r="A21" s="1518"/>
      <c r="B21" s="1535">
        <f t="shared" ref="B21:B54" si="6">+B20+0.01</f>
        <v>2.0199999999999996</v>
      </c>
      <c r="C21" s="1553"/>
      <c r="D21" s="1508" t="s">
        <v>873</v>
      </c>
      <c r="E21" s="1508"/>
      <c r="F21" s="1579"/>
      <c r="G21" s="1465" t="s">
        <v>18</v>
      </c>
      <c r="H21" s="1501">
        <v>1</v>
      </c>
      <c r="I21" s="1501">
        <v>375.26</v>
      </c>
      <c r="J21" s="1536">
        <f t="shared" si="4"/>
        <v>375.26</v>
      </c>
      <c r="K21" s="1765"/>
      <c r="L21" s="1501">
        <v>416.95</v>
      </c>
      <c r="M21" s="1501">
        <f t="shared" si="5"/>
        <v>375.26</v>
      </c>
      <c r="N21" s="1512"/>
      <c r="O21" s="1510"/>
      <c r="P21" s="1513"/>
      <c r="Q21" s="1514"/>
      <c r="R21" s="1442"/>
      <c r="S21" s="1515"/>
    </row>
    <row r="22" spans="1:23" ht="16.5">
      <c r="A22" s="1511"/>
      <c r="B22" s="1535">
        <f t="shared" si="6"/>
        <v>2.0299999999999994</v>
      </c>
      <c r="C22" s="1553"/>
      <c r="D22" s="1508" t="s">
        <v>564</v>
      </c>
      <c r="E22" s="1508"/>
      <c r="F22" s="1579"/>
      <c r="G22" s="1465" t="s">
        <v>18</v>
      </c>
      <c r="H22" s="1501">
        <v>5</v>
      </c>
      <c r="I22" s="1501">
        <v>270.58999999999997</v>
      </c>
      <c r="J22" s="1536">
        <f t="shared" si="4"/>
        <v>1352.95</v>
      </c>
      <c r="K22" s="1765"/>
      <c r="L22" s="1501">
        <v>300.65999999999997</v>
      </c>
      <c r="M22" s="1501">
        <f t="shared" si="5"/>
        <v>270.58999999999997</v>
      </c>
      <c r="N22" s="1512"/>
      <c r="O22" s="1510"/>
      <c r="P22" s="1513"/>
      <c r="Q22" s="1514"/>
      <c r="R22" s="1442"/>
      <c r="S22" s="1515"/>
    </row>
    <row r="23" spans="1:23" ht="16.5">
      <c r="A23" s="1518"/>
      <c r="B23" s="1535">
        <f t="shared" si="6"/>
        <v>2.0399999999999991</v>
      </c>
      <c r="C23" s="1553"/>
      <c r="D23" s="1508" t="s">
        <v>874</v>
      </c>
      <c r="E23" s="1508"/>
      <c r="F23" s="1579"/>
      <c r="G23" s="1465" t="s">
        <v>18</v>
      </c>
      <c r="H23" s="1501">
        <v>1</v>
      </c>
      <c r="I23" s="1501">
        <v>416.46</v>
      </c>
      <c r="J23" s="1536">
        <f t="shared" si="4"/>
        <v>416.46</v>
      </c>
      <c r="K23" s="1765"/>
      <c r="L23" s="1501">
        <v>462.73</v>
      </c>
      <c r="M23" s="1501">
        <f t="shared" si="5"/>
        <v>416.46</v>
      </c>
      <c r="N23" s="1512"/>
      <c r="O23" s="1510"/>
      <c r="P23" s="1513"/>
      <c r="Q23" s="1514"/>
      <c r="R23" s="1442"/>
      <c r="S23" s="1515"/>
    </row>
    <row r="24" spans="1:23" ht="16.5">
      <c r="A24" s="1511"/>
      <c r="B24" s="1535">
        <f t="shared" si="6"/>
        <v>2.0499999999999989</v>
      </c>
      <c r="C24" s="1553"/>
      <c r="D24" s="1508" t="s">
        <v>562</v>
      </c>
      <c r="E24" s="1508"/>
      <c r="F24" s="1579"/>
      <c r="G24" s="1465" t="s">
        <v>18</v>
      </c>
      <c r="H24" s="1501">
        <v>118</v>
      </c>
      <c r="I24" s="1501">
        <v>301.45999999999998</v>
      </c>
      <c r="J24" s="1536">
        <f t="shared" si="4"/>
        <v>35572.28</v>
      </c>
      <c r="K24" s="1765"/>
      <c r="L24" s="1501">
        <v>334.95</v>
      </c>
      <c r="M24" s="1501">
        <f t="shared" si="5"/>
        <v>301.45999999999998</v>
      </c>
      <c r="N24" s="1512"/>
      <c r="O24" s="1510"/>
      <c r="P24" s="1513"/>
      <c r="Q24" s="1514"/>
      <c r="R24" s="1442"/>
      <c r="S24" s="1515"/>
    </row>
    <row r="25" spans="1:23" ht="16.5">
      <c r="A25" s="1511"/>
      <c r="B25" s="1535">
        <f t="shared" si="6"/>
        <v>2.0599999999999987</v>
      </c>
      <c r="C25" s="1553"/>
      <c r="D25" s="1508" t="s">
        <v>842</v>
      </c>
      <c r="E25" s="1508"/>
      <c r="F25" s="1579"/>
      <c r="G25" s="1465" t="s">
        <v>18</v>
      </c>
      <c r="H25" s="1501">
        <v>32</v>
      </c>
      <c r="I25" s="1501">
        <v>338.24</v>
      </c>
      <c r="J25" s="1536">
        <f t="shared" si="4"/>
        <v>10823.68</v>
      </c>
      <c r="K25" s="1765"/>
      <c r="L25" s="1501">
        <v>375.82000000000005</v>
      </c>
      <c r="M25" s="1501">
        <f t="shared" si="5"/>
        <v>338.24</v>
      </c>
      <c r="N25" s="1512"/>
      <c r="O25" s="1510"/>
      <c r="P25" s="1513"/>
      <c r="Q25" s="1514"/>
      <c r="R25" s="1442"/>
      <c r="S25" s="1515"/>
    </row>
    <row r="26" spans="1:23" ht="16.5">
      <c r="A26" s="1511"/>
      <c r="B26" s="1535">
        <f t="shared" si="6"/>
        <v>2.0699999999999985</v>
      </c>
      <c r="C26" s="1553"/>
      <c r="D26" s="1508" t="s">
        <v>932</v>
      </c>
      <c r="E26" s="1873"/>
      <c r="F26" s="1874"/>
      <c r="G26" s="1465" t="s">
        <v>18</v>
      </c>
      <c r="H26" s="1501">
        <v>2</v>
      </c>
      <c r="I26" s="1501">
        <v>176.17</v>
      </c>
      <c r="J26" s="1536">
        <f t="shared" si="4"/>
        <v>352.34</v>
      </c>
      <c r="K26" s="1765"/>
      <c r="L26" s="1501">
        <v>195.74</v>
      </c>
      <c r="M26" s="1501">
        <f t="shared" si="5"/>
        <v>176.17</v>
      </c>
      <c r="N26" s="1512"/>
      <c r="O26" s="1510"/>
      <c r="P26" s="1513"/>
      <c r="Q26" s="1514"/>
      <c r="R26" s="1442"/>
      <c r="S26" s="1515"/>
    </row>
    <row r="27" spans="1:23" ht="16.5">
      <c r="A27" s="1518"/>
      <c r="B27" s="1535">
        <f t="shared" si="6"/>
        <v>2.0799999999999983</v>
      </c>
      <c r="C27" s="1553"/>
      <c r="D27" s="1508" t="s">
        <v>933</v>
      </c>
      <c r="E27" s="1873"/>
      <c r="F27" s="1874"/>
      <c r="G27" s="1465" t="s">
        <v>18</v>
      </c>
      <c r="H27" s="1501">
        <v>7</v>
      </c>
      <c r="I27" s="1501">
        <v>244.71</v>
      </c>
      <c r="J27" s="1536">
        <f t="shared" si="4"/>
        <v>1712.97</v>
      </c>
      <c r="K27" s="1765"/>
      <c r="L27" s="1501">
        <v>271.89999999999998</v>
      </c>
      <c r="M27" s="1501">
        <f t="shared" si="5"/>
        <v>244.71</v>
      </c>
      <c r="N27" s="1512"/>
      <c r="O27" s="1510"/>
      <c r="P27" s="1513"/>
      <c r="Q27" s="1514"/>
      <c r="R27" s="1442"/>
      <c r="S27" s="1515"/>
    </row>
    <row r="28" spans="1:23" ht="16.5">
      <c r="A28" s="1511"/>
      <c r="B28" s="1535">
        <f t="shared" si="6"/>
        <v>2.0899999999999981</v>
      </c>
      <c r="C28" s="1553"/>
      <c r="D28" s="1508" t="s">
        <v>419</v>
      </c>
      <c r="E28" s="1873"/>
      <c r="F28" s="1874"/>
      <c r="G28" s="1465" t="s">
        <v>18</v>
      </c>
      <c r="H28" s="1501">
        <v>10</v>
      </c>
      <c r="I28" s="1501">
        <v>5.43</v>
      </c>
      <c r="J28" s="1536">
        <f t="shared" ref="J28:J37" si="7">+ROUND(I28*H28,2)</f>
        <v>54.3</v>
      </c>
      <c r="K28" s="1765"/>
      <c r="L28" s="1501">
        <v>6.03</v>
      </c>
      <c r="M28" s="1501">
        <f t="shared" si="5"/>
        <v>5.43</v>
      </c>
      <c r="N28" s="1512"/>
      <c r="O28" s="1510"/>
      <c r="P28" s="1513"/>
      <c r="Q28" s="1514"/>
      <c r="R28" s="1442"/>
      <c r="S28" s="1515"/>
    </row>
    <row r="29" spans="1:23" ht="16.5">
      <c r="A29" s="1518"/>
      <c r="B29" s="1535">
        <f t="shared" si="6"/>
        <v>2.0999999999999979</v>
      </c>
      <c r="C29" s="1553"/>
      <c r="D29" s="1508" t="s">
        <v>875</v>
      </c>
      <c r="E29" s="1873"/>
      <c r="F29" s="1874"/>
      <c r="G29" s="1465" t="s">
        <v>18</v>
      </c>
      <c r="H29" s="1501">
        <v>1</v>
      </c>
      <c r="I29" s="1501">
        <v>7.06</v>
      </c>
      <c r="J29" s="1536">
        <f t="shared" si="7"/>
        <v>7.06</v>
      </c>
      <c r="K29" s="1765"/>
      <c r="L29" s="1501">
        <v>7.84</v>
      </c>
      <c r="M29" s="1501">
        <f t="shared" si="5"/>
        <v>7.06</v>
      </c>
      <c r="N29" s="1512"/>
      <c r="O29" s="1510"/>
      <c r="P29" s="1513"/>
      <c r="Q29" s="1514"/>
      <c r="R29" s="1442"/>
      <c r="S29" s="1515"/>
    </row>
    <row r="30" spans="1:23" ht="16.5">
      <c r="A30" s="1511"/>
      <c r="B30" s="1535">
        <f t="shared" si="6"/>
        <v>2.1099999999999977</v>
      </c>
      <c r="C30" s="1553"/>
      <c r="D30" s="1508" t="s">
        <v>587</v>
      </c>
      <c r="E30" s="1873"/>
      <c r="F30" s="1874"/>
      <c r="G30" s="1465" t="s">
        <v>18</v>
      </c>
      <c r="H30" s="1501">
        <v>396</v>
      </c>
      <c r="I30" s="1501">
        <v>13.3</v>
      </c>
      <c r="J30" s="1536">
        <f t="shared" si="7"/>
        <v>5266.8</v>
      </c>
      <c r="K30" s="1765"/>
      <c r="L30" s="1501">
        <v>14.78</v>
      </c>
      <c r="M30" s="1501">
        <f t="shared" si="5"/>
        <v>13.3</v>
      </c>
      <c r="N30" s="1512"/>
      <c r="O30" s="1510"/>
      <c r="P30" s="1513"/>
      <c r="Q30" s="1514"/>
      <c r="R30" s="1442"/>
      <c r="S30" s="1515"/>
    </row>
    <row r="31" spans="1:23" ht="16.5">
      <c r="A31" s="1511"/>
      <c r="B31" s="1535">
        <f t="shared" si="6"/>
        <v>2.1199999999999974</v>
      </c>
      <c r="C31" s="1553"/>
      <c r="D31" s="1508" t="s">
        <v>843</v>
      </c>
      <c r="E31" s="1873"/>
      <c r="F31" s="1874"/>
      <c r="G31" s="1465" t="s">
        <v>18</v>
      </c>
      <c r="H31" s="1501">
        <v>3</v>
      </c>
      <c r="I31" s="1501">
        <v>13.1</v>
      </c>
      <c r="J31" s="1536">
        <f t="shared" si="7"/>
        <v>39.299999999999997</v>
      </c>
      <c r="K31" s="1765"/>
      <c r="L31" s="1501">
        <v>14.56</v>
      </c>
      <c r="M31" s="1501">
        <f t="shared" si="5"/>
        <v>13.1</v>
      </c>
      <c r="N31" s="1512"/>
      <c r="O31" s="1510"/>
      <c r="P31" s="1513"/>
      <c r="Q31" s="1514"/>
      <c r="R31" s="1442"/>
      <c r="S31" s="1515"/>
    </row>
    <row r="32" spans="1:23" ht="16.5">
      <c r="A32" s="1511"/>
      <c r="B32" s="1535">
        <f t="shared" si="6"/>
        <v>2.1299999999999972</v>
      </c>
      <c r="C32" s="1553"/>
      <c r="D32" s="1508" t="s">
        <v>420</v>
      </c>
      <c r="E32" s="1873"/>
      <c r="F32" s="1874"/>
      <c r="G32" s="1465" t="s">
        <v>18</v>
      </c>
      <c r="H32" s="1501">
        <v>23</v>
      </c>
      <c r="I32" s="1501">
        <v>10.62</v>
      </c>
      <c r="J32" s="1536">
        <f t="shared" si="7"/>
        <v>244.26</v>
      </c>
      <c r="K32" s="1765"/>
      <c r="L32" s="1501">
        <v>11.799999999999999</v>
      </c>
      <c r="M32" s="1501">
        <f t="shared" si="5"/>
        <v>10.62</v>
      </c>
      <c r="N32" s="1512"/>
      <c r="O32" s="1510"/>
      <c r="P32" s="1513"/>
      <c r="Q32" s="1514"/>
      <c r="R32" s="1442"/>
      <c r="S32" s="1515"/>
    </row>
    <row r="33" spans="1:19" ht="16.5">
      <c r="A33" s="1518"/>
      <c r="B33" s="1535">
        <f t="shared" si="6"/>
        <v>2.139999999999997</v>
      </c>
      <c r="C33" s="1553"/>
      <c r="D33" s="1508" t="s">
        <v>876</v>
      </c>
      <c r="E33" s="1873"/>
      <c r="F33" s="1874"/>
      <c r="G33" s="1465" t="s">
        <v>18</v>
      </c>
      <c r="H33" s="1501">
        <v>6</v>
      </c>
      <c r="I33" s="1501">
        <v>13.11</v>
      </c>
      <c r="J33" s="1536">
        <f t="shared" si="7"/>
        <v>78.66</v>
      </c>
      <c r="K33" s="1765"/>
      <c r="L33" s="1501">
        <v>14.57</v>
      </c>
      <c r="M33" s="1501">
        <f t="shared" si="5"/>
        <v>13.11</v>
      </c>
      <c r="N33" s="1512"/>
      <c r="O33" s="1510"/>
      <c r="P33" s="1513"/>
      <c r="Q33" s="1514"/>
      <c r="R33" s="1442"/>
      <c r="S33" s="1515"/>
    </row>
    <row r="34" spans="1:19" ht="16.5">
      <c r="A34" s="1511"/>
      <c r="B34" s="1535">
        <f t="shared" si="6"/>
        <v>2.1499999999999968</v>
      </c>
      <c r="C34" s="1553"/>
      <c r="D34" s="1508" t="s">
        <v>565</v>
      </c>
      <c r="E34" s="1873"/>
      <c r="F34" s="1874"/>
      <c r="G34" s="1465" t="s">
        <v>18</v>
      </c>
      <c r="H34" s="1501">
        <v>369</v>
      </c>
      <c r="I34" s="1501">
        <v>13.1</v>
      </c>
      <c r="J34" s="1536">
        <f t="shared" si="7"/>
        <v>4833.8999999999996</v>
      </c>
      <c r="K34" s="1765"/>
      <c r="L34" s="1501">
        <v>14.56</v>
      </c>
      <c r="M34" s="1501">
        <f t="shared" si="5"/>
        <v>13.1</v>
      </c>
      <c r="N34" s="1512"/>
      <c r="O34" s="1510"/>
      <c r="P34" s="1513"/>
      <c r="Q34" s="1514"/>
      <c r="R34" s="1442"/>
      <c r="S34" s="1515"/>
    </row>
    <row r="35" spans="1:19" ht="16.5">
      <c r="A35" s="1511"/>
      <c r="B35" s="1535">
        <f t="shared" si="6"/>
        <v>2.1599999999999966</v>
      </c>
      <c r="C35" s="1553"/>
      <c r="D35" s="1508" t="s">
        <v>471</v>
      </c>
      <c r="E35" s="1873"/>
      <c r="F35" s="1874"/>
      <c r="G35" s="1465" t="s">
        <v>18</v>
      </c>
      <c r="H35" s="1501">
        <v>208</v>
      </c>
      <c r="I35" s="1501">
        <v>5.43</v>
      </c>
      <c r="J35" s="1536">
        <f t="shared" si="7"/>
        <v>1129.44</v>
      </c>
      <c r="K35" s="1765"/>
      <c r="L35" s="1501">
        <v>6.0299999999999994</v>
      </c>
      <c r="M35" s="1501">
        <f t="shared" si="5"/>
        <v>5.43</v>
      </c>
      <c r="N35" s="1512"/>
      <c r="O35" s="1510"/>
      <c r="P35" s="1513"/>
      <c r="Q35" s="1514"/>
      <c r="R35" s="1442"/>
      <c r="S35" s="1515"/>
    </row>
    <row r="36" spans="1:19" ht="16.5">
      <c r="A36" s="1518"/>
      <c r="B36" s="1535">
        <f t="shared" si="6"/>
        <v>2.1699999999999964</v>
      </c>
      <c r="C36" s="1553"/>
      <c r="D36" s="1508" t="s">
        <v>877</v>
      </c>
      <c r="E36" s="1873"/>
      <c r="F36" s="1874"/>
      <c r="G36" s="1465" t="s">
        <v>18</v>
      </c>
      <c r="H36" s="1501">
        <v>13</v>
      </c>
      <c r="I36" s="1501">
        <v>6.57</v>
      </c>
      <c r="J36" s="1536">
        <f t="shared" si="7"/>
        <v>85.41</v>
      </c>
      <c r="K36" s="1765"/>
      <c r="L36" s="1501">
        <v>7.3</v>
      </c>
      <c r="M36" s="1501">
        <f t="shared" si="5"/>
        <v>6.57</v>
      </c>
      <c r="N36" s="1512"/>
      <c r="O36" s="1510"/>
      <c r="P36" s="1513"/>
      <c r="Q36" s="1514"/>
      <c r="R36" s="1442"/>
      <c r="S36" s="1515"/>
    </row>
    <row r="37" spans="1:19" ht="16.5">
      <c r="A37" s="1511"/>
      <c r="B37" s="1535">
        <f t="shared" si="6"/>
        <v>2.1799999999999962</v>
      </c>
      <c r="C37" s="1553"/>
      <c r="D37" s="1508" t="s">
        <v>421</v>
      </c>
      <c r="E37" s="1873"/>
      <c r="F37" s="1874"/>
      <c r="G37" s="1465" t="s">
        <v>191</v>
      </c>
      <c r="H37" s="1501">
        <v>52.01</v>
      </c>
      <c r="I37" s="1501">
        <v>64.56</v>
      </c>
      <c r="J37" s="1536">
        <f t="shared" si="7"/>
        <v>3357.77</v>
      </c>
      <c r="K37" s="1765"/>
      <c r="L37" s="1501">
        <v>71.73</v>
      </c>
      <c r="M37" s="1501">
        <f t="shared" si="5"/>
        <v>64.56</v>
      </c>
      <c r="N37" s="1512"/>
      <c r="O37" s="1510"/>
      <c r="P37" s="1513"/>
      <c r="Q37" s="1514"/>
      <c r="R37" s="1442"/>
      <c r="S37" s="1515"/>
    </row>
    <row r="38" spans="1:19" ht="16.5">
      <c r="A38" s="1518"/>
      <c r="B38" s="1535">
        <f t="shared" si="6"/>
        <v>2.1899999999999959</v>
      </c>
      <c r="C38" s="1553"/>
      <c r="D38" s="1508" t="s">
        <v>878</v>
      </c>
      <c r="E38" s="1873"/>
      <c r="F38" s="1874"/>
      <c r="G38" s="1465" t="s">
        <v>191</v>
      </c>
      <c r="H38" s="1501">
        <v>1.39</v>
      </c>
      <c r="I38" s="1501">
        <v>70.48</v>
      </c>
      <c r="J38" s="1536">
        <f t="shared" si="4"/>
        <v>97.97</v>
      </c>
      <c r="K38" s="1765"/>
      <c r="L38" s="1501">
        <v>78.31</v>
      </c>
      <c r="M38" s="1501">
        <f t="shared" si="5"/>
        <v>70.48</v>
      </c>
      <c r="N38" s="1512"/>
      <c r="O38" s="1510"/>
      <c r="P38" s="1513"/>
      <c r="Q38" s="1514"/>
      <c r="R38" s="1442"/>
      <c r="S38" s="1515"/>
    </row>
    <row r="39" spans="1:19" ht="16.5">
      <c r="A39" s="1511"/>
      <c r="B39" s="1535">
        <f t="shared" si="6"/>
        <v>2.1999999999999957</v>
      </c>
      <c r="C39" s="1553"/>
      <c r="D39" s="1508" t="s">
        <v>422</v>
      </c>
      <c r="E39" s="1873"/>
      <c r="F39" s="1874"/>
      <c r="G39" s="1465" t="s">
        <v>191</v>
      </c>
      <c r="H39" s="1501">
        <v>1.1599999999999999</v>
      </c>
      <c r="I39" s="1501">
        <v>131.25</v>
      </c>
      <c r="J39" s="1536">
        <f t="shared" si="4"/>
        <v>152.25</v>
      </c>
      <c r="K39" s="1765"/>
      <c r="L39" s="1501">
        <v>145.83000000000001</v>
      </c>
      <c r="M39" s="1501">
        <f t="shared" si="5"/>
        <v>131.25</v>
      </c>
      <c r="N39" s="1512"/>
      <c r="O39" s="1510"/>
      <c r="P39" s="1513"/>
      <c r="Q39" s="1514"/>
      <c r="R39" s="1442"/>
      <c r="S39" s="1515"/>
    </row>
    <row r="40" spans="1:19" ht="16.5">
      <c r="A40" s="1518"/>
      <c r="B40" s="1535">
        <f t="shared" si="6"/>
        <v>2.2099999999999955</v>
      </c>
      <c r="C40" s="1553"/>
      <c r="D40" s="1508" t="s">
        <v>879</v>
      </c>
      <c r="E40" s="1873"/>
      <c r="F40" s="1874"/>
      <c r="G40" s="1465" t="s">
        <v>191</v>
      </c>
      <c r="H40" s="1501">
        <v>0.75</v>
      </c>
      <c r="I40" s="1501">
        <v>137.72</v>
      </c>
      <c r="J40" s="1536">
        <f t="shared" si="4"/>
        <v>103.29</v>
      </c>
      <c r="K40" s="1765"/>
      <c r="L40" s="1501">
        <v>153.02000000000001</v>
      </c>
      <c r="M40" s="1501">
        <f t="shared" si="5"/>
        <v>137.72</v>
      </c>
      <c r="N40" s="1512"/>
      <c r="O40" s="1510"/>
      <c r="P40" s="1513"/>
      <c r="Q40" s="1514"/>
      <c r="R40" s="1442"/>
      <c r="S40" s="1515"/>
    </row>
    <row r="41" spans="1:19" ht="16.5">
      <c r="A41" s="1511"/>
      <c r="B41" s="1535">
        <f t="shared" si="6"/>
        <v>2.2199999999999953</v>
      </c>
      <c r="C41" s="1553"/>
      <c r="D41" s="1508" t="s">
        <v>472</v>
      </c>
      <c r="E41" s="1873"/>
      <c r="F41" s="1874"/>
      <c r="G41" s="1465" t="s">
        <v>18</v>
      </c>
      <c r="H41" s="1501">
        <v>13</v>
      </c>
      <c r="I41" s="1501">
        <v>26.2</v>
      </c>
      <c r="J41" s="1536">
        <f t="shared" si="4"/>
        <v>340.6</v>
      </c>
      <c r="K41" s="1765"/>
      <c r="L41" s="1501">
        <v>29.11</v>
      </c>
      <c r="M41" s="1501">
        <f t="shared" si="5"/>
        <v>26.2</v>
      </c>
      <c r="N41" s="1512"/>
      <c r="O41" s="1510"/>
      <c r="P41" s="1513"/>
      <c r="Q41" s="1514"/>
      <c r="R41" s="1442"/>
      <c r="S41" s="1515"/>
    </row>
    <row r="42" spans="1:19" ht="16.5">
      <c r="A42" s="1518"/>
      <c r="B42" s="1535">
        <f t="shared" si="6"/>
        <v>2.2299999999999951</v>
      </c>
      <c r="C42" s="1553"/>
      <c r="D42" s="1508" t="s">
        <v>880</v>
      </c>
      <c r="E42" s="1873"/>
      <c r="F42" s="1874"/>
      <c r="G42" s="1465" t="s">
        <v>18</v>
      </c>
      <c r="H42" s="1501">
        <v>2</v>
      </c>
      <c r="I42" s="1501">
        <v>28.35</v>
      </c>
      <c r="J42" s="1536">
        <f t="shared" si="4"/>
        <v>56.7</v>
      </c>
      <c r="K42" s="1765"/>
      <c r="L42" s="1501">
        <v>31.5</v>
      </c>
      <c r="M42" s="1501">
        <f t="shared" si="5"/>
        <v>28.35</v>
      </c>
      <c r="N42" s="1512"/>
      <c r="O42" s="1510"/>
      <c r="P42" s="1513"/>
      <c r="Q42" s="1514"/>
      <c r="R42" s="1442"/>
      <c r="S42" s="1515"/>
    </row>
    <row r="43" spans="1:19" ht="16.5">
      <c r="A43" s="1511"/>
      <c r="B43" s="1535">
        <f t="shared" si="6"/>
        <v>2.2399999999999949</v>
      </c>
      <c r="C43" s="1553"/>
      <c r="D43" s="1508" t="s">
        <v>902</v>
      </c>
      <c r="E43" s="1873"/>
      <c r="F43" s="1874"/>
      <c r="G43" s="1465" t="s">
        <v>18</v>
      </c>
      <c r="H43" s="1501">
        <v>13</v>
      </c>
      <c r="I43" s="1501">
        <v>10.27</v>
      </c>
      <c r="J43" s="1536">
        <f t="shared" si="4"/>
        <v>133.51</v>
      </c>
      <c r="K43" s="1765"/>
      <c r="L43" s="1501">
        <v>11.409999999999998</v>
      </c>
      <c r="M43" s="1501">
        <f t="shared" si="5"/>
        <v>10.27</v>
      </c>
      <c r="N43" s="1512"/>
      <c r="O43" s="1510"/>
      <c r="P43" s="1513"/>
      <c r="Q43" s="1514"/>
      <c r="R43" s="1442"/>
      <c r="S43" s="1515"/>
    </row>
    <row r="44" spans="1:19" ht="16.5">
      <c r="A44" s="1518"/>
      <c r="B44" s="1535">
        <f t="shared" si="6"/>
        <v>2.2499999999999947</v>
      </c>
      <c r="C44" s="1553"/>
      <c r="D44" s="1508" t="s">
        <v>903</v>
      </c>
      <c r="E44" s="1873"/>
      <c r="F44" s="1874"/>
      <c r="G44" s="1465" t="s">
        <v>18</v>
      </c>
      <c r="H44" s="1501">
        <v>2</v>
      </c>
      <c r="I44" s="1501">
        <v>13.53</v>
      </c>
      <c r="J44" s="1536">
        <f t="shared" si="4"/>
        <v>27.06</v>
      </c>
      <c r="K44" s="1765"/>
      <c r="L44" s="1501">
        <v>15.03</v>
      </c>
      <c r="M44" s="1501">
        <f t="shared" si="5"/>
        <v>13.53</v>
      </c>
      <c r="N44" s="1512"/>
      <c r="O44" s="1510"/>
      <c r="P44" s="1513"/>
      <c r="Q44" s="1514"/>
      <c r="R44" s="1442"/>
      <c r="S44" s="1515"/>
    </row>
    <row r="45" spans="1:19" ht="16.5">
      <c r="A45" s="1511"/>
      <c r="B45" s="1535">
        <f t="shared" si="6"/>
        <v>2.2599999999999945</v>
      </c>
      <c r="C45" s="1553"/>
      <c r="D45" s="1508" t="s">
        <v>423</v>
      </c>
      <c r="E45" s="1873"/>
      <c r="F45" s="1874"/>
      <c r="G45" s="1465" t="s">
        <v>18</v>
      </c>
      <c r="H45" s="1501">
        <v>62</v>
      </c>
      <c r="I45" s="1501">
        <v>62.87</v>
      </c>
      <c r="J45" s="1536">
        <f t="shared" si="4"/>
        <v>3897.94</v>
      </c>
      <c r="K45" s="1765"/>
      <c r="L45" s="1501">
        <v>69.86</v>
      </c>
      <c r="M45" s="1501">
        <f t="shared" si="5"/>
        <v>62.87</v>
      </c>
      <c r="N45" s="1512"/>
      <c r="O45" s="1510"/>
      <c r="P45" s="1513"/>
      <c r="Q45" s="1514"/>
      <c r="R45" s="1442"/>
      <c r="S45" s="1515"/>
    </row>
    <row r="46" spans="1:19" ht="16.5">
      <c r="A46" s="1518"/>
      <c r="B46" s="1535">
        <f t="shared" si="6"/>
        <v>2.2699999999999942</v>
      </c>
      <c r="C46" s="1553"/>
      <c r="D46" s="1508" t="s">
        <v>881</v>
      </c>
      <c r="E46" s="1873"/>
      <c r="F46" s="1874"/>
      <c r="G46" s="1465" t="s">
        <v>18</v>
      </c>
      <c r="H46" s="1501">
        <v>4</v>
      </c>
      <c r="I46" s="1501">
        <v>73.709999999999994</v>
      </c>
      <c r="J46" s="1536">
        <f t="shared" ref="J46:J54" si="8">+ROUND(I46*H46,2)</f>
        <v>294.83999999999997</v>
      </c>
      <c r="K46" s="1765"/>
      <c r="L46" s="1501">
        <v>81.900000000000006</v>
      </c>
      <c r="M46" s="1501">
        <f t="shared" si="5"/>
        <v>73.709999999999994</v>
      </c>
      <c r="N46" s="1512"/>
      <c r="O46" s="1510"/>
      <c r="P46" s="1513"/>
      <c r="Q46" s="1514"/>
      <c r="R46" s="1442"/>
      <c r="S46" s="1515"/>
    </row>
    <row r="47" spans="1:19" ht="16.5">
      <c r="A47" s="1511"/>
      <c r="B47" s="1535">
        <f t="shared" si="6"/>
        <v>2.279999999999994</v>
      </c>
      <c r="C47" s="1553"/>
      <c r="D47" s="1508" t="s">
        <v>424</v>
      </c>
      <c r="E47" s="1873"/>
      <c r="F47" s="1874"/>
      <c r="G47" s="1465" t="s">
        <v>18</v>
      </c>
      <c r="H47" s="1501">
        <v>13</v>
      </c>
      <c r="I47" s="1501">
        <v>41.81</v>
      </c>
      <c r="J47" s="1536">
        <f t="shared" si="8"/>
        <v>543.53</v>
      </c>
      <c r="K47" s="1765"/>
      <c r="L47" s="1501">
        <v>46.459999999999994</v>
      </c>
      <c r="M47" s="1501">
        <f t="shared" si="5"/>
        <v>41.81</v>
      </c>
      <c r="N47" s="1512"/>
      <c r="O47" s="1510"/>
      <c r="P47" s="1513"/>
      <c r="Q47" s="1514"/>
      <c r="R47" s="1442"/>
      <c r="S47" s="1515"/>
    </row>
    <row r="48" spans="1:19" ht="16.5">
      <c r="A48" s="1518"/>
      <c r="B48" s="1535">
        <f t="shared" si="6"/>
        <v>2.2899999999999938</v>
      </c>
      <c r="C48" s="1553"/>
      <c r="D48" s="1508" t="s">
        <v>882</v>
      </c>
      <c r="E48" s="1873"/>
      <c r="F48" s="1874"/>
      <c r="G48" s="1465" t="s">
        <v>18</v>
      </c>
      <c r="H48" s="1501">
        <v>2</v>
      </c>
      <c r="I48" s="1501">
        <v>54.11</v>
      </c>
      <c r="J48" s="1536">
        <f t="shared" si="8"/>
        <v>108.22</v>
      </c>
      <c r="K48" s="1765"/>
      <c r="L48" s="1501">
        <v>60.120000000000005</v>
      </c>
      <c r="M48" s="1501">
        <f t="shared" si="5"/>
        <v>54.11</v>
      </c>
      <c r="N48" s="1512"/>
      <c r="O48" s="1510"/>
      <c r="P48" s="1513"/>
      <c r="Q48" s="1514"/>
      <c r="R48" s="1442"/>
      <c r="S48" s="1515"/>
    </row>
    <row r="49" spans="1:23" ht="16.5">
      <c r="A49" s="1511"/>
      <c r="B49" s="1535">
        <f t="shared" si="6"/>
        <v>2.2999999999999936</v>
      </c>
      <c r="C49" s="1553"/>
      <c r="D49" s="1508" t="s">
        <v>736</v>
      </c>
      <c r="E49" s="1873"/>
      <c r="F49" s="1874"/>
      <c r="G49" s="1465" t="s">
        <v>191</v>
      </c>
      <c r="H49" s="1501">
        <v>2.91</v>
      </c>
      <c r="I49" s="1501">
        <v>70.349999999999994</v>
      </c>
      <c r="J49" s="1536">
        <f t="shared" si="8"/>
        <v>204.72</v>
      </c>
      <c r="K49" s="1765"/>
      <c r="L49" s="1501">
        <v>78.17</v>
      </c>
      <c r="M49" s="1501">
        <f t="shared" si="5"/>
        <v>70.349999999999994</v>
      </c>
      <c r="N49" s="1512"/>
      <c r="O49" s="1510"/>
      <c r="P49" s="1513"/>
      <c r="Q49" s="1514"/>
      <c r="R49" s="1442"/>
      <c r="S49" s="1515"/>
    </row>
    <row r="50" spans="1:23" ht="16.5">
      <c r="B50" s="1535">
        <f t="shared" si="6"/>
        <v>2.3099999999999934</v>
      </c>
      <c r="C50" s="1555"/>
      <c r="D50" s="1508" t="s">
        <v>889</v>
      </c>
      <c r="E50" s="1873"/>
      <c r="F50" s="1874"/>
      <c r="G50" s="1465" t="s">
        <v>191</v>
      </c>
      <c r="H50" s="1501">
        <v>0.03</v>
      </c>
      <c r="I50" s="1501">
        <v>91.14</v>
      </c>
      <c r="J50" s="1542">
        <f t="shared" si="8"/>
        <v>2.73</v>
      </c>
      <c r="K50" s="1765"/>
      <c r="L50" s="1501">
        <v>101.27</v>
      </c>
      <c r="M50" s="1501">
        <f t="shared" si="5"/>
        <v>91.14</v>
      </c>
      <c r="N50" s="1512"/>
      <c r="O50" s="1519"/>
      <c r="P50" s="1520"/>
      <c r="Q50" s="1521"/>
      <c r="R50" s="1508"/>
      <c r="S50" s="1444"/>
    </row>
    <row r="51" spans="1:23" ht="16.5">
      <c r="A51" s="1511"/>
      <c r="B51" s="1535">
        <f t="shared" si="6"/>
        <v>2.3199999999999932</v>
      </c>
      <c r="C51" s="1553"/>
      <c r="D51" s="1508" t="s">
        <v>844</v>
      </c>
      <c r="E51" s="1873"/>
      <c r="F51" s="1874"/>
      <c r="G51" s="1465" t="s">
        <v>18</v>
      </c>
      <c r="H51" s="1501">
        <v>60</v>
      </c>
      <c r="I51" s="1501">
        <v>44.36</v>
      </c>
      <c r="J51" s="1536">
        <f t="shared" si="8"/>
        <v>2661.6</v>
      </c>
      <c r="K51" s="1765"/>
      <c r="L51" s="1501">
        <v>49.29</v>
      </c>
      <c r="M51" s="1501">
        <f t="shared" si="5"/>
        <v>44.36</v>
      </c>
      <c r="N51" s="1512"/>
      <c r="O51" s="1510"/>
      <c r="P51" s="1513"/>
      <c r="Q51" s="1514"/>
      <c r="R51" s="1442"/>
      <c r="S51" s="1515"/>
    </row>
    <row r="52" spans="1:23" ht="16.5">
      <c r="A52" s="1511"/>
      <c r="B52" s="1535">
        <f t="shared" si="6"/>
        <v>2.329999999999993</v>
      </c>
      <c r="C52" s="1553"/>
      <c r="D52" s="1508" t="s">
        <v>845</v>
      </c>
      <c r="E52" s="1873"/>
      <c r="F52" s="1874"/>
      <c r="G52" s="1465" t="s">
        <v>18</v>
      </c>
      <c r="H52" s="1501">
        <v>30</v>
      </c>
      <c r="I52" s="1501">
        <v>26.2</v>
      </c>
      <c r="J52" s="1536">
        <f t="shared" si="8"/>
        <v>786</v>
      </c>
      <c r="K52" s="1765"/>
      <c r="L52" s="1501">
        <v>29.11</v>
      </c>
      <c r="M52" s="1501">
        <f t="shared" si="5"/>
        <v>26.2</v>
      </c>
      <c r="N52" s="1512"/>
      <c r="O52" s="1510"/>
      <c r="P52" s="1513"/>
      <c r="Q52" s="1514"/>
      <c r="R52" s="1442"/>
      <c r="S52" s="1515"/>
    </row>
    <row r="53" spans="1:23" ht="16.5">
      <c r="A53" s="1511"/>
      <c r="B53" s="1535">
        <f t="shared" si="6"/>
        <v>2.3399999999999928</v>
      </c>
      <c r="C53" s="1553"/>
      <c r="D53" s="1508" t="s">
        <v>425</v>
      </c>
      <c r="E53" s="1873"/>
      <c r="F53" s="1874"/>
      <c r="G53" s="1465" t="s">
        <v>19</v>
      </c>
      <c r="H53" s="1501">
        <v>1</v>
      </c>
      <c r="I53" s="1501">
        <v>1571.83</v>
      </c>
      <c r="J53" s="1536">
        <f t="shared" si="8"/>
        <v>1571.83</v>
      </c>
      <c r="K53" s="1765"/>
      <c r="L53" s="1501">
        <v>1746.4799999999998</v>
      </c>
      <c r="M53" s="1501">
        <f t="shared" si="5"/>
        <v>1571.83</v>
      </c>
      <c r="N53" s="1512"/>
      <c r="O53" s="1510"/>
      <c r="P53" s="1513"/>
      <c r="Q53" s="1514"/>
      <c r="R53" s="1442"/>
      <c r="S53" s="1515"/>
    </row>
    <row r="54" spans="1:23" ht="16.5">
      <c r="A54" s="1518"/>
      <c r="B54" s="1535">
        <f t="shared" si="6"/>
        <v>2.3499999999999925</v>
      </c>
      <c r="C54" s="1553"/>
      <c r="D54" s="1508" t="s">
        <v>883</v>
      </c>
      <c r="E54" s="1873"/>
      <c r="F54" s="1874"/>
      <c r="G54" s="1465" t="s">
        <v>19</v>
      </c>
      <c r="H54" s="1501">
        <v>1</v>
      </c>
      <c r="I54" s="1501">
        <v>2275.69</v>
      </c>
      <c r="J54" s="1536">
        <f t="shared" si="8"/>
        <v>2275.69</v>
      </c>
      <c r="K54" s="1765"/>
      <c r="L54" s="1501">
        <v>2528.54</v>
      </c>
      <c r="M54" s="1501">
        <f t="shared" si="5"/>
        <v>2275.69</v>
      </c>
      <c r="N54" s="1512"/>
      <c r="O54" s="1510"/>
      <c r="P54" s="1513"/>
      <c r="Q54" s="1514"/>
      <c r="R54" s="1442"/>
      <c r="S54" s="1515"/>
    </row>
    <row r="55" spans="1:23" ht="16.5">
      <c r="A55" s="1508"/>
      <c r="B55" s="1543"/>
      <c r="C55" s="1556"/>
      <c r="D55" s="1608"/>
      <c r="E55" s="1608"/>
      <c r="F55" s="1609" t="str">
        <f>+"SUB-TOTAL   "&amp;B19&amp;":  "</f>
        <v xml:space="preserve">SUB-TOTAL   2:  </v>
      </c>
      <c r="G55" s="1753"/>
      <c r="H55" s="1567"/>
      <c r="I55" s="1567"/>
      <c r="J55" s="1544">
        <f>+SUM(J19:J54)</f>
        <v>82420.020000000019</v>
      </c>
      <c r="K55" s="1765"/>
      <c r="L55" s="1567"/>
      <c r="M55" s="1567"/>
      <c r="N55" s="1512"/>
      <c r="O55" s="1510"/>
      <c r="P55" s="1513"/>
      <c r="Q55" s="1514"/>
    </row>
    <row r="56" spans="1:23" ht="16.5">
      <c r="A56" s="1508"/>
      <c r="B56" s="1534">
        <v>3</v>
      </c>
      <c r="C56" s="1553"/>
      <c r="D56" s="1575" t="s">
        <v>383</v>
      </c>
      <c r="E56" s="1508"/>
      <c r="F56" s="1579"/>
      <c r="G56" s="1465"/>
      <c r="H56" s="1501"/>
      <c r="I56" s="1501"/>
      <c r="J56" s="1536"/>
      <c r="K56" s="1765"/>
      <c r="L56" s="1501"/>
      <c r="M56" s="1501"/>
      <c r="N56" s="1512"/>
      <c r="O56" s="1510"/>
      <c r="P56" s="1513"/>
      <c r="Q56" s="1514"/>
      <c r="R56" s="1510"/>
      <c r="S56" s="1510"/>
      <c r="T56" s="1510"/>
      <c r="U56" s="1510"/>
      <c r="V56" s="1510"/>
      <c r="W56" s="1510"/>
    </row>
    <row r="57" spans="1:23" ht="16.5">
      <c r="A57" s="1511"/>
      <c r="B57" s="1535">
        <f t="shared" ref="B57:B68" si="9">+B56+0.01</f>
        <v>3.01</v>
      </c>
      <c r="C57" s="1553"/>
      <c r="D57" s="1508" t="s">
        <v>426</v>
      </c>
      <c r="E57" s="1508"/>
      <c r="F57" s="1579"/>
      <c r="G57" s="1465" t="s">
        <v>962</v>
      </c>
      <c r="H57" s="1501">
        <v>190.59</v>
      </c>
      <c r="I57" s="1501">
        <v>61.15</v>
      </c>
      <c r="J57" s="1536">
        <f t="shared" ref="J57:J68" si="10">+ROUND(I57*H57,2)</f>
        <v>11654.58</v>
      </c>
      <c r="K57" s="1765"/>
      <c r="L57" s="1501">
        <v>67.94</v>
      </c>
      <c r="M57" s="1501">
        <f t="shared" ref="M57:M68" si="11">+ROUND(L57*$M$7,2)</f>
        <v>61.15</v>
      </c>
      <c r="N57" s="1512"/>
      <c r="O57" s="1510"/>
      <c r="P57" s="1513"/>
      <c r="Q57" s="1514"/>
      <c r="R57" s="1442"/>
      <c r="S57" s="1515"/>
    </row>
    <row r="58" spans="1:23" ht="16.5">
      <c r="A58" s="1511"/>
      <c r="B58" s="1535">
        <f t="shared" si="9"/>
        <v>3.0199999999999996</v>
      </c>
      <c r="C58" s="1553"/>
      <c r="D58" s="1508" t="s">
        <v>427</v>
      </c>
      <c r="E58" s="1508"/>
      <c r="F58" s="1579"/>
      <c r="G58" s="1465" t="s">
        <v>962</v>
      </c>
      <c r="H58" s="1501">
        <v>6.55</v>
      </c>
      <c r="I58" s="1501">
        <v>208.14</v>
      </c>
      <c r="J58" s="1536">
        <f t="shared" si="10"/>
        <v>1363.32</v>
      </c>
      <c r="K58" s="1765"/>
      <c r="L58" s="1501">
        <v>231.26999999999998</v>
      </c>
      <c r="M58" s="1501">
        <f t="shared" si="11"/>
        <v>208.14</v>
      </c>
      <c r="N58" s="1512"/>
      <c r="O58" s="1510"/>
      <c r="P58" s="1513"/>
      <c r="Q58" s="1514"/>
      <c r="R58" s="1442"/>
      <c r="S58" s="1515"/>
    </row>
    <row r="59" spans="1:23" ht="16.5">
      <c r="A59" s="1511"/>
      <c r="B59" s="1535">
        <f t="shared" si="9"/>
        <v>3.0299999999999994</v>
      </c>
      <c r="C59" s="1553"/>
      <c r="D59" s="1508" t="s">
        <v>871</v>
      </c>
      <c r="E59" s="1508"/>
      <c r="F59" s="1579"/>
      <c r="G59" s="1465" t="s">
        <v>18</v>
      </c>
      <c r="H59" s="1501">
        <v>9</v>
      </c>
      <c r="I59" s="1501">
        <v>95.92</v>
      </c>
      <c r="J59" s="1536">
        <f t="shared" si="10"/>
        <v>863.28</v>
      </c>
      <c r="K59" s="1765"/>
      <c r="L59" s="1501">
        <v>106.57999999999998</v>
      </c>
      <c r="M59" s="1501">
        <f t="shared" si="11"/>
        <v>95.92</v>
      </c>
      <c r="N59" s="1512"/>
      <c r="O59" s="1510"/>
      <c r="P59" s="1513"/>
      <c r="Q59" s="1514"/>
      <c r="R59" s="1442"/>
      <c r="S59" s="1515"/>
    </row>
    <row r="60" spans="1:23" ht="16.5">
      <c r="A60" s="1511"/>
      <c r="B60" s="1535">
        <f t="shared" si="9"/>
        <v>3.0399999999999991</v>
      </c>
      <c r="C60" s="1553"/>
      <c r="D60" s="1508" t="s">
        <v>428</v>
      </c>
      <c r="E60" s="1508"/>
      <c r="F60" s="1579"/>
      <c r="G60" s="1465" t="s">
        <v>18</v>
      </c>
      <c r="H60" s="1501">
        <v>118</v>
      </c>
      <c r="I60" s="1501">
        <v>154.07</v>
      </c>
      <c r="J60" s="1536">
        <f t="shared" si="10"/>
        <v>18180.259999999998</v>
      </c>
      <c r="K60" s="1765"/>
      <c r="L60" s="1501">
        <v>171.19</v>
      </c>
      <c r="M60" s="1501">
        <f t="shared" si="11"/>
        <v>154.07</v>
      </c>
      <c r="N60" s="1512"/>
      <c r="O60" s="1510"/>
      <c r="P60" s="1513"/>
      <c r="Q60" s="1514"/>
      <c r="R60" s="1442"/>
      <c r="S60" s="1515"/>
    </row>
    <row r="61" spans="1:23" ht="16.5">
      <c r="A61" s="1511"/>
      <c r="B61" s="1535">
        <f t="shared" si="9"/>
        <v>3.0499999999999989</v>
      </c>
      <c r="C61" s="1553"/>
      <c r="D61" s="1508" t="s">
        <v>437</v>
      </c>
      <c r="E61" s="1508"/>
      <c r="F61" s="1579"/>
      <c r="G61" s="1465" t="s">
        <v>18</v>
      </c>
      <c r="H61" s="1501">
        <v>32</v>
      </c>
      <c r="I61" s="1501">
        <v>194.85</v>
      </c>
      <c r="J61" s="1536">
        <f t="shared" si="10"/>
        <v>6235.2</v>
      </c>
      <c r="K61" s="1765"/>
      <c r="L61" s="1501">
        <v>216.5</v>
      </c>
      <c r="M61" s="1501">
        <f t="shared" si="11"/>
        <v>194.85</v>
      </c>
      <c r="N61" s="1512"/>
      <c r="O61" s="1510"/>
      <c r="P61" s="1513"/>
      <c r="Q61" s="1514"/>
      <c r="R61" s="1442"/>
      <c r="S61" s="1515"/>
    </row>
    <row r="62" spans="1:23" ht="16.5">
      <c r="A62" s="1511"/>
      <c r="B62" s="1535">
        <f t="shared" si="9"/>
        <v>3.0599999999999987</v>
      </c>
      <c r="C62" s="1553"/>
      <c r="D62" s="1508" t="s">
        <v>566</v>
      </c>
      <c r="E62" s="1508"/>
      <c r="F62" s="1579"/>
      <c r="G62" s="1465" t="s">
        <v>18</v>
      </c>
      <c r="H62" s="1501">
        <v>6</v>
      </c>
      <c r="I62" s="1501">
        <v>128.47</v>
      </c>
      <c r="J62" s="1536">
        <f t="shared" si="10"/>
        <v>770.82</v>
      </c>
      <c r="K62" s="1765"/>
      <c r="L62" s="1501">
        <v>142.74</v>
      </c>
      <c r="M62" s="1501">
        <f t="shared" si="11"/>
        <v>128.47</v>
      </c>
      <c r="N62" s="1512"/>
      <c r="O62" s="1510"/>
      <c r="P62" s="1513"/>
      <c r="Q62" s="1514"/>
      <c r="R62" s="1442"/>
      <c r="S62" s="1515"/>
    </row>
    <row r="63" spans="1:23" ht="16.5">
      <c r="A63" s="1511"/>
      <c r="B63" s="1535">
        <f t="shared" si="9"/>
        <v>3.0699999999999985</v>
      </c>
      <c r="C63" s="1553"/>
      <c r="D63" s="1508" t="s">
        <v>429</v>
      </c>
      <c r="E63" s="1508"/>
      <c r="F63" s="1579"/>
      <c r="G63" s="1465" t="s">
        <v>18</v>
      </c>
      <c r="H63" s="1501">
        <v>15</v>
      </c>
      <c r="I63" s="1501">
        <v>123.37</v>
      </c>
      <c r="J63" s="1536">
        <f t="shared" si="10"/>
        <v>1850.55</v>
      </c>
      <c r="K63" s="1765"/>
      <c r="L63" s="1501">
        <v>137.07999999999998</v>
      </c>
      <c r="M63" s="1501">
        <f t="shared" si="11"/>
        <v>123.37</v>
      </c>
      <c r="N63" s="1512"/>
      <c r="O63" s="1510"/>
      <c r="P63" s="1513"/>
      <c r="Q63" s="1514"/>
      <c r="R63" s="1442"/>
      <c r="S63" s="1515"/>
    </row>
    <row r="64" spans="1:23" ht="16.5">
      <c r="A64" s="1511"/>
      <c r="B64" s="1535">
        <f t="shared" si="9"/>
        <v>3.0799999999999983</v>
      </c>
      <c r="C64" s="1553"/>
      <c r="D64" s="1508" t="s">
        <v>588</v>
      </c>
      <c r="E64" s="1508"/>
      <c r="F64" s="1579"/>
      <c r="G64" s="1465" t="s">
        <v>962</v>
      </c>
      <c r="H64" s="1501">
        <v>19.7</v>
      </c>
      <c r="I64" s="1501">
        <v>109.4</v>
      </c>
      <c r="J64" s="1536">
        <f t="shared" si="10"/>
        <v>2155.1799999999998</v>
      </c>
      <c r="K64" s="1765"/>
      <c r="L64" s="1501">
        <v>121.56</v>
      </c>
      <c r="M64" s="1501">
        <f t="shared" si="11"/>
        <v>109.4</v>
      </c>
      <c r="N64" s="1512"/>
      <c r="O64" s="1510"/>
      <c r="P64" s="1513"/>
      <c r="Q64" s="1514"/>
      <c r="R64" s="1442"/>
      <c r="S64" s="1515"/>
    </row>
    <row r="65" spans="1:20" ht="16.5">
      <c r="A65" s="1511"/>
      <c r="B65" s="1535">
        <f t="shared" si="9"/>
        <v>3.0899999999999981</v>
      </c>
      <c r="C65" s="1553"/>
      <c r="D65" s="1508" t="s">
        <v>737</v>
      </c>
      <c r="E65" s="1508"/>
      <c r="F65" s="1579"/>
      <c r="G65" s="1465" t="s">
        <v>962</v>
      </c>
      <c r="H65" s="1501">
        <v>5.1100000000000003</v>
      </c>
      <c r="I65" s="1501">
        <v>115.42</v>
      </c>
      <c r="J65" s="1536">
        <f t="shared" si="10"/>
        <v>589.79999999999995</v>
      </c>
      <c r="K65" s="1765"/>
      <c r="L65" s="1501">
        <v>128.24</v>
      </c>
      <c r="M65" s="1501">
        <f t="shared" si="11"/>
        <v>115.42</v>
      </c>
      <c r="N65" s="1512"/>
      <c r="O65" s="1510"/>
      <c r="P65" s="1513"/>
      <c r="Q65" s="1514"/>
      <c r="R65" s="1442"/>
      <c r="S65" s="1515"/>
    </row>
    <row r="66" spans="1:20" ht="16.5">
      <c r="A66" s="1511"/>
      <c r="B66" s="1535">
        <f t="shared" si="9"/>
        <v>3.0999999999999979</v>
      </c>
      <c r="C66" s="1553"/>
      <c r="D66" s="1508" t="s">
        <v>438</v>
      </c>
      <c r="E66" s="1508"/>
      <c r="F66" s="1579"/>
      <c r="G66" s="1465" t="s">
        <v>18</v>
      </c>
      <c r="H66" s="1501">
        <v>143</v>
      </c>
      <c r="I66" s="1501">
        <v>279.45</v>
      </c>
      <c r="J66" s="1536">
        <f t="shared" si="10"/>
        <v>39961.35</v>
      </c>
      <c r="K66" s="1765"/>
      <c r="L66" s="1501">
        <v>310.5</v>
      </c>
      <c r="M66" s="1501">
        <f t="shared" si="11"/>
        <v>279.45</v>
      </c>
      <c r="N66" s="1512"/>
      <c r="O66" s="1510"/>
      <c r="P66" s="1513"/>
      <c r="Q66" s="1514"/>
      <c r="R66" s="1442"/>
      <c r="S66" s="1515"/>
    </row>
    <row r="67" spans="1:20" ht="16.5">
      <c r="A67" s="1511"/>
      <c r="B67" s="1535">
        <f t="shared" si="9"/>
        <v>3.1099999999999977</v>
      </c>
      <c r="C67" s="1553"/>
      <c r="D67" s="1508" t="s">
        <v>430</v>
      </c>
      <c r="E67" s="1508"/>
      <c r="F67" s="1579"/>
      <c r="G67" s="1465" t="s">
        <v>18</v>
      </c>
      <c r="H67" s="1501">
        <v>7</v>
      </c>
      <c r="I67" s="1501">
        <v>270.54000000000002</v>
      </c>
      <c r="J67" s="1536">
        <f t="shared" si="10"/>
        <v>1893.78</v>
      </c>
      <c r="K67" s="1765"/>
      <c r="L67" s="1501">
        <v>300.60000000000002</v>
      </c>
      <c r="M67" s="1501">
        <f t="shared" si="11"/>
        <v>270.54000000000002</v>
      </c>
      <c r="N67" s="1512"/>
      <c r="O67" s="1510"/>
      <c r="P67" s="1513"/>
      <c r="Q67" s="1514"/>
      <c r="R67" s="1442"/>
      <c r="S67" s="1442"/>
    </row>
    <row r="68" spans="1:20" ht="16.5">
      <c r="A68" s="1511"/>
      <c r="B68" s="1535">
        <f t="shared" si="9"/>
        <v>3.1199999999999974</v>
      </c>
      <c r="C68" s="1553"/>
      <c r="D68" s="1508" t="s">
        <v>930</v>
      </c>
      <c r="E68" s="1508"/>
      <c r="F68" s="1579"/>
      <c r="G68" s="1465" t="s">
        <v>18</v>
      </c>
      <c r="H68" s="1501">
        <v>150</v>
      </c>
      <c r="I68" s="1501">
        <v>25.38</v>
      </c>
      <c r="J68" s="1536">
        <f t="shared" si="10"/>
        <v>3807</v>
      </c>
      <c r="K68" s="1765"/>
      <c r="L68" s="1501">
        <v>28.2</v>
      </c>
      <c r="M68" s="1501">
        <f t="shared" si="11"/>
        <v>25.38</v>
      </c>
      <c r="N68" s="1512"/>
      <c r="O68" s="1510"/>
      <c r="P68" s="1513"/>
      <c r="Q68" s="1514"/>
      <c r="R68" s="1442"/>
      <c r="S68" s="1442"/>
    </row>
    <row r="69" spans="1:20" ht="16.5">
      <c r="A69" s="1508"/>
      <c r="B69" s="1464"/>
      <c r="C69" s="1553"/>
      <c r="D69" s="1508"/>
      <c r="E69" s="1508"/>
      <c r="F69" s="1605" t="str">
        <f>+"SUB-TOTAL   "&amp;B56&amp;":  "</f>
        <v xml:space="preserve">SUB-TOTAL   3:  </v>
      </c>
      <c r="G69" s="1537"/>
      <c r="H69" s="1565"/>
      <c r="I69" s="1565"/>
      <c r="J69" s="1539">
        <f>+SUM(J56:J68)</f>
        <v>89325.119999999995</v>
      </c>
      <c r="K69" s="1765"/>
      <c r="L69" s="1565"/>
      <c r="M69" s="1565"/>
      <c r="N69" s="1512"/>
      <c r="O69" s="1510"/>
      <c r="P69" s="1513"/>
      <c r="Q69" s="1514"/>
    </row>
    <row r="70" spans="1:20" ht="16.5">
      <c r="A70" s="1508"/>
      <c r="B70" s="1534">
        <v>4</v>
      </c>
      <c r="C70" s="1553"/>
      <c r="D70" s="1575" t="s">
        <v>205</v>
      </c>
      <c r="E70" s="1508"/>
      <c r="F70" s="1579"/>
      <c r="G70" s="1465"/>
      <c r="H70" s="1501"/>
      <c r="I70" s="1501"/>
      <c r="J70" s="1536"/>
      <c r="K70" s="1765"/>
      <c r="L70" s="1501"/>
      <c r="M70" s="1501"/>
      <c r="N70" s="1512"/>
      <c r="O70" s="1510"/>
      <c r="P70" s="1513"/>
      <c r="Q70" s="1514"/>
    </row>
    <row r="71" spans="1:20" ht="16.5">
      <c r="A71" s="1511"/>
      <c r="B71" s="1535">
        <f>+B70+0.01</f>
        <v>4.01</v>
      </c>
      <c r="C71" s="1553"/>
      <c r="D71" s="1508" t="s">
        <v>426</v>
      </c>
      <c r="E71" s="1508"/>
      <c r="F71" s="1579"/>
      <c r="G71" s="1465" t="s">
        <v>962</v>
      </c>
      <c r="H71" s="1501">
        <v>69.44</v>
      </c>
      <c r="I71" s="1501">
        <v>61.15</v>
      </c>
      <c r="J71" s="1536">
        <f t="shared" ref="J71:J78" si="12">+ROUND(I71*H71,2)</f>
        <v>4246.26</v>
      </c>
      <c r="K71" s="1765"/>
      <c r="L71" s="1501">
        <v>67.94</v>
      </c>
      <c r="M71" s="1501">
        <f t="shared" ref="M71:M78" si="13">+ROUND(L71*$M$7,2)</f>
        <v>61.15</v>
      </c>
      <c r="N71" s="1512"/>
      <c r="O71" s="1510"/>
      <c r="P71" s="1513"/>
      <c r="Q71" s="1514"/>
      <c r="R71" s="1442"/>
      <c r="S71" s="1515"/>
      <c r="T71" s="1523"/>
    </row>
    <row r="72" spans="1:20" ht="16.5">
      <c r="A72" s="1511"/>
      <c r="B72" s="1535">
        <f t="shared" ref="B72:B78" si="14">+B71+0.01</f>
        <v>4.0199999999999996</v>
      </c>
      <c r="C72" s="1553"/>
      <c r="D72" s="1508" t="s">
        <v>427</v>
      </c>
      <c r="E72" s="1508"/>
      <c r="F72" s="1579"/>
      <c r="G72" s="1465" t="s">
        <v>962</v>
      </c>
      <c r="H72" s="1501">
        <v>4.4800000000000004</v>
      </c>
      <c r="I72" s="1501">
        <v>208.14</v>
      </c>
      <c r="J72" s="1536">
        <f t="shared" si="12"/>
        <v>932.47</v>
      </c>
      <c r="K72" s="1765"/>
      <c r="L72" s="1501">
        <v>231.26999999999998</v>
      </c>
      <c r="M72" s="1501">
        <f t="shared" si="13"/>
        <v>208.14</v>
      </c>
      <c r="N72" s="1512"/>
      <c r="O72" s="1510"/>
      <c r="P72" s="1513"/>
      <c r="Q72" s="1514"/>
      <c r="R72" s="1442"/>
      <c r="S72" s="1515"/>
      <c r="T72" s="1523"/>
    </row>
    <row r="73" spans="1:20" ht="16.5">
      <c r="A73" s="1511"/>
      <c r="B73" s="1535">
        <f t="shared" si="14"/>
        <v>4.0299999999999994</v>
      </c>
      <c r="C73" s="1553"/>
      <c r="D73" s="1508" t="s">
        <v>738</v>
      </c>
      <c r="E73" s="1508"/>
      <c r="F73" s="1579"/>
      <c r="G73" s="1465" t="s">
        <v>18</v>
      </c>
      <c r="H73" s="1501">
        <v>36</v>
      </c>
      <c r="I73" s="1501">
        <v>87.45</v>
      </c>
      <c r="J73" s="1536">
        <f t="shared" si="12"/>
        <v>3148.2</v>
      </c>
      <c r="K73" s="1765"/>
      <c r="L73" s="1501">
        <v>97.17</v>
      </c>
      <c r="M73" s="1501">
        <f t="shared" si="13"/>
        <v>87.45</v>
      </c>
      <c r="N73" s="1512"/>
      <c r="O73" s="1510"/>
      <c r="P73" s="1513"/>
      <c r="Q73" s="1514"/>
      <c r="R73" s="1442"/>
      <c r="S73" s="1515"/>
      <c r="T73" s="1523"/>
    </row>
    <row r="74" spans="1:20" ht="16.5">
      <c r="A74" s="1511"/>
      <c r="B74" s="1535">
        <f t="shared" si="14"/>
        <v>4.0399999999999991</v>
      </c>
      <c r="C74" s="1553"/>
      <c r="D74" s="1508" t="s">
        <v>739</v>
      </c>
      <c r="E74" s="1508"/>
      <c r="F74" s="1579"/>
      <c r="G74" s="1465" t="s">
        <v>18</v>
      </c>
      <c r="H74" s="1501">
        <v>18</v>
      </c>
      <c r="I74" s="1501">
        <v>103.71</v>
      </c>
      <c r="J74" s="1536">
        <f t="shared" si="12"/>
        <v>1866.78</v>
      </c>
      <c r="K74" s="1765"/>
      <c r="L74" s="1501">
        <v>115.23000000000002</v>
      </c>
      <c r="M74" s="1501">
        <f t="shared" si="13"/>
        <v>103.71</v>
      </c>
      <c r="N74" s="1512"/>
      <c r="O74" s="1510"/>
      <c r="P74" s="1513"/>
      <c r="Q74" s="1514"/>
      <c r="R74" s="1442"/>
      <c r="S74" s="1515"/>
      <c r="T74" s="1523"/>
    </row>
    <row r="75" spans="1:20" ht="16.5">
      <c r="A75" s="1511"/>
      <c r="B75" s="1535">
        <f t="shared" si="14"/>
        <v>4.0499999999999989</v>
      </c>
      <c r="C75" s="1553"/>
      <c r="D75" s="1508" t="s">
        <v>740</v>
      </c>
      <c r="E75" s="1508"/>
      <c r="F75" s="1579"/>
      <c r="G75" s="1465" t="s">
        <v>18</v>
      </c>
      <c r="H75" s="1501">
        <v>11</v>
      </c>
      <c r="I75" s="1501">
        <v>96.37</v>
      </c>
      <c r="J75" s="1536">
        <f t="shared" si="12"/>
        <v>1060.07</v>
      </c>
      <c r="K75" s="1765"/>
      <c r="L75" s="1501">
        <v>107.08</v>
      </c>
      <c r="M75" s="1501">
        <f t="shared" si="13"/>
        <v>96.37</v>
      </c>
      <c r="N75" s="1512"/>
      <c r="O75" s="1510"/>
      <c r="P75" s="1513"/>
      <c r="Q75" s="1514"/>
      <c r="R75" s="1442"/>
      <c r="S75" s="1515"/>
      <c r="T75" s="1523"/>
    </row>
    <row r="76" spans="1:20" ht="16.5">
      <c r="A76" s="1511"/>
      <c r="B76" s="1535">
        <f t="shared" si="14"/>
        <v>4.0599999999999987</v>
      </c>
      <c r="C76" s="1553"/>
      <c r="D76" s="1508" t="s">
        <v>741</v>
      </c>
      <c r="E76" s="1508"/>
      <c r="F76" s="1579"/>
      <c r="G76" s="1465" t="s">
        <v>18</v>
      </c>
      <c r="H76" s="1501">
        <v>1</v>
      </c>
      <c r="I76" s="1501">
        <v>114.54</v>
      </c>
      <c r="J76" s="1536">
        <f t="shared" si="12"/>
        <v>114.54</v>
      </c>
      <c r="K76" s="1765"/>
      <c r="L76" s="1501">
        <v>127.27</v>
      </c>
      <c r="M76" s="1501">
        <f t="shared" si="13"/>
        <v>114.54</v>
      </c>
      <c r="N76" s="1512"/>
      <c r="O76" s="1510"/>
      <c r="P76" s="1513"/>
      <c r="Q76" s="1514"/>
      <c r="R76" s="1442"/>
      <c r="S76" s="1515"/>
    </row>
    <row r="77" spans="1:20" ht="16.5">
      <c r="A77" s="1511"/>
      <c r="B77" s="1535">
        <f t="shared" si="14"/>
        <v>4.0699999999999985</v>
      </c>
      <c r="C77" s="1553"/>
      <c r="D77" s="1508" t="s">
        <v>431</v>
      </c>
      <c r="E77" s="1508"/>
      <c r="F77" s="1579"/>
      <c r="G77" s="1465" t="s">
        <v>962</v>
      </c>
      <c r="H77" s="1501">
        <v>68.2</v>
      </c>
      <c r="I77" s="1501">
        <v>90.22</v>
      </c>
      <c r="J77" s="1536">
        <f t="shared" si="12"/>
        <v>6153</v>
      </c>
      <c r="K77" s="1765"/>
      <c r="L77" s="1501">
        <v>100.24</v>
      </c>
      <c r="M77" s="1501">
        <f t="shared" si="13"/>
        <v>90.22</v>
      </c>
      <c r="N77" s="1512"/>
      <c r="O77" s="1510"/>
      <c r="P77" s="1513"/>
      <c r="Q77" s="1514"/>
      <c r="R77" s="1442"/>
      <c r="S77" s="1442"/>
    </row>
    <row r="78" spans="1:20" ht="16.5">
      <c r="A78" s="1511"/>
      <c r="B78" s="1535">
        <f t="shared" si="14"/>
        <v>4.0799999999999983</v>
      </c>
      <c r="C78" s="1553"/>
      <c r="D78" s="1508" t="s">
        <v>432</v>
      </c>
      <c r="E78" s="1508"/>
      <c r="F78" s="1579"/>
      <c r="G78" s="1465" t="s">
        <v>962</v>
      </c>
      <c r="H78" s="1501">
        <v>4.4000000000000004</v>
      </c>
      <c r="I78" s="1501">
        <v>96.57</v>
      </c>
      <c r="J78" s="1536">
        <f t="shared" si="12"/>
        <v>424.91</v>
      </c>
      <c r="K78" s="1765"/>
      <c r="L78" s="1501">
        <v>107.3</v>
      </c>
      <c r="M78" s="1501">
        <f t="shared" si="13"/>
        <v>96.57</v>
      </c>
      <c r="N78" s="1512"/>
      <c r="O78" s="1510"/>
      <c r="P78" s="1513"/>
      <c r="Q78" s="1514"/>
      <c r="R78" s="1442"/>
      <c r="S78" s="1442"/>
    </row>
    <row r="79" spans="1:20" ht="16.5">
      <c r="A79" s="1508"/>
      <c r="B79" s="1464"/>
      <c r="C79" s="1553"/>
      <c r="D79" s="1508"/>
      <c r="E79" s="1508"/>
      <c r="F79" s="1605" t="str">
        <f>+"SUB-TOTAL   "&amp;B70&amp;":  "</f>
        <v xml:space="preserve">SUB-TOTAL   4:  </v>
      </c>
      <c r="G79" s="1537"/>
      <c r="H79" s="1565"/>
      <c r="I79" s="1565"/>
      <c r="J79" s="1539">
        <f>+SUM(J70:J78)</f>
        <v>17946.23</v>
      </c>
      <c r="K79" s="1765"/>
      <c r="L79" s="1565"/>
      <c r="M79" s="1565"/>
      <c r="N79" s="1512"/>
      <c r="O79" s="1510"/>
      <c r="P79" s="1513"/>
      <c r="Q79" s="1514"/>
    </row>
    <row r="80" spans="1:20" ht="16.5">
      <c r="A80" s="1508"/>
      <c r="B80" s="1534">
        <v>5</v>
      </c>
      <c r="C80" s="1553"/>
      <c r="D80" s="1575" t="s">
        <v>206</v>
      </c>
      <c r="E80" s="1508"/>
      <c r="F80" s="1579"/>
      <c r="G80" s="1465"/>
      <c r="H80" s="1501"/>
      <c r="I80" s="1501"/>
      <c r="J80" s="1542"/>
      <c r="K80" s="1765"/>
      <c r="L80" s="1501"/>
      <c r="M80" s="1501"/>
      <c r="N80" s="1512"/>
      <c r="O80" s="1510"/>
      <c r="P80" s="1513"/>
      <c r="Q80" s="1514"/>
    </row>
    <row r="81" spans="1:19" ht="16.5">
      <c r="A81" s="1511"/>
      <c r="B81" s="1535">
        <f>+B80+0.01</f>
        <v>5.01</v>
      </c>
      <c r="C81" s="1553"/>
      <c r="D81" s="1508" t="s">
        <v>904</v>
      </c>
      <c r="E81" s="1508"/>
      <c r="F81" s="1579"/>
      <c r="G81" s="1465" t="s">
        <v>295</v>
      </c>
      <c r="H81" s="1501">
        <v>2</v>
      </c>
      <c r="I81" s="1501">
        <v>61.22</v>
      </c>
      <c r="J81" s="1542">
        <f t="shared" ref="J81:J102" si="15">+ROUND(I81*H81,2)</f>
        <v>122.44</v>
      </c>
      <c r="K81" s="1765"/>
      <c r="L81" s="1501">
        <v>68.02</v>
      </c>
      <c r="M81" s="1501">
        <f t="shared" ref="M81:M102" si="16">+ROUND(L81*$M$7,2)</f>
        <v>61.22</v>
      </c>
      <c r="N81" s="1512"/>
      <c r="O81" s="1510"/>
      <c r="P81" s="1513"/>
      <c r="Q81" s="1514"/>
      <c r="R81" s="1442"/>
      <c r="S81" s="1515"/>
    </row>
    <row r="82" spans="1:19" ht="16.5">
      <c r="A82" s="1511"/>
      <c r="B82" s="1535">
        <f t="shared" ref="B82:B102" si="17">+B81+0.01</f>
        <v>5.0199999999999996</v>
      </c>
      <c r="C82" s="1553"/>
      <c r="D82" s="1508" t="s">
        <v>905</v>
      </c>
      <c r="E82" s="1508"/>
      <c r="F82" s="1579"/>
      <c r="G82" s="1465" t="s">
        <v>295</v>
      </c>
      <c r="H82" s="1501">
        <v>1</v>
      </c>
      <c r="I82" s="1501">
        <v>57.34</v>
      </c>
      <c r="J82" s="1542">
        <f t="shared" ref="J82" si="18">+ROUND(I82*H82,2)</f>
        <v>57.34</v>
      </c>
      <c r="K82" s="1765"/>
      <c r="L82" s="1501">
        <v>63.710000000000008</v>
      </c>
      <c r="M82" s="1501">
        <f t="shared" si="16"/>
        <v>57.34</v>
      </c>
      <c r="N82" s="1512"/>
      <c r="O82" s="1510"/>
      <c r="P82" s="1513"/>
      <c r="Q82" s="1514"/>
      <c r="R82" s="1442"/>
      <c r="S82" s="1515"/>
    </row>
    <row r="83" spans="1:19" ht="16.5">
      <c r="A83" s="1511"/>
      <c r="B83" s="1535">
        <f t="shared" si="17"/>
        <v>5.0299999999999994</v>
      </c>
      <c r="C83" s="1553"/>
      <c r="D83" s="1508" t="s">
        <v>906</v>
      </c>
      <c r="E83" s="1508"/>
      <c r="F83" s="1579"/>
      <c r="G83" s="1465" t="s">
        <v>295</v>
      </c>
      <c r="H83" s="1501">
        <v>11</v>
      </c>
      <c r="I83" s="1501">
        <v>66.02</v>
      </c>
      <c r="J83" s="1542">
        <f t="shared" si="15"/>
        <v>726.22</v>
      </c>
      <c r="K83" s="1765"/>
      <c r="L83" s="1501">
        <v>73.349999999999994</v>
      </c>
      <c r="M83" s="1501">
        <f t="shared" si="16"/>
        <v>66.02</v>
      </c>
      <c r="N83" s="1512"/>
      <c r="O83" s="1510"/>
      <c r="P83" s="1513"/>
      <c r="Q83" s="1514"/>
      <c r="R83" s="1442"/>
      <c r="S83" s="1515"/>
    </row>
    <row r="84" spans="1:19" ht="16.5">
      <c r="A84" s="1511"/>
      <c r="B84" s="1535">
        <f t="shared" si="17"/>
        <v>5.0399999999999991</v>
      </c>
      <c r="C84" s="1553"/>
      <c r="D84" s="1508" t="s">
        <v>907</v>
      </c>
      <c r="E84" s="1508"/>
      <c r="F84" s="1579"/>
      <c r="G84" s="1465" t="s">
        <v>295</v>
      </c>
      <c r="H84" s="1501">
        <v>9</v>
      </c>
      <c r="I84" s="1501">
        <v>80.37</v>
      </c>
      <c r="J84" s="1536">
        <f t="shared" si="15"/>
        <v>723.33</v>
      </c>
      <c r="K84" s="1765"/>
      <c r="L84" s="1501">
        <v>89.299999999999983</v>
      </c>
      <c r="M84" s="1501">
        <f t="shared" si="16"/>
        <v>80.37</v>
      </c>
      <c r="N84" s="1512"/>
      <c r="O84" s="1510"/>
      <c r="P84" s="1513"/>
      <c r="Q84" s="1514"/>
      <c r="R84" s="1442"/>
      <c r="S84" s="1515"/>
    </row>
    <row r="85" spans="1:19" ht="16.5">
      <c r="A85" s="1511"/>
      <c r="B85" s="1535">
        <f t="shared" si="17"/>
        <v>5.0499999999999989</v>
      </c>
      <c r="C85" s="1553"/>
      <c r="D85" s="1508" t="s">
        <v>908</v>
      </c>
      <c r="E85" s="1508"/>
      <c r="F85" s="1579"/>
      <c r="G85" s="1465" t="s">
        <v>295</v>
      </c>
      <c r="H85" s="1501">
        <v>80</v>
      </c>
      <c r="I85" s="1501">
        <v>102.97</v>
      </c>
      <c r="J85" s="1536">
        <f t="shared" si="15"/>
        <v>8237.6</v>
      </c>
      <c r="K85" s="1765"/>
      <c r="L85" s="1501">
        <v>114.41</v>
      </c>
      <c r="M85" s="1501">
        <f t="shared" si="16"/>
        <v>102.97</v>
      </c>
      <c r="N85" s="1512"/>
      <c r="O85" s="1510"/>
      <c r="P85" s="1513"/>
      <c r="Q85" s="1514"/>
      <c r="R85" s="1442"/>
      <c r="S85" s="1515"/>
    </row>
    <row r="86" spans="1:19" ht="16.5">
      <c r="A86" s="1511"/>
      <c r="B86" s="1535">
        <f t="shared" si="17"/>
        <v>5.0599999999999987</v>
      </c>
      <c r="C86" s="1553"/>
      <c r="D86" s="1508" t="s">
        <v>909</v>
      </c>
      <c r="E86" s="1508"/>
      <c r="F86" s="1579"/>
      <c r="G86" s="1465" t="s">
        <v>295</v>
      </c>
      <c r="H86" s="1501">
        <v>7</v>
      </c>
      <c r="I86" s="1501">
        <v>31.21</v>
      </c>
      <c r="J86" s="1536">
        <f t="shared" si="15"/>
        <v>218.47</v>
      </c>
      <c r="K86" s="1765"/>
      <c r="L86" s="1501">
        <v>34.679999999999993</v>
      </c>
      <c r="M86" s="1501">
        <f t="shared" si="16"/>
        <v>31.21</v>
      </c>
      <c r="N86" s="1512"/>
      <c r="O86" s="1510"/>
      <c r="P86" s="1513"/>
      <c r="Q86" s="1514"/>
      <c r="R86" s="1442"/>
      <c r="S86" s="1515"/>
    </row>
    <row r="87" spans="1:19" ht="16.5">
      <c r="A87" s="1511"/>
      <c r="B87" s="1535">
        <f t="shared" si="17"/>
        <v>5.0699999999999985</v>
      </c>
      <c r="C87" s="1553"/>
      <c r="D87" s="1508" t="s">
        <v>910</v>
      </c>
      <c r="E87" s="1508"/>
      <c r="F87" s="1579"/>
      <c r="G87" s="1465" t="s">
        <v>295</v>
      </c>
      <c r="H87" s="1501">
        <v>1</v>
      </c>
      <c r="I87" s="1501">
        <v>95.86</v>
      </c>
      <c r="J87" s="1536">
        <f t="shared" si="15"/>
        <v>95.86</v>
      </c>
      <c r="K87" s="1765"/>
      <c r="L87" s="1501">
        <v>106.50999999999999</v>
      </c>
      <c r="M87" s="1501">
        <f t="shared" si="16"/>
        <v>95.86</v>
      </c>
      <c r="N87" s="1512"/>
      <c r="O87" s="1510"/>
      <c r="P87" s="1513"/>
      <c r="Q87" s="1514"/>
      <c r="R87" s="1442"/>
      <c r="S87" s="1515"/>
    </row>
    <row r="88" spans="1:19" ht="16.5">
      <c r="A88" s="1511"/>
      <c r="B88" s="1535">
        <f t="shared" si="17"/>
        <v>5.0799999999999983</v>
      </c>
      <c r="C88" s="1553"/>
      <c r="D88" s="1508" t="s">
        <v>911</v>
      </c>
      <c r="E88" s="1508"/>
      <c r="F88" s="1579"/>
      <c r="G88" s="1465" t="s">
        <v>295</v>
      </c>
      <c r="H88" s="1501">
        <v>1</v>
      </c>
      <c r="I88" s="1501">
        <v>110.21</v>
      </c>
      <c r="J88" s="1536">
        <f t="shared" si="15"/>
        <v>110.21</v>
      </c>
      <c r="K88" s="1765"/>
      <c r="L88" s="1501">
        <v>122.46000000000001</v>
      </c>
      <c r="M88" s="1501">
        <f t="shared" si="16"/>
        <v>110.21</v>
      </c>
      <c r="N88" s="1512"/>
      <c r="O88" s="1510"/>
      <c r="P88" s="1513"/>
      <c r="Q88" s="1514"/>
      <c r="R88" s="1442"/>
      <c r="S88" s="1515"/>
    </row>
    <row r="89" spans="1:19" ht="16.5">
      <c r="A89" s="1511"/>
      <c r="B89" s="1535">
        <f t="shared" si="17"/>
        <v>5.0899999999999981</v>
      </c>
      <c r="C89" s="1553"/>
      <c r="D89" s="1508" t="s">
        <v>912</v>
      </c>
      <c r="E89" s="1508"/>
      <c r="F89" s="1579"/>
      <c r="G89" s="1465" t="s">
        <v>295</v>
      </c>
      <c r="H89" s="1501">
        <v>33</v>
      </c>
      <c r="I89" s="1501">
        <v>50.37</v>
      </c>
      <c r="J89" s="1536">
        <f t="shared" si="15"/>
        <v>1662.21</v>
      </c>
      <c r="K89" s="1765"/>
      <c r="L89" s="1501">
        <v>55.97</v>
      </c>
      <c r="M89" s="1501">
        <f t="shared" si="16"/>
        <v>50.37</v>
      </c>
      <c r="N89" s="1512"/>
      <c r="O89" s="1510"/>
      <c r="P89" s="1513"/>
      <c r="Q89" s="1514"/>
      <c r="R89" s="1442"/>
      <c r="S89" s="1515"/>
    </row>
    <row r="90" spans="1:19" ht="16.5">
      <c r="A90" s="1511"/>
      <c r="B90" s="1535">
        <f t="shared" si="17"/>
        <v>5.0999999999999979</v>
      </c>
      <c r="C90" s="1553"/>
      <c r="D90" s="1508" t="s">
        <v>913</v>
      </c>
      <c r="E90" s="1508"/>
      <c r="F90" s="1579"/>
      <c r="G90" s="1465" t="s">
        <v>295</v>
      </c>
      <c r="H90" s="1501">
        <v>9</v>
      </c>
      <c r="I90" s="1501">
        <v>118.56</v>
      </c>
      <c r="J90" s="1536">
        <f t="shared" si="15"/>
        <v>1067.04</v>
      </c>
      <c r="K90" s="1765"/>
      <c r="L90" s="1501">
        <v>131.72999999999999</v>
      </c>
      <c r="M90" s="1501">
        <f t="shared" si="16"/>
        <v>118.56</v>
      </c>
      <c r="N90" s="1512"/>
      <c r="O90" s="1510"/>
      <c r="P90" s="1513"/>
      <c r="Q90" s="1514"/>
      <c r="R90" s="1442"/>
      <c r="S90" s="1515"/>
    </row>
    <row r="91" spans="1:19" ht="16.5">
      <c r="A91" s="1511"/>
      <c r="B91" s="1535">
        <f t="shared" si="17"/>
        <v>5.1099999999999977</v>
      </c>
      <c r="C91" s="1553"/>
      <c r="D91" s="1508" t="s">
        <v>914</v>
      </c>
      <c r="E91" s="1508"/>
      <c r="F91" s="1579"/>
      <c r="G91" s="1465" t="s">
        <v>295</v>
      </c>
      <c r="H91" s="1501">
        <v>1</v>
      </c>
      <c r="I91" s="1501">
        <v>138.79</v>
      </c>
      <c r="J91" s="1536">
        <f t="shared" si="15"/>
        <v>138.79</v>
      </c>
      <c r="K91" s="1765"/>
      <c r="L91" s="1501">
        <v>154.20999999999998</v>
      </c>
      <c r="M91" s="1501">
        <f t="shared" si="16"/>
        <v>138.79</v>
      </c>
      <c r="N91" s="1512"/>
      <c r="O91" s="1510"/>
      <c r="P91" s="1513"/>
      <c r="Q91" s="1514"/>
      <c r="R91" s="1442"/>
      <c r="S91" s="1515"/>
    </row>
    <row r="92" spans="1:19" ht="16.5">
      <c r="A92" s="1511"/>
      <c r="B92" s="1535">
        <f t="shared" si="17"/>
        <v>5.1199999999999974</v>
      </c>
      <c r="C92" s="1553"/>
      <c r="D92" s="1508" t="s">
        <v>915</v>
      </c>
      <c r="E92" s="1508"/>
      <c r="F92" s="1579"/>
      <c r="G92" s="1465" t="s">
        <v>295</v>
      </c>
      <c r="H92" s="1501">
        <v>7</v>
      </c>
      <c r="I92" s="1501">
        <v>91.04</v>
      </c>
      <c r="J92" s="1536">
        <f t="shared" si="15"/>
        <v>637.28</v>
      </c>
      <c r="K92" s="1765"/>
      <c r="L92" s="1501">
        <v>101.15</v>
      </c>
      <c r="M92" s="1501">
        <f t="shared" si="16"/>
        <v>91.04</v>
      </c>
      <c r="N92" s="1512"/>
      <c r="O92" s="1510"/>
      <c r="P92" s="1513"/>
      <c r="Q92" s="1514"/>
      <c r="R92" s="1442"/>
      <c r="S92" s="1515"/>
    </row>
    <row r="93" spans="1:19" ht="16.5">
      <c r="A93" s="1511"/>
      <c r="B93" s="1535">
        <f t="shared" si="17"/>
        <v>5.1299999999999972</v>
      </c>
      <c r="C93" s="1553"/>
      <c r="D93" s="1508" t="s">
        <v>916</v>
      </c>
      <c r="E93" s="1508"/>
      <c r="F93" s="1579"/>
      <c r="G93" s="1465" t="s">
        <v>295</v>
      </c>
      <c r="H93" s="1501">
        <v>3</v>
      </c>
      <c r="I93" s="1501">
        <v>104.46</v>
      </c>
      <c r="J93" s="1536">
        <f t="shared" si="15"/>
        <v>313.38</v>
      </c>
      <c r="K93" s="1765"/>
      <c r="L93" s="1501">
        <v>116.07</v>
      </c>
      <c r="M93" s="1501">
        <f t="shared" si="16"/>
        <v>104.46</v>
      </c>
      <c r="N93" s="1512"/>
      <c r="O93" s="1510"/>
      <c r="P93" s="1513"/>
      <c r="Q93" s="1514"/>
      <c r="R93" s="1442"/>
      <c r="S93" s="1515"/>
    </row>
    <row r="94" spans="1:19" ht="16.5">
      <c r="A94" s="1511"/>
      <c r="B94" s="1535">
        <f t="shared" si="17"/>
        <v>5.139999999999997</v>
      </c>
      <c r="C94" s="1553"/>
      <c r="D94" s="1508" t="s">
        <v>917</v>
      </c>
      <c r="E94" s="1508"/>
      <c r="F94" s="1579"/>
      <c r="G94" s="1465" t="s">
        <v>295</v>
      </c>
      <c r="H94" s="1501">
        <v>1</v>
      </c>
      <c r="I94" s="1501">
        <v>119.56</v>
      </c>
      <c r="J94" s="1536">
        <f t="shared" si="15"/>
        <v>119.56</v>
      </c>
      <c r="K94" s="1765"/>
      <c r="L94" s="1501">
        <v>132.83999999999997</v>
      </c>
      <c r="M94" s="1501">
        <f t="shared" si="16"/>
        <v>119.56</v>
      </c>
      <c r="N94" s="1512"/>
      <c r="O94" s="1510"/>
      <c r="P94" s="1513"/>
      <c r="Q94" s="1514"/>
      <c r="R94" s="1442"/>
      <c r="S94" s="1515"/>
    </row>
    <row r="95" spans="1:19" ht="16.5">
      <c r="A95" s="1511"/>
      <c r="B95" s="1535">
        <f t="shared" si="17"/>
        <v>5.1499999999999968</v>
      </c>
      <c r="C95" s="1553"/>
      <c r="D95" s="1508" t="s">
        <v>918</v>
      </c>
      <c r="E95" s="1508"/>
      <c r="F95" s="1579"/>
      <c r="G95" s="1465" t="s">
        <v>295</v>
      </c>
      <c r="H95" s="1501">
        <v>1</v>
      </c>
      <c r="I95" s="1501">
        <v>138.79</v>
      </c>
      <c r="J95" s="1536">
        <f t="shared" si="15"/>
        <v>138.79</v>
      </c>
      <c r="K95" s="1765"/>
      <c r="L95" s="1501">
        <v>154.20999999999998</v>
      </c>
      <c r="M95" s="1501">
        <f t="shared" si="16"/>
        <v>138.79</v>
      </c>
      <c r="N95" s="1512"/>
      <c r="O95" s="1510"/>
      <c r="P95" s="1513"/>
      <c r="Q95" s="1514"/>
      <c r="R95" s="1442"/>
      <c r="S95" s="1515"/>
    </row>
    <row r="96" spans="1:19" ht="16.5">
      <c r="A96" s="1511"/>
      <c r="B96" s="1535">
        <f t="shared" si="17"/>
        <v>5.1599999999999966</v>
      </c>
      <c r="C96" s="1553"/>
      <c r="D96" s="1508" t="s">
        <v>919</v>
      </c>
      <c r="E96" s="1508"/>
      <c r="F96" s="1579"/>
      <c r="G96" s="1465" t="s">
        <v>295</v>
      </c>
      <c r="H96" s="1501">
        <v>2</v>
      </c>
      <c r="I96" s="1501">
        <v>153.35</v>
      </c>
      <c r="J96" s="1536">
        <f t="shared" si="15"/>
        <v>306.7</v>
      </c>
      <c r="K96" s="1765"/>
      <c r="L96" s="1501">
        <v>170.39</v>
      </c>
      <c r="M96" s="1501">
        <f t="shared" si="16"/>
        <v>153.35</v>
      </c>
      <c r="N96" s="1512"/>
      <c r="O96" s="1510"/>
      <c r="P96" s="1513"/>
      <c r="Q96" s="1514"/>
      <c r="R96" s="1442"/>
      <c r="S96" s="1515"/>
    </row>
    <row r="97" spans="1:19" ht="16.5">
      <c r="A97" s="1511"/>
      <c r="B97" s="1535">
        <f t="shared" si="17"/>
        <v>5.1699999999999964</v>
      </c>
      <c r="C97" s="1553"/>
      <c r="D97" s="1508" t="s">
        <v>920</v>
      </c>
      <c r="E97" s="1508"/>
      <c r="F97" s="1579"/>
      <c r="G97" s="1465" t="s">
        <v>295</v>
      </c>
      <c r="H97" s="1501">
        <v>4</v>
      </c>
      <c r="I97" s="1501">
        <v>120.89</v>
      </c>
      <c r="J97" s="1536">
        <f t="shared" si="15"/>
        <v>483.56</v>
      </c>
      <c r="K97" s="1765"/>
      <c r="L97" s="1501">
        <v>134.32</v>
      </c>
      <c r="M97" s="1501">
        <f t="shared" si="16"/>
        <v>120.89</v>
      </c>
      <c r="N97" s="1512"/>
      <c r="O97" s="1510"/>
      <c r="P97" s="1513"/>
      <c r="Q97" s="1514"/>
      <c r="R97" s="1442"/>
      <c r="S97" s="1515"/>
    </row>
    <row r="98" spans="1:19" ht="16.5">
      <c r="A98" s="1511"/>
      <c r="B98" s="1535">
        <f t="shared" si="17"/>
        <v>5.1799999999999962</v>
      </c>
      <c r="C98" s="1553"/>
      <c r="D98" s="1508" t="s">
        <v>921</v>
      </c>
      <c r="E98" s="1508"/>
      <c r="F98" s="1579"/>
      <c r="G98" s="1465" t="s">
        <v>295</v>
      </c>
      <c r="H98" s="1501">
        <v>4</v>
      </c>
      <c r="I98" s="1501">
        <v>169.6</v>
      </c>
      <c r="J98" s="1536">
        <f t="shared" si="15"/>
        <v>678.4</v>
      </c>
      <c r="K98" s="1765"/>
      <c r="L98" s="1501">
        <v>188.44</v>
      </c>
      <c r="M98" s="1501">
        <f t="shared" si="16"/>
        <v>169.6</v>
      </c>
      <c r="N98" s="1512"/>
      <c r="O98" s="1510"/>
      <c r="P98" s="1513"/>
      <c r="Q98" s="1514"/>
      <c r="R98" s="1442"/>
      <c r="S98" s="1515"/>
    </row>
    <row r="99" spans="1:19" ht="16.5">
      <c r="A99" s="1511"/>
      <c r="B99" s="1535">
        <f t="shared" si="17"/>
        <v>5.1899999999999959</v>
      </c>
      <c r="C99" s="1553"/>
      <c r="D99" s="1508" t="s">
        <v>922</v>
      </c>
      <c r="E99" s="1508"/>
      <c r="F99" s="1579"/>
      <c r="G99" s="1465" t="s">
        <v>295</v>
      </c>
      <c r="H99" s="1501">
        <v>1</v>
      </c>
      <c r="I99" s="1501">
        <v>118.56</v>
      </c>
      <c r="J99" s="1536">
        <f t="shared" si="15"/>
        <v>118.56</v>
      </c>
      <c r="K99" s="1765"/>
      <c r="L99" s="1501">
        <v>131.72999999999999</v>
      </c>
      <c r="M99" s="1501">
        <f t="shared" si="16"/>
        <v>118.56</v>
      </c>
      <c r="N99" s="1512"/>
      <c r="O99" s="1510"/>
      <c r="P99" s="1513"/>
      <c r="Q99" s="1514"/>
      <c r="R99" s="1442"/>
      <c r="S99" s="1515"/>
    </row>
    <row r="100" spans="1:19" ht="16.5">
      <c r="A100" s="1511"/>
      <c r="B100" s="1535">
        <f t="shared" si="17"/>
        <v>5.1999999999999957</v>
      </c>
      <c r="C100" s="1553"/>
      <c r="D100" s="1508" t="s">
        <v>923</v>
      </c>
      <c r="E100" s="1508"/>
      <c r="F100" s="1579"/>
      <c r="G100" s="1465" t="s">
        <v>295</v>
      </c>
      <c r="H100" s="1501">
        <v>5</v>
      </c>
      <c r="I100" s="1501">
        <v>138.79</v>
      </c>
      <c r="J100" s="1536">
        <f t="shared" si="15"/>
        <v>693.95</v>
      </c>
      <c r="K100" s="1765"/>
      <c r="L100" s="1501">
        <v>154.20999999999998</v>
      </c>
      <c r="M100" s="1501">
        <f t="shared" si="16"/>
        <v>138.79</v>
      </c>
      <c r="N100" s="1512"/>
      <c r="O100" s="1510"/>
      <c r="P100" s="1513"/>
      <c r="Q100" s="1514"/>
      <c r="R100" s="1442"/>
      <c r="S100" s="1515"/>
    </row>
    <row r="101" spans="1:19" ht="16.5">
      <c r="A101" s="1511"/>
      <c r="B101" s="1535">
        <f t="shared" si="17"/>
        <v>5.2099999999999955</v>
      </c>
      <c r="C101" s="1553"/>
      <c r="D101" s="1508" t="s">
        <v>924</v>
      </c>
      <c r="E101" s="1508"/>
      <c r="F101" s="1579"/>
      <c r="G101" s="1465" t="s">
        <v>295</v>
      </c>
      <c r="H101" s="1501">
        <v>2</v>
      </c>
      <c r="I101" s="1501">
        <v>120.34</v>
      </c>
      <c r="J101" s="1536">
        <f t="shared" si="15"/>
        <v>240.68</v>
      </c>
      <c r="K101" s="1765"/>
      <c r="L101" s="1501">
        <v>133.70999999999998</v>
      </c>
      <c r="M101" s="1501">
        <f t="shared" si="16"/>
        <v>120.34</v>
      </c>
      <c r="N101" s="1512"/>
      <c r="O101" s="1510"/>
      <c r="P101" s="1513"/>
      <c r="Q101" s="1514"/>
      <c r="R101" s="1442"/>
      <c r="S101" s="1515"/>
    </row>
    <row r="102" spans="1:19" ht="16.5">
      <c r="A102" s="1511"/>
      <c r="B102" s="1535">
        <f t="shared" si="17"/>
        <v>5.2199999999999953</v>
      </c>
      <c r="C102" s="1553"/>
      <c r="D102" s="1508" t="s">
        <v>925</v>
      </c>
      <c r="E102" s="1508"/>
      <c r="F102" s="1579"/>
      <c r="G102" s="1465" t="s">
        <v>295</v>
      </c>
      <c r="H102" s="1501">
        <v>3</v>
      </c>
      <c r="I102" s="1501">
        <v>127.07</v>
      </c>
      <c r="J102" s="1536">
        <f t="shared" si="15"/>
        <v>381.21</v>
      </c>
      <c r="K102" s="1765"/>
      <c r="L102" s="1501">
        <v>141.19</v>
      </c>
      <c r="M102" s="1501">
        <f t="shared" si="16"/>
        <v>127.07</v>
      </c>
      <c r="N102" s="1512"/>
      <c r="O102" s="1510"/>
      <c r="P102" s="1513"/>
      <c r="Q102" s="1514"/>
      <c r="R102" s="1442"/>
      <c r="S102" s="1515"/>
    </row>
    <row r="103" spans="1:19" ht="16.5">
      <c r="A103" s="1508"/>
      <c r="B103" s="1464"/>
      <c r="C103" s="1553"/>
      <c r="D103" s="1508"/>
      <c r="E103" s="1508"/>
      <c r="F103" s="1605" t="str">
        <f>+"SUB-TOTAL   "&amp;B80&amp;":  "</f>
        <v xml:space="preserve">SUB-TOTAL   5:  </v>
      </c>
      <c r="G103" s="1537"/>
      <c r="H103" s="1565"/>
      <c r="I103" s="1565"/>
      <c r="J103" s="1539">
        <f>+SUM(J81:J102)</f>
        <v>17271.580000000002</v>
      </c>
      <c r="K103" s="1765"/>
      <c r="L103" s="1565"/>
      <c r="M103" s="1565"/>
      <c r="N103" s="1512"/>
      <c r="O103" s="1510"/>
      <c r="P103" s="1513"/>
      <c r="Q103" s="1514"/>
    </row>
    <row r="104" spans="1:19" ht="16.5">
      <c r="A104" s="1508"/>
      <c r="B104" s="1534">
        <v>6</v>
      </c>
      <c r="C104" s="1553"/>
      <c r="D104" s="1575" t="s">
        <v>282</v>
      </c>
      <c r="E104" s="1508"/>
      <c r="F104" s="1579"/>
      <c r="G104" s="1465"/>
      <c r="H104" s="1501"/>
      <c r="I104" s="1501"/>
      <c r="J104" s="1536"/>
      <c r="K104" s="1765"/>
      <c r="L104" s="1501"/>
      <c r="M104" s="1501"/>
      <c r="N104" s="1512"/>
      <c r="O104" s="1510"/>
      <c r="P104" s="1513"/>
      <c r="Q104" s="1514"/>
    </row>
    <row r="105" spans="1:19" ht="16.5">
      <c r="A105" s="1511"/>
      <c r="B105" s="1535">
        <f>+B104+0.01</f>
        <v>6.01</v>
      </c>
      <c r="C105" s="1553"/>
      <c r="D105" s="1508" t="s">
        <v>433</v>
      </c>
      <c r="E105" s="1873"/>
      <c r="F105" s="1874"/>
      <c r="G105" s="1465" t="s">
        <v>191</v>
      </c>
      <c r="H105" s="1501">
        <v>53.4</v>
      </c>
      <c r="I105" s="1501">
        <v>1416.22</v>
      </c>
      <c r="J105" s="1536">
        <f>+ROUND(I105*H105,2)</f>
        <v>75626.149999999994</v>
      </c>
      <c r="K105" s="1765"/>
      <c r="L105" s="1501">
        <v>1573.58</v>
      </c>
      <c r="M105" s="1501">
        <f t="shared" ref="M105:M106" si="19">+ROUND(L105*$M$7,2)</f>
        <v>1416.22</v>
      </c>
      <c r="N105" s="1512"/>
      <c r="O105" s="1510"/>
      <c r="P105" s="1513"/>
      <c r="Q105" s="1514"/>
      <c r="R105" s="1442"/>
      <c r="S105" s="1515"/>
    </row>
    <row r="106" spans="1:19" ht="16.5">
      <c r="A106" s="1511"/>
      <c r="B106" s="1535">
        <f>+B105+0.01</f>
        <v>6.02</v>
      </c>
      <c r="C106" s="1553"/>
      <c r="D106" s="1508" t="s">
        <v>434</v>
      </c>
      <c r="E106" s="1873"/>
      <c r="F106" s="1874"/>
      <c r="G106" s="1465" t="s">
        <v>191</v>
      </c>
      <c r="H106" s="1501">
        <v>1.91</v>
      </c>
      <c r="I106" s="1501">
        <v>1514.94</v>
      </c>
      <c r="J106" s="1536">
        <f>+ROUND(I106*H106,2)</f>
        <v>2893.54</v>
      </c>
      <c r="K106" s="1765"/>
      <c r="L106" s="1501">
        <v>1683.27</v>
      </c>
      <c r="M106" s="1501">
        <f t="shared" si="19"/>
        <v>1514.94</v>
      </c>
      <c r="N106" s="1512"/>
      <c r="O106" s="1510"/>
      <c r="P106" s="1513"/>
      <c r="Q106" s="1514"/>
      <c r="R106" s="1442"/>
      <c r="S106" s="1515"/>
    </row>
    <row r="107" spans="1:19" ht="16.5">
      <c r="A107" s="1508"/>
      <c r="B107" s="1464"/>
      <c r="C107" s="1553"/>
      <c r="D107" s="1508"/>
      <c r="E107" s="1508"/>
      <c r="F107" s="1605" t="str">
        <f>+"SUB-TOTAL   "&amp;B104&amp;":  "</f>
        <v xml:space="preserve">SUB-TOTAL   6:  </v>
      </c>
      <c r="G107" s="1537"/>
      <c r="H107" s="1565"/>
      <c r="I107" s="1565"/>
      <c r="J107" s="1539">
        <f>+SUM(J105:J106)</f>
        <v>78519.689999999988</v>
      </c>
      <c r="K107" s="1765"/>
      <c r="L107" s="1565"/>
      <c r="M107" s="1565"/>
      <c r="N107" s="1512"/>
      <c r="O107" s="1510"/>
      <c r="P107" s="1513"/>
      <c r="Q107" s="1514"/>
    </row>
    <row r="108" spans="1:19" ht="16.5">
      <c r="A108" s="1508"/>
      <c r="B108" s="1534">
        <v>7</v>
      </c>
      <c r="C108" s="1553"/>
      <c r="D108" s="1575" t="s">
        <v>283</v>
      </c>
      <c r="E108" s="1508"/>
      <c r="F108" s="1579"/>
      <c r="G108" s="1465"/>
      <c r="H108" s="1501"/>
      <c r="I108" s="1501"/>
      <c r="J108" s="1536"/>
      <c r="K108" s="1765"/>
      <c r="L108" s="1501"/>
      <c r="M108" s="1501"/>
      <c r="N108" s="1512"/>
      <c r="O108" s="1510"/>
      <c r="P108" s="1513"/>
      <c r="Q108" s="1514"/>
    </row>
    <row r="109" spans="1:19" ht="16.5">
      <c r="A109" s="1511"/>
      <c r="B109" s="1535">
        <f>+B108+0.01</f>
        <v>7.01</v>
      </c>
      <c r="C109" s="1553"/>
      <c r="D109" s="1508" t="s">
        <v>426</v>
      </c>
      <c r="E109" s="1508"/>
      <c r="F109" s="1579"/>
      <c r="G109" s="1465" t="s">
        <v>962</v>
      </c>
      <c r="H109" s="1501">
        <v>261.14999999999998</v>
      </c>
      <c r="I109" s="1501">
        <v>61.15</v>
      </c>
      <c r="J109" s="1536">
        <f>+ROUND(I109*H109,2)</f>
        <v>15969.32</v>
      </c>
      <c r="K109" s="1765"/>
      <c r="L109" s="1501">
        <v>67.94</v>
      </c>
      <c r="M109" s="1501">
        <f t="shared" ref="M109:M115" si="20">+ROUND(L109*$M$7,2)</f>
        <v>61.15</v>
      </c>
      <c r="N109" s="1512"/>
      <c r="O109" s="1510"/>
      <c r="P109" s="1513"/>
      <c r="Q109" s="1514"/>
      <c r="R109" s="1442"/>
      <c r="S109" s="1515"/>
    </row>
    <row r="110" spans="1:19" ht="16.5">
      <c r="A110" s="1511"/>
      <c r="B110" s="1535">
        <f t="shared" ref="B110:B115" si="21">+B109+0.01</f>
        <v>7.02</v>
      </c>
      <c r="C110" s="1553"/>
      <c r="D110" s="1508" t="s">
        <v>427</v>
      </c>
      <c r="E110" s="1508"/>
      <c r="F110" s="1579"/>
      <c r="G110" s="1465" t="s">
        <v>962</v>
      </c>
      <c r="H110" s="1501">
        <v>12.56</v>
      </c>
      <c r="I110" s="1501">
        <v>208.14</v>
      </c>
      <c r="J110" s="1536">
        <f t="shared" ref="J110:J114" si="22">+ROUND(I110*H110,2)</f>
        <v>2614.2399999999998</v>
      </c>
      <c r="K110" s="1765"/>
      <c r="L110" s="1501">
        <v>231.26999999999998</v>
      </c>
      <c r="M110" s="1501">
        <f t="shared" si="20"/>
        <v>208.14</v>
      </c>
      <c r="N110" s="1512"/>
      <c r="O110" s="1510"/>
      <c r="P110" s="1513"/>
      <c r="Q110" s="1514"/>
      <c r="R110" s="1442"/>
      <c r="S110" s="1515"/>
    </row>
    <row r="111" spans="1:19" ht="16.5">
      <c r="A111" s="1511"/>
      <c r="B111" s="1535">
        <f t="shared" si="21"/>
        <v>7.0299999999999994</v>
      </c>
      <c r="C111" s="1553"/>
      <c r="D111" s="1508" t="s">
        <v>473</v>
      </c>
      <c r="E111" s="1508"/>
      <c r="F111" s="1579"/>
      <c r="G111" s="1465" t="s">
        <v>18</v>
      </c>
      <c r="H111" s="1501">
        <v>158</v>
      </c>
      <c r="I111" s="1501">
        <v>39.47</v>
      </c>
      <c r="J111" s="1536">
        <f t="shared" si="22"/>
        <v>6236.26</v>
      </c>
      <c r="K111" s="1765"/>
      <c r="L111" s="1501">
        <v>43.86</v>
      </c>
      <c r="M111" s="1501">
        <f t="shared" si="20"/>
        <v>39.47</v>
      </c>
      <c r="N111" s="1512"/>
      <c r="O111" s="1510"/>
      <c r="P111" s="1513"/>
      <c r="Q111" s="1514"/>
      <c r="R111" s="1442"/>
      <c r="S111" s="1515"/>
    </row>
    <row r="112" spans="1:19" ht="16.5">
      <c r="A112" s="1511"/>
      <c r="B112" s="1535">
        <f t="shared" si="21"/>
        <v>7.0399999999999991</v>
      </c>
      <c r="C112" s="1553"/>
      <c r="D112" s="1508" t="s">
        <v>474</v>
      </c>
      <c r="E112" s="1873"/>
      <c r="F112" s="1874"/>
      <c r="G112" s="1465" t="s">
        <v>18</v>
      </c>
      <c r="H112" s="1501">
        <v>13</v>
      </c>
      <c r="I112" s="1501">
        <v>54.98</v>
      </c>
      <c r="J112" s="1536">
        <f t="shared" si="22"/>
        <v>714.74</v>
      </c>
      <c r="K112" s="1765"/>
      <c r="L112" s="1501">
        <v>61.09</v>
      </c>
      <c r="M112" s="1501">
        <f t="shared" si="20"/>
        <v>54.98</v>
      </c>
      <c r="N112" s="1512"/>
      <c r="O112" s="1510"/>
      <c r="P112" s="1513"/>
      <c r="Q112" s="1514"/>
      <c r="R112" s="1442"/>
      <c r="S112" s="1515"/>
    </row>
    <row r="113" spans="1:19" ht="16.5">
      <c r="A113" s="1511"/>
      <c r="B113" s="1535">
        <f t="shared" si="21"/>
        <v>7.0499999999999989</v>
      </c>
      <c r="C113" s="1553"/>
      <c r="D113" s="1612" t="s">
        <v>926</v>
      </c>
      <c r="E113" s="1612"/>
      <c r="F113" s="1613"/>
      <c r="G113" s="1465" t="s">
        <v>18</v>
      </c>
      <c r="H113" s="1501">
        <v>7</v>
      </c>
      <c r="I113" s="1501">
        <v>54.34</v>
      </c>
      <c r="J113" s="1536">
        <f t="shared" si="22"/>
        <v>380.38</v>
      </c>
      <c r="K113" s="1765"/>
      <c r="L113" s="1501">
        <v>60.38000000000001</v>
      </c>
      <c r="M113" s="1501">
        <f t="shared" si="20"/>
        <v>54.34</v>
      </c>
      <c r="N113" s="1512"/>
      <c r="O113" s="1510"/>
      <c r="P113" s="1513"/>
      <c r="Q113" s="1514"/>
      <c r="R113" s="1442"/>
      <c r="S113" s="1515"/>
    </row>
    <row r="114" spans="1:19" ht="16.5">
      <c r="A114" s="1511"/>
      <c r="B114" s="1535">
        <f t="shared" si="21"/>
        <v>7.0599999999999987</v>
      </c>
      <c r="C114" s="1553"/>
      <c r="D114" s="1508" t="s">
        <v>927</v>
      </c>
      <c r="E114" s="1871"/>
      <c r="F114" s="1872"/>
      <c r="G114" s="1465" t="s">
        <v>18</v>
      </c>
      <c r="H114" s="1501">
        <v>2</v>
      </c>
      <c r="I114" s="1501">
        <v>63.45</v>
      </c>
      <c r="J114" s="1536">
        <f t="shared" si="22"/>
        <v>126.9</v>
      </c>
      <c r="K114" s="1765"/>
      <c r="L114" s="1501">
        <v>70.5</v>
      </c>
      <c r="M114" s="1501">
        <f t="shared" si="20"/>
        <v>63.45</v>
      </c>
      <c r="N114" s="1512"/>
      <c r="O114" s="1510"/>
      <c r="P114" s="1513"/>
      <c r="Q114" s="1514"/>
      <c r="R114" s="1442"/>
      <c r="S114" s="1515"/>
    </row>
    <row r="115" spans="1:19" ht="16.5">
      <c r="A115" s="1511"/>
      <c r="B115" s="1535">
        <f t="shared" si="21"/>
        <v>7.0699999999999985</v>
      </c>
      <c r="C115" s="1553"/>
      <c r="D115" s="1508" t="s">
        <v>435</v>
      </c>
      <c r="E115" s="1508"/>
      <c r="F115" s="1579"/>
      <c r="G115" s="1465" t="s">
        <v>962</v>
      </c>
      <c r="H115" s="1501">
        <v>269.60000000000002</v>
      </c>
      <c r="I115" s="1501">
        <v>68.819999999999993</v>
      </c>
      <c r="J115" s="1536">
        <f t="shared" ref="J115" si="23">+ROUND(I115*H115,2)</f>
        <v>18553.87</v>
      </c>
      <c r="K115" s="1765"/>
      <c r="L115" s="1501">
        <v>76.47</v>
      </c>
      <c r="M115" s="1501">
        <f t="shared" si="20"/>
        <v>68.819999999999993</v>
      </c>
      <c r="N115" s="1512"/>
      <c r="O115" s="1510"/>
      <c r="P115" s="1513"/>
      <c r="Q115" s="1514"/>
      <c r="R115" s="1442"/>
      <c r="S115" s="1442"/>
    </row>
    <row r="116" spans="1:19" ht="16.5">
      <c r="A116" s="1508"/>
      <c r="B116" s="1464"/>
      <c r="C116" s="1553"/>
      <c r="D116" s="1508"/>
      <c r="E116" s="1508"/>
      <c r="F116" s="1605" t="str">
        <f>+"SUB-TOTAL   "&amp;B108&amp;":  "</f>
        <v xml:space="preserve">SUB-TOTAL   7:  </v>
      </c>
      <c r="G116" s="1537"/>
      <c r="H116" s="1565"/>
      <c r="I116" s="1565"/>
      <c r="J116" s="1539">
        <f>+SUM(J109:J115)</f>
        <v>44595.710000000006</v>
      </c>
      <c r="K116" s="1765"/>
      <c r="L116" s="1565"/>
      <c r="M116" s="1565"/>
      <c r="N116" s="1512"/>
      <c r="O116" s="1510"/>
      <c r="P116" s="1513"/>
      <c r="Q116" s="1514"/>
    </row>
    <row r="117" spans="1:19" ht="16.5">
      <c r="A117" s="1508"/>
      <c r="B117" s="1534">
        <f>1+B108</f>
        <v>8</v>
      </c>
      <c r="C117" s="1553"/>
      <c r="D117" s="1575" t="s">
        <v>589</v>
      </c>
      <c r="E117" s="1508"/>
      <c r="F117" s="1579"/>
      <c r="G117" s="1465"/>
      <c r="H117" s="1501"/>
      <c r="I117" s="1501"/>
      <c r="J117" s="1536"/>
      <c r="K117" s="1765"/>
      <c r="L117" s="1501"/>
      <c r="M117" s="1501"/>
      <c r="N117" s="1512"/>
      <c r="O117" s="1510"/>
      <c r="P117" s="1513"/>
      <c r="Q117" s="1514"/>
    </row>
    <row r="118" spans="1:19" ht="16.5">
      <c r="A118" s="1511"/>
      <c r="B118" s="1535">
        <f>+B117+0.01</f>
        <v>8.01</v>
      </c>
      <c r="C118" s="1553"/>
      <c r="D118" s="1508" t="s">
        <v>590</v>
      </c>
      <c r="E118" s="1508"/>
      <c r="F118" s="1579"/>
      <c r="G118" s="1465" t="s">
        <v>962</v>
      </c>
      <c r="H118" s="1501">
        <v>86.3</v>
      </c>
      <c r="I118" s="1501">
        <v>61.15</v>
      </c>
      <c r="J118" s="1536">
        <f>+ROUND(I118*H118,2)</f>
        <v>5277.25</v>
      </c>
      <c r="K118" s="1765"/>
      <c r="L118" s="1501">
        <v>67.94</v>
      </c>
      <c r="M118" s="1501">
        <f t="shared" ref="M118:M123" si="24">+ROUND(L118*$M$7,2)</f>
        <v>61.15</v>
      </c>
      <c r="N118" s="1512"/>
      <c r="O118" s="1510"/>
      <c r="P118" s="1513"/>
      <c r="Q118" s="1514"/>
      <c r="R118" s="1442"/>
      <c r="S118" s="1515"/>
    </row>
    <row r="119" spans="1:19" ht="16.5">
      <c r="A119" s="1511"/>
      <c r="B119" s="1535">
        <f t="shared" ref="B119:B123" si="25">+B118+0.01</f>
        <v>8.02</v>
      </c>
      <c r="C119" s="1553"/>
      <c r="D119" s="1508" t="s">
        <v>743</v>
      </c>
      <c r="E119" s="1508"/>
      <c r="F119" s="1579"/>
      <c r="G119" s="1465" t="s">
        <v>962</v>
      </c>
      <c r="H119" s="1501">
        <v>12.33</v>
      </c>
      <c r="I119" s="1501">
        <v>208.14</v>
      </c>
      <c r="J119" s="1536">
        <f t="shared" ref="J119:J123" si="26">+ROUND(I119*H119,2)</f>
        <v>2566.37</v>
      </c>
      <c r="K119" s="1765"/>
      <c r="L119" s="1501">
        <v>231.26999999999998</v>
      </c>
      <c r="M119" s="1501">
        <f t="shared" si="24"/>
        <v>208.14</v>
      </c>
      <c r="N119" s="1512"/>
      <c r="O119" s="1510"/>
      <c r="P119" s="1513"/>
      <c r="Q119" s="1514"/>
      <c r="R119" s="1442"/>
      <c r="S119" s="1515"/>
    </row>
    <row r="120" spans="1:19" ht="16.5">
      <c r="A120" s="1511"/>
      <c r="B120" s="1535">
        <f t="shared" si="25"/>
        <v>8.0299999999999994</v>
      </c>
      <c r="C120" s="1553"/>
      <c r="D120" s="1508" t="s">
        <v>591</v>
      </c>
      <c r="E120" s="1508"/>
      <c r="F120" s="1579"/>
      <c r="G120" s="1465" t="s">
        <v>962</v>
      </c>
      <c r="H120" s="1501">
        <v>98.63</v>
      </c>
      <c r="I120" s="1501">
        <v>68.819999999999993</v>
      </c>
      <c r="J120" s="1536">
        <f t="shared" si="26"/>
        <v>6787.72</v>
      </c>
      <c r="K120" s="1765"/>
      <c r="L120" s="1501">
        <v>76.47</v>
      </c>
      <c r="M120" s="1501">
        <f t="shared" si="24"/>
        <v>68.819999999999993</v>
      </c>
      <c r="N120" s="1512"/>
      <c r="O120" s="1510"/>
      <c r="P120" s="1513"/>
      <c r="Q120" s="1514"/>
      <c r="R120" s="1442"/>
      <c r="S120" s="1515"/>
    </row>
    <row r="121" spans="1:19" ht="16.5">
      <c r="A121" s="1511"/>
      <c r="B121" s="1535">
        <f t="shared" si="25"/>
        <v>8.0399999999999991</v>
      </c>
      <c r="C121" s="1553"/>
      <c r="D121" s="1508" t="s">
        <v>742</v>
      </c>
      <c r="E121" s="1508"/>
      <c r="F121" s="1579"/>
      <c r="G121" s="1465" t="s">
        <v>18</v>
      </c>
      <c r="H121" s="1501">
        <v>60</v>
      </c>
      <c r="I121" s="1501">
        <v>24.62</v>
      </c>
      <c r="J121" s="1536">
        <f t="shared" si="26"/>
        <v>1477.2</v>
      </c>
      <c r="K121" s="1765"/>
      <c r="L121" s="1501">
        <v>27.36</v>
      </c>
      <c r="M121" s="1501">
        <f t="shared" si="24"/>
        <v>24.62</v>
      </c>
      <c r="N121" s="1512"/>
      <c r="O121" s="1510"/>
      <c r="P121" s="1513"/>
      <c r="Q121" s="1514"/>
      <c r="R121" s="1442"/>
      <c r="S121" s="1515"/>
    </row>
    <row r="122" spans="1:19" ht="16.5">
      <c r="A122" s="1511"/>
      <c r="B122" s="1535">
        <f t="shared" si="25"/>
        <v>8.0499999999999989</v>
      </c>
      <c r="C122" s="1553"/>
      <c r="D122" s="1508" t="s">
        <v>846</v>
      </c>
      <c r="E122" s="1508"/>
      <c r="F122" s="1579"/>
      <c r="G122" s="1465" t="s">
        <v>187</v>
      </c>
      <c r="H122" s="1501">
        <v>673.12</v>
      </c>
      <c r="I122" s="1501">
        <v>77.400000000000006</v>
      </c>
      <c r="J122" s="1536">
        <f t="shared" si="26"/>
        <v>52099.49</v>
      </c>
      <c r="K122" s="1765"/>
      <c r="L122" s="1501">
        <v>86</v>
      </c>
      <c r="M122" s="1501">
        <f t="shared" si="24"/>
        <v>77.400000000000006</v>
      </c>
      <c r="N122" s="1512"/>
      <c r="O122" s="1510"/>
      <c r="P122" s="1513"/>
      <c r="Q122" s="1514"/>
      <c r="R122" s="1442"/>
      <c r="S122" s="1515"/>
    </row>
    <row r="123" spans="1:19" ht="16.5">
      <c r="A123" s="1511"/>
      <c r="B123" s="1535">
        <f t="shared" si="25"/>
        <v>8.0599999999999987</v>
      </c>
      <c r="C123" s="1553"/>
      <c r="D123" s="1508" t="s">
        <v>847</v>
      </c>
      <c r="E123" s="1508"/>
      <c r="F123" s="1579"/>
      <c r="G123" s="1465" t="s">
        <v>18</v>
      </c>
      <c r="H123" s="1501">
        <v>30</v>
      </c>
      <c r="I123" s="1501">
        <v>276.64</v>
      </c>
      <c r="J123" s="1536">
        <f t="shared" si="26"/>
        <v>8299.2000000000007</v>
      </c>
      <c r="K123" s="1765"/>
      <c r="L123" s="1501">
        <v>307.38</v>
      </c>
      <c r="M123" s="1501">
        <f t="shared" si="24"/>
        <v>276.64</v>
      </c>
      <c r="N123" s="1512"/>
      <c r="O123" s="1510"/>
      <c r="P123" s="1513"/>
      <c r="Q123" s="1514"/>
      <c r="R123" s="1442"/>
      <c r="S123" s="1515"/>
    </row>
    <row r="124" spans="1:19" ht="16.5">
      <c r="A124" s="1508"/>
      <c r="B124" s="1464"/>
      <c r="C124" s="1553"/>
      <c r="D124" s="1508"/>
      <c r="E124" s="1508"/>
      <c r="F124" s="1605" t="str">
        <f>+"SUB-TOTAL   "&amp;B117&amp;":  "</f>
        <v xml:space="preserve">SUB-TOTAL   8:  </v>
      </c>
      <c r="G124" s="1537"/>
      <c r="H124" s="1565"/>
      <c r="I124" s="1565"/>
      <c r="J124" s="1539">
        <f>+SUM(J118:J123)</f>
        <v>76507.23</v>
      </c>
      <c r="K124" s="1765"/>
      <c r="L124" s="1565"/>
      <c r="M124" s="1565"/>
      <c r="N124" s="1512"/>
      <c r="O124" s="1510"/>
      <c r="P124" s="1513"/>
      <c r="Q124" s="1514"/>
    </row>
    <row r="125" spans="1:19" ht="16.5">
      <c r="A125" s="1508"/>
      <c r="B125" s="1534">
        <f>1+B117</f>
        <v>9</v>
      </c>
      <c r="C125" s="1553"/>
      <c r="D125" s="1575" t="s">
        <v>0</v>
      </c>
      <c r="E125" s="1508"/>
      <c r="F125" s="1579"/>
      <c r="G125" s="1465"/>
      <c r="H125" s="1501"/>
      <c r="I125" s="1501"/>
      <c r="J125" s="1536"/>
      <c r="K125" s="1765"/>
      <c r="L125" s="1501"/>
      <c r="M125" s="1501"/>
      <c r="N125" s="1512"/>
      <c r="O125" s="1510"/>
      <c r="P125" s="1513"/>
      <c r="Q125" s="1514"/>
    </row>
    <row r="126" spans="1:19" ht="16.5">
      <c r="A126" s="1511"/>
      <c r="B126" s="1535">
        <f>+B125+0.01</f>
        <v>9.01</v>
      </c>
      <c r="C126" s="1553"/>
      <c r="D126" s="1508" t="s">
        <v>744</v>
      </c>
      <c r="E126" s="1508"/>
      <c r="F126" s="1579"/>
      <c r="G126" s="1465" t="s">
        <v>191</v>
      </c>
      <c r="H126" s="1501">
        <v>22.95</v>
      </c>
      <c r="I126" s="1501">
        <v>289.92</v>
      </c>
      <c r="J126" s="1536">
        <f>+ROUND(I126*H126,2)</f>
        <v>6653.66</v>
      </c>
      <c r="K126" s="1765"/>
      <c r="L126" s="1501">
        <v>366.58000000000004</v>
      </c>
      <c r="M126" s="1501">
        <f t="shared" ref="M126:M127" si="27">+ROUND(L126*$M$7,2)</f>
        <v>329.92</v>
      </c>
      <c r="N126" s="1512"/>
      <c r="O126" s="1510"/>
      <c r="P126" s="1513"/>
      <c r="Q126" s="1514"/>
      <c r="R126" s="1442"/>
      <c r="S126" s="1515"/>
    </row>
    <row r="127" spans="1:19" ht="16.5">
      <c r="A127" s="1511"/>
      <c r="B127" s="1535">
        <f>+B126+0.01</f>
        <v>9.02</v>
      </c>
      <c r="C127" s="1553"/>
      <c r="D127" s="1508" t="s">
        <v>436</v>
      </c>
      <c r="E127" s="1873"/>
      <c r="F127" s="1874"/>
      <c r="G127" s="1465" t="s">
        <v>191</v>
      </c>
      <c r="H127" s="1501">
        <v>22.95</v>
      </c>
      <c r="I127" s="1501">
        <v>302.67</v>
      </c>
      <c r="J127" s="1536">
        <f>+ROUND(I127*H127,2)</f>
        <v>6946.28</v>
      </c>
      <c r="K127" s="1765"/>
      <c r="L127" s="1501">
        <v>391.85</v>
      </c>
      <c r="M127" s="1501">
        <f t="shared" si="27"/>
        <v>352.67</v>
      </c>
      <c r="N127" s="1512"/>
      <c r="O127" s="1510"/>
      <c r="P127" s="1513"/>
      <c r="Q127" s="1514"/>
      <c r="R127" s="1442"/>
      <c r="S127" s="1515"/>
    </row>
    <row r="128" spans="1:19" ht="16.5">
      <c r="A128" s="1508"/>
      <c r="B128" s="1464"/>
      <c r="C128" s="1553"/>
      <c r="D128" s="1517"/>
      <c r="E128" s="1517"/>
      <c r="F128" s="1554" t="str">
        <f>+"SUB-TOTAL   "&amp;B125&amp;":  "</f>
        <v xml:space="preserve">SUB-TOTAL   9:  </v>
      </c>
      <c r="G128" s="1545"/>
      <c r="H128" s="1546"/>
      <c r="I128" s="1546"/>
      <c r="J128" s="1539">
        <f>+SUM(J126:J127)</f>
        <v>13599.939999999999</v>
      </c>
      <c r="K128" s="1766"/>
      <c r="L128" s="1546"/>
      <c r="M128" s="1546"/>
      <c r="N128" s="1507"/>
      <c r="O128" s="1510"/>
      <c r="P128" s="1513"/>
      <c r="Q128" s="1514"/>
    </row>
    <row r="129" spans="1:18" ht="16.5">
      <c r="A129" s="1508"/>
      <c r="B129" s="1543"/>
      <c r="C129" s="1556"/>
      <c r="D129" s="1522"/>
      <c r="E129" s="1522"/>
      <c r="F129" s="1558"/>
      <c r="G129" s="1547"/>
      <c r="H129" s="1548"/>
      <c r="I129" s="1548"/>
      <c r="J129" s="1549"/>
      <c r="K129" s="1765"/>
      <c r="L129" s="1548"/>
      <c r="M129" s="1548"/>
      <c r="N129" s="1512"/>
      <c r="O129" s="1524"/>
      <c r="P129" s="1513"/>
    </row>
    <row r="130" spans="1:18" ht="20.25" customHeight="1">
      <c r="B130" s="1559"/>
      <c r="C130" s="1560"/>
      <c r="D130" s="1561" t="s">
        <v>384</v>
      </c>
      <c r="E130" s="1560"/>
      <c r="F130" s="1560"/>
      <c r="G130" s="1562"/>
      <c r="H130" s="1563"/>
      <c r="I130" s="1564"/>
      <c r="J130" s="1544">
        <f>+ROUND(SUM(J9:J129)/2,2)</f>
        <v>461491.17</v>
      </c>
      <c r="K130" s="1766"/>
      <c r="L130" s="1564"/>
      <c r="M130" s="1564"/>
      <c r="N130" s="1507"/>
      <c r="O130" s="1525"/>
      <c r="P130" s="1513"/>
      <c r="Q130" s="1444"/>
      <c r="R130" s="1444"/>
    </row>
    <row r="131" spans="1:18" ht="16.5">
      <c r="B131" s="1442"/>
      <c r="C131" s="1442"/>
      <c r="D131" s="1442" t="s">
        <v>385</v>
      </c>
      <c r="E131" s="1442"/>
      <c r="F131" s="1442"/>
      <c r="G131" s="1510"/>
      <c r="H131" s="1526"/>
      <c r="I131" s="1527"/>
      <c r="J131" s="1442"/>
      <c r="K131" s="1767"/>
      <c r="L131" s="1527"/>
      <c r="M131" s="1527"/>
      <c r="N131" s="1442"/>
      <c r="O131" s="1525"/>
      <c r="P131" s="1513"/>
    </row>
    <row r="132" spans="1:18">
      <c r="P132" s="575"/>
    </row>
    <row r="133" spans="1:18">
      <c r="J133" s="1717">
        <f>+J128+J124+J116+J107+J103+J79+J69+J55+J18</f>
        <v>461491.17000000004</v>
      </c>
      <c r="K133" s="1737"/>
      <c r="N133" s="1418"/>
      <c r="P133" s="575"/>
    </row>
    <row r="134" spans="1:18">
      <c r="J134" s="1419" t="b">
        <f>J133=J130</f>
        <v>1</v>
      </c>
      <c r="K134" s="1738"/>
      <c r="N134" s="1419"/>
      <c r="P134" s="575"/>
    </row>
    <row r="135" spans="1:18">
      <c r="J135" s="1420"/>
      <c r="K135" s="1739"/>
      <c r="N135" s="1420"/>
      <c r="P135" s="575"/>
    </row>
    <row r="136" spans="1:18">
      <c r="J136" s="1418"/>
      <c r="K136" s="1737"/>
      <c r="N136" s="1418"/>
      <c r="P136" s="575"/>
    </row>
    <row r="137" spans="1:18">
      <c r="P137" s="575"/>
    </row>
  </sheetData>
  <mergeCells count="1">
    <mergeCell ref="C7:F7"/>
  </mergeCells>
  <printOptions horizontalCentered="1"/>
  <pageMargins left="0.31496062992125984" right="0.31496062992125984" top="0.15748031496062992" bottom="0.15748031496062992" header="0.31496062992125984" footer="0.31496062992125984"/>
  <pageSetup paperSize="9" scale="75" orientation="portrait" verticalDpi="1200" r:id="rId1"/>
  <rowBreaks count="2" manualBreakCount="2">
    <brk id="55" min="1" max="9" man="1"/>
    <brk id="103" min="1" max="9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135"/>
  <sheetViews>
    <sheetView view="pageBreakPreview" topLeftCell="A110" zoomScale="80" zoomScaleNormal="100" zoomScaleSheetLayoutView="80" workbookViewId="0">
      <selection activeCell="C18" sqref="C18"/>
    </sheetView>
  </sheetViews>
  <sheetFormatPr baseColWidth="10" defaultColWidth="9.33203125" defaultRowHeight="12.75"/>
  <cols>
    <col min="3" max="3" width="0" hidden="1" customWidth="1"/>
    <col min="6" max="6" width="60.6640625" customWidth="1"/>
    <col min="10" max="10" width="12.1640625" customWidth="1"/>
  </cols>
  <sheetData>
    <row r="1" spans="1:20" ht="18">
      <c r="B1" s="1429" t="s">
        <v>127</v>
      </c>
      <c r="C1" s="1430"/>
      <c r="D1" s="1430"/>
      <c r="E1" s="1431"/>
      <c r="F1" s="1431"/>
      <c r="G1" s="1432"/>
      <c r="H1" s="1432"/>
      <c r="I1" s="303"/>
      <c r="J1" s="303"/>
      <c r="K1" s="1732"/>
      <c r="L1" s="1732"/>
      <c r="Q1" s="308"/>
      <c r="R1" s="308"/>
      <c r="S1" s="308"/>
      <c r="T1" s="1360"/>
    </row>
    <row r="2" spans="1:20" ht="22.5">
      <c r="A2" s="299"/>
      <c r="B2" s="1433" t="s">
        <v>373</v>
      </c>
      <c r="C2" s="1430"/>
      <c r="D2" s="1430"/>
      <c r="E2" s="1431"/>
      <c r="F2" s="1431"/>
      <c r="G2" s="1434"/>
      <c r="H2" s="1434"/>
      <c r="I2" s="303"/>
      <c r="J2" s="303"/>
      <c r="K2" s="1732"/>
      <c r="L2" s="1732"/>
      <c r="Q2" s="308"/>
      <c r="R2" s="308"/>
      <c r="S2" s="308"/>
      <c r="T2" s="1360"/>
    </row>
    <row r="3" spans="1:20" ht="22.5">
      <c r="A3" s="299"/>
      <c r="B3" s="1435" t="s">
        <v>9</v>
      </c>
      <c r="C3" s="1430"/>
      <c r="D3" s="1430"/>
      <c r="E3" s="1910" t="s">
        <v>10</v>
      </c>
      <c r="F3" s="1437" t="s">
        <v>544</v>
      </c>
      <c r="G3" s="1434"/>
      <c r="H3" s="1434"/>
      <c r="I3" s="303"/>
      <c r="J3" s="303"/>
      <c r="K3" s="1732"/>
      <c r="L3" s="1732"/>
      <c r="Q3" s="308"/>
      <c r="R3" s="308"/>
      <c r="S3" s="308"/>
      <c r="T3" s="1360"/>
    </row>
    <row r="4" spans="1:20" ht="18">
      <c r="B4" s="1433" t="s">
        <v>284</v>
      </c>
      <c r="C4" s="303"/>
      <c r="D4" s="303"/>
      <c r="E4" s="1911" t="s">
        <v>10</v>
      </c>
      <c r="F4" s="1438" t="s">
        <v>20</v>
      </c>
      <c r="G4" s="1434"/>
      <c r="H4" s="1434"/>
      <c r="I4" s="303"/>
      <c r="J4" s="303"/>
      <c r="K4" s="1732"/>
      <c r="L4" s="1732"/>
      <c r="Q4" s="308"/>
      <c r="R4" s="308"/>
      <c r="S4" s="308"/>
      <c r="T4" s="1360"/>
    </row>
    <row r="5" spans="1:20" ht="18">
      <c r="B5" s="304" t="s">
        <v>286</v>
      </c>
      <c r="C5" s="303"/>
      <c r="D5" s="303"/>
      <c r="E5" s="304"/>
      <c r="F5" s="303"/>
      <c r="G5" s="1434"/>
      <c r="H5" s="1434"/>
      <c r="I5" s="303"/>
      <c r="J5" s="303"/>
      <c r="K5" s="1732"/>
      <c r="L5" s="1732"/>
      <c r="Q5" s="308"/>
      <c r="R5" s="308"/>
      <c r="S5" s="308"/>
      <c r="T5" s="1360"/>
    </row>
    <row r="6" spans="1:20" ht="15" hidden="1">
      <c r="B6" s="515"/>
      <c r="C6" s="516"/>
      <c r="D6" s="516"/>
      <c r="E6" s="516"/>
      <c r="F6" s="515"/>
      <c r="G6" s="517"/>
      <c r="H6" s="306"/>
      <c r="I6" s="306"/>
      <c r="J6" s="306"/>
    </row>
    <row r="7" spans="1:20" ht="49.5">
      <c r="A7" s="519"/>
      <c r="B7" s="1453" t="s">
        <v>959</v>
      </c>
      <c r="C7" s="2056" t="s">
        <v>958</v>
      </c>
      <c r="D7" s="2057"/>
      <c r="E7" s="2057"/>
      <c r="F7" s="2058"/>
      <c r="G7" s="1454" t="s">
        <v>376</v>
      </c>
      <c r="H7" s="1455" t="s">
        <v>960</v>
      </c>
      <c r="I7" s="1455" t="s">
        <v>961</v>
      </c>
      <c r="J7" s="1455" t="s">
        <v>1004</v>
      </c>
      <c r="K7" s="1732"/>
      <c r="L7" s="1732"/>
      <c r="Q7" s="308"/>
      <c r="R7" s="308"/>
      <c r="S7" s="308"/>
      <c r="T7" s="1360"/>
    </row>
    <row r="8" spans="1:20" hidden="1">
      <c r="B8" s="1568"/>
      <c r="C8" s="1571"/>
      <c r="D8" s="1572"/>
      <c r="E8" s="1572"/>
      <c r="F8" s="1573"/>
      <c r="G8" s="1569"/>
      <c r="H8" s="1570"/>
      <c r="I8" s="1570"/>
      <c r="J8" s="1569"/>
      <c r="O8" s="305"/>
    </row>
    <row r="9" spans="1:20" ht="16.5">
      <c r="B9" s="1477"/>
      <c r="C9" s="1491"/>
      <c r="D9" s="1482" t="s">
        <v>13</v>
      </c>
      <c r="F9" s="1493"/>
      <c r="G9" s="1473"/>
      <c r="H9" s="1504"/>
      <c r="I9" s="1504"/>
      <c r="J9" s="1473"/>
      <c r="K9" s="1743"/>
      <c r="L9" s="1743"/>
      <c r="M9" s="1451"/>
      <c r="O9" s="1446"/>
      <c r="T9" s="1452"/>
    </row>
    <row r="10" spans="1:20" ht="16.5" hidden="1">
      <c r="B10" s="1477"/>
      <c r="C10" s="1491"/>
      <c r="F10" s="1493"/>
      <c r="G10" s="1473"/>
      <c r="H10" s="1504"/>
      <c r="I10" s="1504"/>
      <c r="J10" s="1473"/>
      <c r="K10" s="1743"/>
      <c r="L10" s="1743"/>
      <c r="M10" s="1451"/>
      <c r="O10" s="1446"/>
      <c r="T10" s="1452"/>
    </row>
    <row r="11" spans="1:20" ht="16.5">
      <c r="B11" s="1574">
        <v>1</v>
      </c>
      <c r="C11" s="1491"/>
      <c r="D11" s="1575" t="s">
        <v>323</v>
      </c>
      <c r="E11" s="1576"/>
      <c r="F11" s="1577"/>
      <c r="G11" s="1473"/>
      <c r="H11" s="1504"/>
      <c r="I11" s="1504"/>
      <c r="J11" s="1578"/>
      <c r="K11" s="1744"/>
      <c r="L11" s="1744"/>
      <c r="M11" s="1446"/>
      <c r="O11" s="1166"/>
      <c r="P11" s="1723" t="s">
        <v>979</v>
      </c>
      <c r="Q11" s="1723"/>
      <c r="S11" s="1741"/>
      <c r="T11" s="1742"/>
    </row>
    <row r="12" spans="1:20" ht="16.5">
      <c r="B12" s="1578">
        <f>+B11+0.01</f>
        <v>1.01</v>
      </c>
      <c r="C12" s="1491"/>
      <c r="D12" s="1576" t="str">
        <f>+'SUMINISTRO LP'!D12</f>
        <v>Cruceta de madera tratada de 90 mm x 115 mm x 1,20 m</v>
      </c>
      <c r="E12" s="1508"/>
      <c r="F12" s="1579"/>
      <c r="G12" s="1541" t="s">
        <v>18</v>
      </c>
      <c r="H12" s="1566">
        <f>+'SUMINISTRO LP'!H12</f>
        <v>11</v>
      </c>
      <c r="I12" s="1505">
        <v>5.72</v>
      </c>
      <c r="J12" s="1474">
        <f t="shared" ref="J12:J15" si="0">+ROUND(I12*H12,2)</f>
        <v>62.92</v>
      </c>
      <c r="K12" s="1743"/>
      <c r="L12" s="1743"/>
      <c r="M12" s="1451"/>
      <c r="N12" s="1444"/>
      <c r="O12" s="1723" t="s">
        <v>872</v>
      </c>
      <c r="P12" s="1723">
        <v>44440</v>
      </c>
      <c r="Q12" s="1723">
        <v>44682</v>
      </c>
      <c r="R12" s="1723" t="s">
        <v>980</v>
      </c>
      <c r="S12" s="1582"/>
      <c r="T12" s="1452"/>
    </row>
    <row r="13" spans="1:20" ht="16.5">
      <c r="B13" s="1578">
        <f>+B12+0.01</f>
        <v>1.02</v>
      </c>
      <c r="C13" s="1491"/>
      <c r="D13" s="1576" t="str">
        <f>+'SUMINISTRO LP'!D13</f>
        <v>Cruceta de madera tratada de 90 mm x 115 mm x 2,00 m</v>
      </c>
      <c r="E13" s="1576"/>
      <c r="F13" s="1577"/>
      <c r="G13" s="1473" t="s">
        <v>18</v>
      </c>
      <c r="H13" s="1566">
        <f>+'SUMINISTRO LP'!H13</f>
        <v>2</v>
      </c>
      <c r="I13" s="1505">
        <v>9.8699999999999992</v>
      </c>
      <c r="J13" s="1474">
        <f t="shared" si="0"/>
        <v>19.739999999999998</v>
      </c>
      <c r="K13" s="1743"/>
      <c r="L13" s="1743"/>
      <c r="M13" s="1451"/>
      <c r="N13" s="1444"/>
      <c r="O13" s="1176">
        <v>32</v>
      </c>
      <c r="P13" s="1176">
        <v>507.42</v>
      </c>
      <c r="Q13" s="1176">
        <v>513.36</v>
      </c>
      <c r="R13" s="1724">
        <f>+Q13/P13</f>
        <v>1.0117062788222775</v>
      </c>
      <c r="S13" s="1582"/>
      <c r="T13" s="1452"/>
    </row>
    <row r="14" spans="1:20" ht="16.5">
      <c r="B14" s="1578">
        <f>+B13+0.01</f>
        <v>1.03</v>
      </c>
      <c r="C14" s="1491"/>
      <c r="D14" s="1576" t="str">
        <f>+'SUMINISTRO LP'!D14</f>
        <v>Cruceta de madera tratada de 90 mm x 115 mm x 2,40 m</v>
      </c>
      <c r="E14" s="1576"/>
      <c r="F14" s="1577"/>
      <c r="G14" s="1473" t="s">
        <v>18</v>
      </c>
      <c r="H14" s="1566">
        <f>+'SUMINISTRO LP'!H14</f>
        <v>1</v>
      </c>
      <c r="I14" s="1505">
        <v>13.23</v>
      </c>
      <c r="J14" s="1474">
        <f t="shared" si="0"/>
        <v>13.23</v>
      </c>
      <c r="K14" s="1743"/>
      <c r="L14" s="1743"/>
      <c r="M14" s="1451"/>
      <c r="N14" s="1444"/>
      <c r="O14" s="1450"/>
      <c r="P14" s="1580"/>
      <c r="Q14" s="1581"/>
      <c r="S14" s="1582"/>
      <c r="T14" s="1452"/>
    </row>
    <row r="15" spans="1:20" ht="16.5">
      <c r="B15" s="1578">
        <f>+B14+0.01</f>
        <v>1.04</v>
      </c>
      <c r="C15" s="1491"/>
      <c r="D15" s="1576" t="str">
        <f>+'SUMINISTRO LP'!D15</f>
        <v>Listón de madera tratada 50 x 19 mm sección, 2,7 m longitud (incluye clavos de fijación)</v>
      </c>
      <c r="E15" s="1576"/>
      <c r="F15" s="1577"/>
      <c r="G15" s="1473" t="s">
        <v>18</v>
      </c>
      <c r="H15" s="1566">
        <f>+'SUMINISTRO LP'!H15</f>
        <v>9</v>
      </c>
      <c r="I15" s="1505">
        <v>2.86</v>
      </c>
      <c r="J15" s="1474">
        <f t="shared" si="0"/>
        <v>25.74</v>
      </c>
      <c r="K15" s="1743"/>
      <c r="L15" s="1743"/>
      <c r="M15" s="1451"/>
      <c r="N15" s="1444"/>
      <c r="O15" s="1450"/>
      <c r="P15" s="1580"/>
      <c r="Q15" s="1581"/>
      <c r="S15" s="1582"/>
      <c r="T15" s="1452"/>
    </row>
    <row r="16" spans="1:20" ht="16.5">
      <c r="B16" s="1477"/>
      <c r="C16" s="1491"/>
      <c r="D16" s="1576"/>
      <c r="E16" s="1576"/>
      <c r="F16" s="1583" t="str">
        <f>+"SUB-TOTAL   "&amp;B11&amp;":  "</f>
        <v xml:space="preserve">SUB-TOTAL   1:  </v>
      </c>
      <c r="G16" s="1475"/>
      <c r="H16" s="1506"/>
      <c r="I16" s="1506"/>
      <c r="J16" s="1476">
        <f>+SUM(J11:J15)</f>
        <v>121.63</v>
      </c>
      <c r="K16" s="1743"/>
      <c r="L16" s="1743"/>
      <c r="M16" s="1451"/>
      <c r="N16" s="1444"/>
      <c r="O16" s="1450"/>
      <c r="P16" s="1580"/>
      <c r="Q16" s="1448"/>
      <c r="T16" s="1452"/>
    </row>
    <row r="17" spans="2:20" ht="16.5">
      <c r="B17" s="1574">
        <v>2</v>
      </c>
      <c r="C17" s="1491"/>
      <c r="D17" s="1584" t="s">
        <v>296</v>
      </c>
      <c r="E17" s="1576"/>
      <c r="F17" s="1577"/>
      <c r="G17" s="1473"/>
      <c r="H17" s="1504"/>
      <c r="I17" s="1504"/>
      <c r="J17" s="1585"/>
      <c r="K17" s="1743"/>
      <c r="L17" s="1743"/>
      <c r="M17" s="1451"/>
      <c r="N17" s="1444"/>
      <c r="O17" s="1450"/>
      <c r="P17" s="1580"/>
      <c r="Q17" s="1448"/>
      <c r="T17" s="1452"/>
    </row>
    <row r="18" spans="2:20" ht="16.5">
      <c r="B18" s="1578">
        <f>+B17+0.01</f>
        <v>2.0099999999999998</v>
      </c>
      <c r="C18" s="1491"/>
      <c r="D18" s="1576" t="str">
        <f>+'SUMINISTRO LP'!D18</f>
        <v>Poste de C.A.C. de 12 m/200 daN (Incluye perilla)</v>
      </c>
      <c r="E18" s="1576"/>
      <c r="F18" s="1577"/>
      <c r="G18" s="1473" t="s">
        <v>18</v>
      </c>
      <c r="H18" s="1504">
        <f>+'SUMINISTRO LP'!H18</f>
        <v>15</v>
      </c>
      <c r="I18" s="1505">
        <v>149.76</v>
      </c>
      <c r="J18" s="1474">
        <f t="shared" ref="J18:J21" si="1">+ROUND(I18*H18,2)</f>
        <v>2246.4</v>
      </c>
      <c r="K18" s="1743"/>
      <c r="L18" s="1743"/>
      <c r="M18" s="1451"/>
      <c r="N18" s="1444"/>
      <c r="O18" s="1450"/>
      <c r="P18" s="1580"/>
      <c r="Q18" s="1581"/>
      <c r="S18" s="1582"/>
      <c r="T18" s="1452"/>
    </row>
    <row r="19" spans="2:20" ht="16.5">
      <c r="B19" s="1578">
        <f t="shared" ref="B19:B21" si="2">+B18+0.01</f>
        <v>2.0199999999999996</v>
      </c>
      <c r="C19" s="1491"/>
      <c r="D19" s="1576" t="str">
        <f>+'SUMINISTRO LP'!D19</f>
        <v>Poste de C.A.C. de 12 m/300 daN (Incluye perilla)</v>
      </c>
      <c r="E19" s="1576"/>
      <c r="F19" s="1577"/>
      <c r="G19" s="1473" t="s">
        <v>18</v>
      </c>
      <c r="H19" s="1504">
        <f>+'SUMINISTRO LP'!H19</f>
        <v>6</v>
      </c>
      <c r="I19" s="1505">
        <v>156.56</v>
      </c>
      <c r="J19" s="1474">
        <f t="shared" si="1"/>
        <v>939.36</v>
      </c>
      <c r="K19" s="1743"/>
      <c r="L19" s="1743"/>
      <c r="M19" s="1451"/>
      <c r="N19" s="1444"/>
      <c r="O19" s="1450"/>
      <c r="P19" s="1580"/>
      <c r="Q19" s="1581"/>
      <c r="S19" s="1582"/>
      <c r="T19" s="1452"/>
    </row>
    <row r="20" spans="2:20" ht="16.5">
      <c r="B20" s="1578">
        <f t="shared" si="2"/>
        <v>2.0299999999999994</v>
      </c>
      <c r="C20" s="1491"/>
      <c r="D20" s="1576" t="str">
        <f>+'SUMINISTRO LP'!D20</f>
        <v>Poste de C.A.C. de 13 m/300 daN (Incluye perilla)</v>
      </c>
      <c r="E20" s="1576"/>
      <c r="F20" s="1577"/>
      <c r="G20" s="1473" t="s">
        <v>18</v>
      </c>
      <c r="H20" s="1504">
        <f>+'SUMINISTRO LP'!H20</f>
        <v>118</v>
      </c>
      <c r="I20" s="1505">
        <v>178.72</v>
      </c>
      <c r="J20" s="1474">
        <f t="shared" si="1"/>
        <v>21088.959999999999</v>
      </c>
      <c r="K20" s="1743"/>
      <c r="L20" s="1743"/>
      <c r="M20" s="1451"/>
      <c r="N20" s="1444"/>
      <c r="O20" s="1450"/>
      <c r="P20" s="1580"/>
      <c r="Q20" s="1581"/>
      <c r="S20" s="1582"/>
      <c r="T20" s="1452"/>
    </row>
    <row r="21" spans="2:20" ht="16.5">
      <c r="B21" s="1578">
        <f t="shared" si="2"/>
        <v>2.0399999999999991</v>
      </c>
      <c r="C21" s="1491"/>
      <c r="D21" s="1576" t="str">
        <f>+'SUMINISTRO LP'!D21</f>
        <v>Poste de C.A.C. de 13 m/400 daN (Incluye perilla)</v>
      </c>
      <c r="E21" s="1576"/>
      <c r="F21" s="1583"/>
      <c r="G21" s="1473" t="s">
        <v>18</v>
      </c>
      <c r="H21" s="1504">
        <f>+'SUMINISTRO LP'!H21</f>
        <v>32</v>
      </c>
      <c r="I21" s="1600">
        <v>191.36</v>
      </c>
      <c r="J21" s="1474">
        <f t="shared" si="1"/>
        <v>6123.52</v>
      </c>
      <c r="K21" s="1743"/>
      <c r="L21" s="1743"/>
      <c r="M21" s="1451"/>
      <c r="N21" s="1444"/>
      <c r="O21" s="1450"/>
      <c r="P21" s="1580"/>
      <c r="Q21" s="1581"/>
      <c r="S21" s="1582"/>
      <c r="T21" s="1452"/>
    </row>
    <row r="22" spans="2:20" ht="16.5">
      <c r="B22" s="1477"/>
      <c r="C22" s="1491"/>
      <c r="D22" s="1576"/>
      <c r="E22" s="1576"/>
      <c r="F22" s="1583" t="str">
        <f>+"SUB-TOTAL   "&amp;B17&amp;":  "</f>
        <v xml:space="preserve">SUB-TOTAL   2:  </v>
      </c>
      <c r="G22" s="1475"/>
      <c r="H22" s="1506"/>
      <c r="I22" s="1506"/>
      <c r="J22" s="1476">
        <f>+SUM(J18:J21)</f>
        <v>30398.240000000002</v>
      </c>
      <c r="K22" s="1743"/>
      <c r="L22" s="1743"/>
      <c r="M22" s="1451"/>
      <c r="N22" s="1444"/>
      <c r="O22" s="1450"/>
      <c r="P22" s="1580"/>
      <c r="T22" s="1452"/>
    </row>
    <row r="23" spans="2:20" ht="16.5">
      <c r="B23" s="1574">
        <v>3</v>
      </c>
      <c r="C23" s="1491"/>
      <c r="D23" s="1584" t="str">
        <f>+'SUMINISTRO LP'!D23</f>
        <v>POSTES DE MADERA IMPORTADA</v>
      </c>
      <c r="E23" s="1584"/>
      <c r="F23" s="1586"/>
      <c r="G23" s="1473"/>
      <c r="H23" s="1504"/>
      <c r="I23" s="1504"/>
      <c r="J23" s="1587"/>
      <c r="K23" s="1743"/>
      <c r="L23" s="1743"/>
      <c r="M23" s="1451"/>
      <c r="N23" s="1444"/>
      <c r="O23" s="1450"/>
      <c r="P23" s="1580"/>
      <c r="T23" s="1452"/>
    </row>
    <row r="24" spans="2:20" ht="16.5">
      <c r="B24" s="1578">
        <f>+B23+0.01</f>
        <v>3.01</v>
      </c>
      <c r="C24" s="1491"/>
      <c r="D24" s="1576" t="str">
        <f>+'SUMINISTRO LP'!D24</f>
        <v>Poste de madera importada (Pino Amarillo del Sur) de 12 m, Clase 6</v>
      </c>
      <c r="E24" s="1576"/>
      <c r="F24" s="1583"/>
      <c r="G24" s="1473" t="str">
        <f>+'SUMINISTRO LP'!G24</f>
        <v>u</v>
      </c>
      <c r="H24" s="1504">
        <f>+'SUMINISTRO LP'!H24</f>
        <v>9</v>
      </c>
      <c r="I24" s="1505">
        <v>167.7</v>
      </c>
      <c r="J24" s="1474">
        <f t="shared" ref="J24" si="3">+ROUND(I24*H24,2)</f>
        <v>1509.3</v>
      </c>
      <c r="K24" s="1743"/>
      <c r="L24" s="1743"/>
      <c r="M24" s="1451"/>
      <c r="N24" s="1444"/>
      <c r="O24" s="1450"/>
      <c r="P24" s="1580"/>
      <c r="Q24" s="1581"/>
      <c r="S24" s="1582"/>
      <c r="T24" s="1452"/>
    </row>
    <row r="25" spans="2:20" ht="16.5">
      <c r="B25" s="1477"/>
      <c r="C25" s="1491"/>
      <c r="D25" s="1576"/>
      <c r="E25" s="1576"/>
      <c r="F25" s="1583" t="str">
        <f>+"SUB-TOTAL   "&amp;B23&amp;":  "</f>
        <v xml:space="preserve">SUB-TOTAL   3:  </v>
      </c>
      <c r="G25" s="1475"/>
      <c r="H25" s="1506"/>
      <c r="I25" s="1506"/>
      <c r="J25" s="1476">
        <f>+SUM(J24)</f>
        <v>1509.3</v>
      </c>
      <c r="K25" s="1743"/>
      <c r="L25" s="1743"/>
      <c r="M25" s="1451"/>
      <c r="N25" s="1444"/>
      <c r="O25" s="1450"/>
      <c r="P25" s="1580"/>
      <c r="T25" s="1452"/>
    </row>
    <row r="26" spans="2:20" ht="16.5">
      <c r="B26" s="1574">
        <v>4</v>
      </c>
      <c r="C26" s="1491"/>
      <c r="D26" s="1584" t="s">
        <v>553</v>
      </c>
      <c r="E26" s="1576"/>
      <c r="F26" s="1577"/>
      <c r="G26" s="1473"/>
      <c r="H26" s="1504"/>
      <c r="I26" s="1504"/>
      <c r="J26" s="1585"/>
      <c r="K26" s="1743"/>
      <c r="L26" s="1743"/>
      <c r="M26" s="1451"/>
      <c r="N26" s="1444"/>
      <c r="O26" s="1450"/>
      <c r="P26" s="1580"/>
      <c r="T26" s="1452"/>
    </row>
    <row r="27" spans="2:20" ht="16.5">
      <c r="B27" s="1578">
        <f>+B26+0.01</f>
        <v>4.01</v>
      </c>
      <c r="C27" s="1491"/>
      <c r="D27" s="1576" t="str">
        <f>+'SUMINISTRO LP'!D27</f>
        <v>Cruceta Asimétrica de C.A.V. Za / 1,5 / 0,9 / 250 / 200 / 100 daN (Za / L / L1/ T / F / V)</v>
      </c>
      <c r="E27" s="1576"/>
      <c r="F27" s="1577"/>
      <c r="G27" s="1473" t="s">
        <v>18</v>
      </c>
      <c r="H27" s="1504">
        <f>+'SUMINISTRO LP'!H27</f>
        <v>2</v>
      </c>
      <c r="I27" s="1504">
        <v>17.3</v>
      </c>
      <c r="J27" s="1474">
        <f t="shared" ref="J27:J29" si="4">+ROUND(I27*H27,2)</f>
        <v>34.6</v>
      </c>
      <c r="K27" s="1743"/>
      <c r="L27" s="1743"/>
      <c r="M27" s="1451"/>
      <c r="N27" s="1444"/>
      <c r="O27" s="1450"/>
      <c r="P27" s="1580"/>
      <c r="Q27" s="1581"/>
      <c r="S27" s="1582"/>
      <c r="T27" s="1452"/>
    </row>
    <row r="28" spans="2:20" ht="16.5">
      <c r="B28" s="1578">
        <f>+B27+0.01</f>
        <v>4.0199999999999996</v>
      </c>
      <c r="C28" s="1491"/>
      <c r="D28" s="1576" t="str">
        <f>+'SUMINISTRO LP'!D28</f>
        <v>Ménsula de C.A.V. M / 1,2 / 250 / 150 / 150 daN (M / L / T / F / V)</v>
      </c>
      <c r="E28" s="1576"/>
      <c r="F28" s="1583"/>
      <c r="G28" s="1473" t="s">
        <v>18</v>
      </c>
      <c r="H28" s="1504">
        <f>+'SUMINISTRO LP'!H28</f>
        <v>393</v>
      </c>
      <c r="I28" s="1505">
        <v>25.6</v>
      </c>
      <c r="J28" s="1474">
        <f t="shared" si="4"/>
        <v>10060.799999999999</v>
      </c>
      <c r="K28" s="1743"/>
      <c r="L28" s="1743"/>
      <c r="M28" s="1451"/>
      <c r="N28" s="1444"/>
      <c r="O28" s="1450"/>
      <c r="P28" s="1580"/>
      <c r="Q28" s="1581"/>
      <c r="S28" s="1582"/>
      <c r="T28" s="1452"/>
    </row>
    <row r="29" spans="2:20" ht="16.5">
      <c r="B29" s="1578">
        <f>+B28+0.01</f>
        <v>4.0299999999999994</v>
      </c>
      <c r="C29" s="1491"/>
      <c r="D29" s="1576" t="str">
        <f>+'SUMINISTRO LP'!D29</f>
        <v>Ménsula de C.A.V. M / 0,8 / 250 / 150 / 150 daN (M / L / T / F / V)</v>
      </c>
      <c r="E29" s="1576"/>
      <c r="F29" s="1583"/>
      <c r="G29" s="1473" t="s">
        <v>18</v>
      </c>
      <c r="H29" s="1504">
        <f>+'SUMINISTRO LP'!H29</f>
        <v>1</v>
      </c>
      <c r="I29" s="1600">
        <v>22.28</v>
      </c>
      <c r="J29" s="1474">
        <f t="shared" si="4"/>
        <v>22.28</v>
      </c>
      <c r="K29" s="1743"/>
      <c r="L29" s="1743"/>
      <c r="M29" s="1451"/>
      <c r="N29" s="1444"/>
      <c r="O29" s="1450"/>
      <c r="P29" s="1580"/>
      <c r="Q29" s="1581"/>
      <c r="S29" s="1582"/>
      <c r="T29" s="1452"/>
    </row>
    <row r="30" spans="2:20" ht="16.5">
      <c r="B30" s="1477"/>
      <c r="C30" s="1491"/>
      <c r="D30" s="1576"/>
      <c r="E30" s="1576"/>
      <c r="F30" s="1583" t="str">
        <f>+"SUB-TOTAL   "&amp;B26&amp;":  "</f>
        <v xml:space="preserve">SUB-TOTAL   4:  </v>
      </c>
      <c r="G30" s="1475"/>
      <c r="H30" s="1506"/>
      <c r="I30" s="1506"/>
      <c r="J30" s="1476">
        <f>+SUM(J26:J29)</f>
        <v>10117.68</v>
      </c>
      <c r="K30" s="1743"/>
      <c r="L30" s="1743"/>
      <c r="M30" s="1451"/>
      <c r="N30" s="1444"/>
      <c r="O30" s="1450"/>
      <c r="P30" s="1580"/>
      <c r="T30" s="1452"/>
    </row>
    <row r="31" spans="2:20" ht="16.5">
      <c r="B31" s="1574">
        <f>1+B26</f>
        <v>5</v>
      </c>
      <c r="C31" s="1491"/>
      <c r="D31" s="1584" t="s">
        <v>1</v>
      </c>
      <c r="E31" s="1576"/>
      <c r="F31" s="1577"/>
      <c r="G31" s="1473"/>
      <c r="H31" s="1504"/>
      <c r="I31" s="1504"/>
      <c r="J31" s="1474"/>
      <c r="K31" s="1743"/>
      <c r="L31" s="1743"/>
      <c r="M31" s="1451"/>
      <c r="N31" s="1444"/>
      <c r="O31" s="1450"/>
      <c r="P31" s="1580"/>
      <c r="T31" s="1452"/>
    </row>
    <row r="32" spans="2:20" ht="16.5">
      <c r="B32" s="1578">
        <f t="shared" ref="B32:B34" si="5">+B31+0.01</f>
        <v>5.01</v>
      </c>
      <c r="C32" s="1491"/>
      <c r="D32" s="1508" t="s">
        <v>2</v>
      </c>
      <c r="E32" s="1576"/>
      <c r="F32" s="1577"/>
      <c r="G32" s="1473" t="s">
        <v>18</v>
      </c>
      <c r="H32" s="1504">
        <f>+'SUMINISTRO LP'!H32</f>
        <v>29</v>
      </c>
      <c r="I32" s="1505">
        <v>4.43</v>
      </c>
      <c r="J32" s="1474">
        <f t="shared" ref="J32:J35" si="6">+ROUND(I32*H32,2)</f>
        <v>128.47</v>
      </c>
      <c r="K32" s="1743"/>
      <c r="L32" s="1743"/>
      <c r="M32" s="1451"/>
      <c r="N32" s="1444"/>
      <c r="O32" s="1450"/>
      <c r="P32" s="1580"/>
      <c r="Q32" s="1581"/>
      <c r="S32" s="1582"/>
      <c r="T32" s="1452"/>
    </row>
    <row r="33" spans="2:20" ht="16.5">
      <c r="B33" s="1578">
        <f t="shared" si="5"/>
        <v>5.0199999999999996</v>
      </c>
      <c r="C33" s="1491"/>
      <c r="D33" s="1508" t="s">
        <v>150</v>
      </c>
      <c r="E33" s="1576"/>
      <c r="F33" s="1577"/>
      <c r="G33" s="1473" t="s">
        <v>18</v>
      </c>
      <c r="H33" s="1504">
        <f>+'SUMINISTRO LP'!H33</f>
        <v>29</v>
      </c>
      <c r="I33" s="1505">
        <v>2.84</v>
      </c>
      <c r="J33" s="1474">
        <f t="shared" si="6"/>
        <v>82.36</v>
      </c>
      <c r="K33" s="1743"/>
      <c r="L33" s="1743"/>
      <c r="M33" s="1451"/>
      <c r="N33" s="1444"/>
      <c r="O33" s="1450"/>
      <c r="P33" s="1580"/>
      <c r="Q33" s="1581"/>
      <c r="S33" s="1582"/>
      <c r="T33" s="1452"/>
    </row>
    <row r="34" spans="2:20" ht="16.5">
      <c r="B34" s="1578">
        <f t="shared" si="5"/>
        <v>5.0299999999999994</v>
      </c>
      <c r="C34" s="1491"/>
      <c r="D34" s="1508" t="s">
        <v>557</v>
      </c>
      <c r="E34" s="1576"/>
      <c r="F34" s="1577"/>
      <c r="G34" s="1473"/>
      <c r="H34" s="1504"/>
      <c r="I34" s="1505"/>
      <c r="J34" s="1474"/>
      <c r="K34" s="1743"/>
      <c r="L34" s="1743"/>
      <c r="M34" s="1451"/>
      <c r="N34" s="1444"/>
      <c r="O34" s="1450"/>
      <c r="P34" s="1580"/>
      <c r="T34" s="1452"/>
    </row>
    <row r="35" spans="2:20" ht="16.5">
      <c r="B35" s="1578"/>
      <c r="C35" s="1491"/>
      <c r="D35" s="1508" t="s">
        <v>730</v>
      </c>
      <c r="E35" s="1873"/>
      <c r="F35" s="1874"/>
      <c r="G35" s="1473" t="s">
        <v>18</v>
      </c>
      <c r="H35" s="1504">
        <f>+'SUMINISTRO LP'!H35</f>
        <v>369</v>
      </c>
      <c r="I35" s="1505">
        <v>1.64</v>
      </c>
      <c r="J35" s="1474">
        <f t="shared" si="6"/>
        <v>605.16</v>
      </c>
      <c r="K35" s="1743"/>
      <c r="L35" s="1743"/>
      <c r="M35" s="1451"/>
      <c r="N35" s="1444"/>
      <c r="O35" s="1450"/>
      <c r="P35" s="1580"/>
      <c r="Q35" s="1581"/>
      <c r="S35" s="1582"/>
      <c r="T35" s="1452"/>
    </row>
    <row r="36" spans="2:20" ht="16.5">
      <c r="B36" s="1477"/>
      <c r="C36" s="1491"/>
      <c r="D36" s="1576"/>
      <c r="E36" s="1576"/>
      <c r="F36" s="1583" t="str">
        <f>+"SUB-TOTAL   "&amp;B31&amp;":  "</f>
        <v xml:space="preserve">SUB-TOTAL   5:  </v>
      </c>
      <c r="G36" s="1475"/>
      <c r="H36" s="1506"/>
      <c r="I36" s="1506"/>
      <c r="J36" s="1476">
        <f>+SUM(J31:J35)</f>
        <v>815.99</v>
      </c>
      <c r="K36" s="1743"/>
      <c r="L36" s="1743"/>
      <c r="M36" s="1451"/>
      <c r="N36" s="1444"/>
      <c r="O36" s="1450"/>
      <c r="P36" s="1580"/>
      <c r="T36" s="1452"/>
    </row>
    <row r="37" spans="2:20" ht="16.5">
      <c r="B37" s="1574">
        <f>1+B31</f>
        <v>6</v>
      </c>
      <c r="C37" s="1491"/>
      <c r="D37" s="1584" t="s">
        <v>381</v>
      </c>
      <c r="E37" s="1576"/>
      <c r="F37" s="1577"/>
      <c r="G37" s="1473"/>
      <c r="H37" s="1504"/>
      <c r="I37" s="1504"/>
      <c r="J37" s="1474"/>
      <c r="K37" s="1743"/>
      <c r="L37" s="1743"/>
      <c r="M37" s="1451"/>
      <c r="N37" s="1444"/>
      <c r="O37" s="1450"/>
      <c r="P37" s="1580"/>
      <c r="Q37" s="1448"/>
      <c r="T37" s="1452"/>
    </row>
    <row r="38" spans="2:20" ht="16.5">
      <c r="B38" s="1578">
        <f>0.01+B37</f>
        <v>6.01</v>
      </c>
      <c r="C38" s="1491"/>
      <c r="D38" s="1576" t="s">
        <v>328</v>
      </c>
      <c r="E38" s="1576"/>
      <c r="F38" s="1577"/>
      <c r="G38" s="1473" t="s">
        <v>18</v>
      </c>
      <c r="H38" s="1504">
        <f>+'SUMINISTRO LP'!H38</f>
        <v>155</v>
      </c>
      <c r="I38" s="1504">
        <v>1.69</v>
      </c>
      <c r="J38" s="1474">
        <f>+ROUND(I38*H38,2)</f>
        <v>261.95</v>
      </c>
      <c r="K38" s="1743"/>
      <c r="L38" s="1743"/>
      <c r="M38" s="1451"/>
      <c r="N38" s="1444"/>
      <c r="O38" s="1450"/>
      <c r="P38" s="1580"/>
      <c r="Q38" s="1581"/>
      <c r="S38" s="1582"/>
      <c r="T38" s="1452"/>
    </row>
    <row r="39" spans="2:20" ht="16.5">
      <c r="B39" s="1578">
        <f>0.01+B38</f>
        <v>6.02</v>
      </c>
      <c r="C39" s="1491"/>
      <c r="D39" s="1576" t="s">
        <v>329</v>
      </c>
      <c r="E39" s="1576"/>
      <c r="F39" s="1577"/>
      <c r="G39" s="1473" t="s">
        <v>18</v>
      </c>
      <c r="H39" s="1504">
        <f>+'SUMINISTRO LP'!H39</f>
        <v>155</v>
      </c>
      <c r="I39" s="1505">
        <v>4.13</v>
      </c>
      <c r="J39" s="1474">
        <f>+ROUND(I39*H39,2)</f>
        <v>640.15</v>
      </c>
      <c r="K39" s="1743"/>
      <c r="L39" s="1743"/>
      <c r="M39" s="1451"/>
      <c r="N39" s="1444"/>
      <c r="O39" s="1450"/>
      <c r="P39" s="1580"/>
      <c r="Q39" s="1581"/>
      <c r="S39" s="1582"/>
      <c r="T39" s="1452"/>
    </row>
    <row r="40" spans="2:20" ht="16.5">
      <c r="B40" s="1477"/>
      <c r="C40" s="1491"/>
      <c r="D40" s="1576"/>
      <c r="E40" s="1576"/>
      <c r="F40" s="1583" t="str">
        <f>+"SUB-TOTAL   "&amp;B37&amp;":  "</f>
        <v xml:space="preserve">SUB-TOTAL   6:  </v>
      </c>
      <c r="G40" s="1475"/>
      <c r="H40" s="1506"/>
      <c r="I40" s="1506"/>
      <c r="J40" s="1476">
        <f>+SUM(J37:J39)</f>
        <v>902.09999999999991</v>
      </c>
      <c r="K40" s="1743"/>
      <c r="L40" s="1743"/>
      <c r="M40" s="1451"/>
      <c r="N40" s="1444"/>
      <c r="O40" s="1450"/>
      <c r="P40" s="1580"/>
      <c r="Q40" s="1448"/>
      <c r="T40" s="1452"/>
    </row>
    <row r="41" spans="2:20" ht="16.5">
      <c r="B41" s="1574">
        <f>1+B37</f>
        <v>7</v>
      </c>
      <c r="C41" s="1491"/>
      <c r="D41" s="1584" t="s">
        <v>275</v>
      </c>
      <c r="E41" s="1576"/>
      <c r="F41" s="1577"/>
      <c r="G41" s="1473"/>
      <c r="H41" s="1504"/>
      <c r="I41" s="1504"/>
      <c r="J41" s="1474"/>
      <c r="K41" s="1743"/>
      <c r="L41" s="1743"/>
      <c r="M41" s="1451"/>
      <c r="N41" s="1444"/>
      <c r="O41" s="1450"/>
      <c r="P41" s="1580"/>
      <c r="Q41" s="1448"/>
      <c r="T41" s="1452"/>
    </row>
    <row r="42" spans="2:20" ht="16.5">
      <c r="B42" s="1578">
        <f t="shared" ref="B42:B43" si="7">+B41+0.01</f>
        <v>7.01</v>
      </c>
      <c r="C42" s="1491"/>
      <c r="D42" s="1576" t="s">
        <v>3</v>
      </c>
      <c r="E42" s="1576"/>
      <c r="F42" s="1577"/>
      <c r="G42" s="1473" t="s">
        <v>191</v>
      </c>
      <c r="H42" s="1504">
        <f>+'SUMINISTRO LP'!H42</f>
        <v>53.399999999999991</v>
      </c>
      <c r="I42" s="1505">
        <v>83.54</v>
      </c>
      <c r="J42" s="1474">
        <f t="shared" ref="J42:J43" si="8">+ROUND(I42*H42,2)</f>
        <v>4461.04</v>
      </c>
      <c r="K42" s="1743"/>
      <c r="L42" s="1743"/>
      <c r="M42" s="1451"/>
      <c r="N42" s="1444"/>
      <c r="O42" s="1450"/>
      <c r="P42" s="1580"/>
      <c r="Q42" s="1581"/>
      <c r="S42" s="1582"/>
      <c r="T42" s="1452"/>
    </row>
    <row r="43" spans="2:20" ht="16.5">
      <c r="B43" s="1578">
        <f t="shared" si="7"/>
        <v>7.02</v>
      </c>
      <c r="C43" s="1491"/>
      <c r="D43" s="1576" t="s">
        <v>330</v>
      </c>
      <c r="E43" s="1576"/>
      <c r="F43" s="1577"/>
      <c r="G43" s="1473" t="s">
        <v>191</v>
      </c>
      <c r="H43" s="1504">
        <f>+'SUMINISTRO LP'!H43</f>
        <v>1.91</v>
      </c>
      <c r="I43" s="1600">
        <v>162.78</v>
      </c>
      <c r="J43" s="1474">
        <f t="shared" si="8"/>
        <v>310.91000000000003</v>
      </c>
      <c r="K43" s="1743"/>
      <c r="L43" s="1743"/>
      <c r="M43" s="1451"/>
      <c r="N43" s="1444"/>
      <c r="O43" s="1450"/>
      <c r="P43" s="1580"/>
      <c r="Q43" s="1581"/>
      <c r="S43" s="1582"/>
      <c r="T43" s="1452"/>
    </row>
    <row r="44" spans="2:20" ht="16.5">
      <c r="B44" s="1477"/>
      <c r="C44" s="1491"/>
      <c r="D44" s="1576"/>
      <c r="E44" s="1576"/>
      <c r="F44" s="1583" t="str">
        <f>+"SUB-TOTAL   "&amp;B41&amp;":  "</f>
        <v xml:space="preserve">SUB-TOTAL   7:  </v>
      </c>
      <c r="G44" s="1475"/>
      <c r="H44" s="1506"/>
      <c r="I44" s="1506"/>
      <c r="J44" s="1476">
        <f>+SUM(J42:J43)</f>
        <v>4771.95</v>
      </c>
      <c r="K44" s="1743"/>
      <c r="L44" s="1743"/>
      <c r="M44" s="1451"/>
      <c r="N44" s="1444"/>
      <c r="O44" s="1450"/>
      <c r="P44" s="1580"/>
      <c r="T44" s="1452"/>
    </row>
    <row r="45" spans="2:20" ht="16.5">
      <c r="B45" s="1574">
        <f>1+B41</f>
        <v>8</v>
      </c>
      <c r="C45" s="1491"/>
      <c r="D45" s="1584" t="s">
        <v>382</v>
      </c>
      <c r="E45" s="1576"/>
      <c r="F45" s="1577"/>
      <c r="G45" s="1473"/>
      <c r="H45" s="1504"/>
      <c r="I45" s="1504"/>
      <c r="J45" s="1474"/>
      <c r="K45" s="1743"/>
      <c r="L45" s="1743"/>
      <c r="M45" s="1451"/>
      <c r="N45" s="1444"/>
      <c r="O45" s="1450"/>
      <c r="P45" s="1580"/>
      <c r="T45" s="1452"/>
    </row>
    <row r="46" spans="2:20" ht="16.5">
      <c r="B46" s="1578">
        <f t="shared" ref="B46:B58" si="9">+B45+0.01</f>
        <v>8.01</v>
      </c>
      <c r="C46" s="1491"/>
      <c r="D46" s="1576" t="s">
        <v>4</v>
      </c>
      <c r="E46" s="1576"/>
      <c r="F46" s="1577"/>
      <c r="G46" s="1473" t="s">
        <v>18</v>
      </c>
      <c r="H46" s="1504">
        <f>+'SUMINISTRO LP'!H46</f>
        <v>326</v>
      </c>
      <c r="I46" s="1505">
        <v>0.68</v>
      </c>
      <c r="J46" s="1474">
        <f t="shared" ref="J46:J58" si="10">+ROUND(I46*H46,2)</f>
        <v>221.68</v>
      </c>
      <c r="K46" s="1743"/>
      <c r="L46" s="1743"/>
      <c r="M46" s="1451"/>
      <c r="N46" s="1444"/>
      <c r="O46" s="1450"/>
      <c r="P46" s="1580"/>
      <c r="Q46" s="1581"/>
      <c r="S46" s="1582"/>
      <c r="T46" s="1452"/>
    </row>
    <row r="47" spans="2:20" ht="16.5">
      <c r="B47" s="1578">
        <f t="shared" si="9"/>
        <v>8.02</v>
      </c>
      <c r="C47" s="1491"/>
      <c r="D47" s="1576" t="s">
        <v>331</v>
      </c>
      <c r="E47" s="1576"/>
      <c r="F47" s="1577"/>
      <c r="G47" s="1473" t="s">
        <v>18</v>
      </c>
      <c r="H47" s="1504">
        <f>+'SUMINISTRO LP'!H47</f>
        <v>2</v>
      </c>
      <c r="I47" s="1505">
        <v>0.69</v>
      </c>
      <c r="J47" s="1474">
        <f t="shared" si="10"/>
        <v>1.38</v>
      </c>
      <c r="K47" s="1743"/>
      <c r="L47" s="1743"/>
      <c r="M47" s="1451"/>
      <c r="N47" s="1444"/>
      <c r="O47" s="1450"/>
      <c r="P47" s="1580"/>
      <c r="Q47" s="1581"/>
      <c r="S47" s="1582"/>
      <c r="T47" s="1452"/>
    </row>
    <row r="48" spans="2:20" ht="16.5">
      <c r="B48" s="1578">
        <f t="shared" si="9"/>
        <v>8.0299999999999994</v>
      </c>
      <c r="C48" s="1491"/>
      <c r="D48" s="1576" t="s">
        <v>5</v>
      </c>
      <c r="E48" s="1576"/>
      <c r="F48" s="1577"/>
      <c r="G48" s="1473" t="s">
        <v>18</v>
      </c>
      <c r="H48" s="1504">
        <f>+'SUMINISTRO LP'!H48</f>
        <v>17</v>
      </c>
      <c r="I48" s="1505">
        <v>0.9</v>
      </c>
      <c r="J48" s="1474">
        <f t="shared" si="10"/>
        <v>15.3</v>
      </c>
      <c r="K48" s="1743"/>
      <c r="L48" s="1743"/>
      <c r="M48" s="1451"/>
      <c r="N48" s="1444"/>
      <c r="O48" s="1450"/>
      <c r="P48" s="1580"/>
      <c r="Q48" s="1581"/>
      <c r="S48" s="1582"/>
      <c r="T48" s="1452"/>
    </row>
    <row r="49" spans="2:20" ht="16.5">
      <c r="B49" s="1578">
        <f t="shared" si="9"/>
        <v>8.0399999999999991</v>
      </c>
      <c r="C49" s="1491"/>
      <c r="D49" s="1576" t="s">
        <v>369</v>
      </c>
      <c r="E49" s="1576"/>
      <c r="F49" s="1577"/>
      <c r="G49" s="1473" t="s">
        <v>18</v>
      </c>
      <c r="H49" s="1504">
        <f>+'SUMINISTRO LP'!H49</f>
        <v>7</v>
      </c>
      <c r="I49" s="1505">
        <v>0.27</v>
      </c>
      <c r="J49" s="1474">
        <f t="shared" si="10"/>
        <v>1.89</v>
      </c>
      <c r="K49" s="1743"/>
      <c r="L49" s="1743"/>
      <c r="M49" s="1451"/>
      <c r="N49" s="1444"/>
      <c r="O49" s="1450"/>
      <c r="P49" s="1580"/>
      <c r="Q49" s="1581"/>
      <c r="S49" s="1582"/>
      <c r="T49" s="1452"/>
    </row>
    <row r="50" spans="2:20" ht="16.5">
      <c r="B50" s="1578">
        <f t="shared" si="9"/>
        <v>8.0499999999999989</v>
      </c>
      <c r="C50" s="1491"/>
      <c r="D50" s="1576" t="s">
        <v>6</v>
      </c>
      <c r="E50" s="1576"/>
      <c r="F50" s="1577"/>
      <c r="G50" s="1473" t="s">
        <v>18</v>
      </c>
      <c r="H50" s="1504">
        <f>+'SUMINISTRO LP'!H50</f>
        <v>84</v>
      </c>
      <c r="I50" s="1505">
        <v>0.35</v>
      </c>
      <c r="J50" s="1474">
        <f t="shared" si="10"/>
        <v>29.4</v>
      </c>
      <c r="K50" s="1743"/>
      <c r="L50" s="1743"/>
      <c r="M50" s="1451"/>
      <c r="N50" s="1444"/>
      <c r="O50" s="1450"/>
      <c r="P50" s="1580"/>
      <c r="Q50" s="1581"/>
      <c r="S50" s="1582"/>
      <c r="T50" s="1452"/>
    </row>
    <row r="51" spans="2:20" ht="16.5">
      <c r="B51" s="1578">
        <f t="shared" si="9"/>
        <v>8.0599999999999987</v>
      </c>
      <c r="C51" s="1491"/>
      <c r="D51" s="1576" t="s">
        <v>332</v>
      </c>
      <c r="E51" s="1576"/>
      <c r="F51" s="1577"/>
      <c r="G51" s="1473" t="s">
        <v>18</v>
      </c>
      <c r="H51" s="1504">
        <f>+'SUMINISTRO LP'!H51</f>
        <v>2</v>
      </c>
      <c r="I51" s="1505">
        <v>0.41</v>
      </c>
      <c r="J51" s="1474">
        <f t="shared" si="10"/>
        <v>0.82</v>
      </c>
      <c r="K51" s="1743"/>
      <c r="L51" s="1743"/>
      <c r="M51" s="1451"/>
      <c r="N51" s="1444"/>
      <c r="O51" s="1450"/>
      <c r="P51" s="1580"/>
      <c r="Q51" s="1581"/>
      <c r="S51" s="1582"/>
      <c r="T51" s="1452"/>
    </row>
    <row r="52" spans="2:20" ht="16.5">
      <c r="B52" s="1578">
        <f t="shared" si="9"/>
        <v>8.0699999999999985</v>
      </c>
      <c r="C52" s="1491"/>
      <c r="D52" s="1576" t="s">
        <v>192</v>
      </c>
      <c r="E52" s="1576"/>
      <c r="F52" s="1577"/>
      <c r="G52" s="1473" t="s">
        <v>187</v>
      </c>
      <c r="H52" s="1504">
        <f>+'SUMINISTRO LP'!H52</f>
        <v>1052.3</v>
      </c>
      <c r="I52" s="1505">
        <v>0.42</v>
      </c>
      <c r="J52" s="1474">
        <f t="shared" si="10"/>
        <v>441.97</v>
      </c>
      <c r="K52" s="1743"/>
      <c r="L52" s="1743"/>
      <c r="M52" s="1451"/>
      <c r="N52" s="1444"/>
      <c r="O52" s="1450"/>
      <c r="P52" s="1580"/>
      <c r="Q52" s="1581"/>
      <c r="S52" s="1582"/>
      <c r="T52" s="1452"/>
    </row>
    <row r="53" spans="2:20" ht="16.5">
      <c r="B53" s="1578">
        <f t="shared" si="9"/>
        <v>8.0799999999999983</v>
      </c>
      <c r="C53" s="1491"/>
      <c r="D53" s="1576" t="s">
        <v>333</v>
      </c>
      <c r="E53" s="1576"/>
      <c r="F53" s="1577"/>
      <c r="G53" s="1473" t="s">
        <v>18</v>
      </c>
      <c r="H53" s="1504">
        <f>+'SUMINISTRO LP'!H53</f>
        <v>4</v>
      </c>
      <c r="I53" s="1505">
        <v>0.8</v>
      </c>
      <c r="J53" s="1474">
        <f t="shared" si="10"/>
        <v>3.2</v>
      </c>
      <c r="K53" s="1743"/>
      <c r="L53" s="1743"/>
      <c r="M53" s="1451"/>
      <c r="N53" s="1444"/>
      <c r="O53" s="1450"/>
      <c r="P53" s="1580"/>
      <c r="Q53" s="1581"/>
      <c r="S53" s="1582"/>
      <c r="T53" s="1452"/>
    </row>
    <row r="54" spans="2:20" ht="16.5">
      <c r="B54" s="1578">
        <f t="shared" si="9"/>
        <v>8.0899999999999981</v>
      </c>
      <c r="C54" s="1491"/>
      <c r="D54" s="1576" t="s">
        <v>334</v>
      </c>
      <c r="E54" s="1576"/>
      <c r="F54" s="1577"/>
      <c r="G54" s="1473" t="s">
        <v>18</v>
      </c>
      <c r="H54" s="1504">
        <f>+'SUMINISTRO LP'!H54</f>
        <v>8</v>
      </c>
      <c r="I54" s="1505">
        <v>1.49</v>
      </c>
      <c r="J54" s="1474">
        <f t="shared" si="10"/>
        <v>11.92</v>
      </c>
      <c r="K54" s="1743"/>
      <c r="L54" s="1743"/>
      <c r="M54" s="1451"/>
      <c r="N54" s="1444"/>
      <c r="O54" s="1450"/>
      <c r="P54" s="1580"/>
      <c r="Q54" s="1581"/>
      <c r="S54" s="1582"/>
      <c r="T54" s="1452"/>
    </row>
    <row r="55" spans="2:20" ht="16.5">
      <c r="B55" s="1578">
        <f t="shared" si="9"/>
        <v>8.0999999999999979</v>
      </c>
      <c r="C55" s="1491"/>
      <c r="D55" s="1576" t="s">
        <v>307</v>
      </c>
      <c r="E55" s="1576"/>
      <c r="F55" s="1577"/>
      <c r="G55" s="1473" t="s">
        <v>18</v>
      </c>
      <c r="H55" s="1504">
        <f>+'SUMINISTRO LP'!H55</f>
        <v>14</v>
      </c>
      <c r="I55" s="1505">
        <v>0.81</v>
      </c>
      <c r="J55" s="1474">
        <f t="shared" si="10"/>
        <v>11.34</v>
      </c>
      <c r="K55" s="1743"/>
      <c r="L55" s="1743"/>
      <c r="M55" s="1451"/>
      <c r="N55" s="1444"/>
      <c r="O55" s="1450"/>
      <c r="P55" s="1580"/>
      <c r="Q55" s="1581"/>
      <c r="S55" s="1582"/>
      <c r="T55" s="1452"/>
    </row>
    <row r="56" spans="2:20" ht="16.5">
      <c r="B56" s="1578">
        <f t="shared" si="9"/>
        <v>8.1099999999999977</v>
      </c>
      <c r="C56" s="1491"/>
      <c r="D56" s="1576" t="s">
        <v>572</v>
      </c>
      <c r="E56" s="1576"/>
      <c r="F56" s="1577"/>
      <c r="G56" s="1473" t="s">
        <v>18</v>
      </c>
      <c r="H56" s="1504">
        <f>+'SUMINISTRO LP'!H56</f>
        <v>4</v>
      </c>
      <c r="I56" s="1505">
        <v>1.34</v>
      </c>
      <c r="J56" s="1474">
        <f t="shared" si="10"/>
        <v>5.36</v>
      </c>
      <c r="K56" s="1743"/>
      <c r="L56" s="1743"/>
      <c r="M56" s="1451"/>
      <c r="N56" s="1444"/>
      <c r="O56" s="1450"/>
      <c r="P56" s="1580"/>
      <c r="Q56" s="1581"/>
      <c r="S56" s="1582"/>
      <c r="T56" s="1452"/>
    </row>
    <row r="57" spans="2:20" ht="16.5">
      <c r="B57" s="1578">
        <f t="shared" si="9"/>
        <v>8.1199999999999974</v>
      </c>
      <c r="C57" s="1491"/>
      <c r="D57" s="1576" t="s">
        <v>193</v>
      </c>
      <c r="E57" s="1576"/>
      <c r="F57" s="1577"/>
      <c r="G57" s="1473" t="s">
        <v>18</v>
      </c>
      <c r="H57" s="1504">
        <f>+'SUMINISTRO LP'!H57</f>
        <v>129</v>
      </c>
      <c r="I57" s="1505">
        <v>0.88</v>
      </c>
      <c r="J57" s="1474">
        <f t="shared" si="10"/>
        <v>113.52</v>
      </c>
      <c r="K57" s="1743"/>
      <c r="L57" s="1743"/>
      <c r="M57" s="1451"/>
      <c r="N57" s="1444"/>
      <c r="O57" s="1450"/>
      <c r="P57" s="1580"/>
      <c r="Q57" s="1581"/>
      <c r="S57" s="1582"/>
      <c r="T57" s="1452"/>
    </row>
    <row r="58" spans="2:20" ht="16.5">
      <c r="B58" s="1578">
        <f t="shared" si="9"/>
        <v>8.1299999999999972</v>
      </c>
      <c r="C58" s="1491"/>
      <c r="D58" s="1576" t="s">
        <v>335</v>
      </c>
      <c r="E58" s="1576"/>
      <c r="F58" s="1577"/>
      <c r="G58" s="1473" t="s">
        <v>18</v>
      </c>
      <c r="H58" s="1504">
        <f>+'SUMINISTRO LP'!H58</f>
        <v>8</v>
      </c>
      <c r="I58" s="1505">
        <v>1.1200000000000001</v>
      </c>
      <c r="J58" s="1474">
        <f t="shared" si="10"/>
        <v>8.9600000000000009</v>
      </c>
      <c r="K58" s="1743"/>
      <c r="L58" s="1743"/>
      <c r="M58" s="1451"/>
      <c r="N58" s="1444"/>
      <c r="O58" s="1450"/>
      <c r="P58" s="1580"/>
      <c r="Q58" s="1581"/>
      <c r="S58" s="1582"/>
      <c r="T58" s="1452"/>
    </row>
    <row r="59" spans="2:20" ht="16.5">
      <c r="B59" s="1477"/>
      <c r="C59" s="1491"/>
      <c r="D59" s="1576"/>
      <c r="E59" s="1576"/>
      <c r="F59" s="1583" t="str">
        <f>+"SUB-TOTAL   "&amp;B45&amp;":  "</f>
        <v xml:space="preserve">SUB-TOTAL   8:  </v>
      </c>
      <c r="G59" s="1475"/>
      <c r="H59" s="1506"/>
      <c r="I59" s="1506"/>
      <c r="J59" s="1476">
        <f>+SUM(J46:J58)</f>
        <v>866.74000000000012</v>
      </c>
      <c r="K59" s="1743"/>
      <c r="L59" s="1743"/>
      <c r="M59" s="1451"/>
      <c r="N59" s="1444"/>
      <c r="O59" s="1450"/>
      <c r="P59" s="1580"/>
      <c r="Q59" s="1448"/>
      <c r="T59" s="1452"/>
    </row>
    <row r="60" spans="2:20" ht="16.5">
      <c r="B60" s="1574">
        <f>1+B45</f>
        <v>9</v>
      </c>
      <c r="C60" s="1491"/>
      <c r="D60" s="1584" t="s">
        <v>17</v>
      </c>
      <c r="E60" s="1576"/>
      <c r="F60" s="1577"/>
      <c r="G60" s="1473"/>
      <c r="H60" s="1504"/>
      <c r="I60" s="1504"/>
      <c r="J60" s="1474"/>
      <c r="K60" s="1743"/>
      <c r="L60" s="1743"/>
      <c r="M60" s="1451"/>
      <c r="N60" s="1444"/>
      <c r="O60" s="1450"/>
      <c r="P60" s="1580"/>
      <c r="Q60" s="1448"/>
      <c r="T60" s="1452"/>
    </row>
    <row r="61" spans="2:20" ht="16.5">
      <c r="B61" s="1578">
        <f t="shared" ref="B61" si="11">+B60+0.01</f>
        <v>9.01</v>
      </c>
      <c r="C61" s="1491"/>
      <c r="D61" s="1576" t="s">
        <v>336</v>
      </c>
      <c r="E61" s="1875"/>
      <c r="F61" s="1876"/>
      <c r="G61" s="1473" t="s">
        <v>187</v>
      </c>
      <c r="H61" s="1504">
        <f>+'SUMINISTRO LP'!H61</f>
        <v>2936.1</v>
      </c>
      <c r="I61" s="1505">
        <v>0.84</v>
      </c>
      <c r="J61" s="1474">
        <f t="shared" ref="J61" si="12">+ROUND(I61*H61,2)</f>
        <v>2466.3200000000002</v>
      </c>
      <c r="K61" s="1743"/>
      <c r="L61" s="1743"/>
      <c r="M61" s="1451"/>
      <c r="N61" s="1444"/>
      <c r="O61" s="1450"/>
      <c r="P61" s="1580"/>
      <c r="Q61" s="1581"/>
      <c r="S61" s="1582"/>
      <c r="T61" s="1452"/>
    </row>
    <row r="62" spans="2:20" ht="16.5">
      <c r="B62" s="1574"/>
      <c r="C62" s="1491"/>
      <c r="D62" s="1576"/>
      <c r="E62" s="1576"/>
      <c r="F62" s="1583" t="str">
        <f>+"SUB-TOTAL   "&amp;B60&amp;":  "</f>
        <v xml:space="preserve">SUB-TOTAL   9:  </v>
      </c>
      <c r="G62" s="1475"/>
      <c r="H62" s="1506"/>
      <c r="I62" s="1506"/>
      <c r="J62" s="1476">
        <f>+SUM(J61:J61)</f>
        <v>2466.3200000000002</v>
      </c>
      <c r="K62" s="1743"/>
      <c r="L62" s="1743"/>
      <c r="M62" s="1451"/>
      <c r="N62" s="1444"/>
      <c r="O62" s="1450"/>
      <c r="P62" s="1580"/>
      <c r="Q62" s="1448"/>
      <c r="T62" s="1452"/>
    </row>
    <row r="63" spans="2:20" ht="16.5">
      <c r="B63" s="1574">
        <f>1+B60</f>
        <v>10</v>
      </c>
      <c r="C63" s="1491"/>
      <c r="D63" s="1584" t="s">
        <v>276</v>
      </c>
      <c r="E63" s="1576"/>
      <c r="F63" s="1577"/>
      <c r="G63" s="1473"/>
      <c r="H63" s="1504"/>
      <c r="I63" s="1504"/>
      <c r="J63" s="1474"/>
      <c r="K63" s="1743"/>
      <c r="L63" s="1743"/>
      <c r="M63" s="1451"/>
      <c r="N63" s="1444"/>
      <c r="O63" s="1450"/>
      <c r="P63" s="1580"/>
      <c r="Q63" s="1448"/>
      <c r="T63" s="1452"/>
    </row>
    <row r="64" spans="2:20" ht="16.5">
      <c r="B64" s="1578">
        <f t="shared" ref="B64:B83" si="13">+B63+0.01</f>
        <v>10.01</v>
      </c>
      <c r="C64" s="1491"/>
      <c r="D64" s="1576" t="str">
        <f>+'SUMINISTRO LP'!D64</f>
        <v>Perno Cabeza Coche de AºGº de 13 mm Ø x 152 mm longitud, 76 mm maquinado, con Arandela, Tuerca y Contratuerca</v>
      </c>
      <c r="E64" s="1576"/>
      <c r="F64" s="1577"/>
      <c r="G64" s="1473" t="s">
        <v>18</v>
      </c>
      <c r="H64" s="1504">
        <f>+'SUMINISTRO LP'!H64</f>
        <v>9</v>
      </c>
      <c r="I64" s="1505">
        <v>0.32</v>
      </c>
      <c r="J64" s="1474">
        <f t="shared" ref="J64:J83" si="14">+ROUND(I64*H64,2)</f>
        <v>2.88</v>
      </c>
      <c r="K64" s="1743"/>
      <c r="L64" s="1743"/>
      <c r="M64" s="1451"/>
      <c r="N64" s="1444"/>
      <c r="O64" s="1450"/>
      <c r="P64" s="1580"/>
      <c r="Q64" s="1581"/>
      <c r="S64" s="1582"/>
      <c r="T64" s="1452"/>
    </row>
    <row r="65" spans="2:20" ht="16.5">
      <c r="B65" s="1578">
        <f t="shared" si="13"/>
        <v>10.02</v>
      </c>
      <c r="C65" s="1491"/>
      <c r="D65" s="1576" t="str">
        <f>+'SUMINISTRO LP'!D65</f>
        <v>Perno de A°G° de 13 mm Ø x 254 mm, provisto de Tuerca y  Contratuerca</v>
      </c>
      <c r="E65" s="1576"/>
      <c r="F65" s="1577"/>
      <c r="G65" s="1473" t="s">
        <v>18</v>
      </c>
      <c r="H65" s="1504">
        <f>+'SUMINISTRO LP'!H65</f>
        <v>26</v>
      </c>
      <c r="I65" s="1505">
        <v>0.32</v>
      </c>
      <c r="J65" s="1474">
        <f t="shared" si="14"/>
        <v>8.32</v>
      </c>
      <c r="K65" s="1743"/>
      <c r="L65" s="1743"/>
      <c r="M65" s="1451"/>
      <c r="N65" s="1444"/>
      <c r="O65" s="1450"/>
      <c r="P65" s="1580"/>
      <c r="Q65" s="1581"/>
      <c r="S65" s="1582"/>
      <c r="T65" s="1452"/>
    </row>
    <row r="66" spans="2:20" ht="16.5">
      <c r="B66" s="1578">
        <f t="shared" si="13"/>
        <v>10.029999999999999</v>
      </c>
      <c r="C66" s="1491"/>
      <c r="D66" s="1576" t="str">
        <f>+'SUMINISTRO LP'!D66</f>
        <v>Perno de A°G° de 13 mm Ø x 305 mm, provisto de Tuerca y  Contratuerca</v>
      </c>
      <c r="E66" s="1576"/>
      <c r="F66" s="1577"/>
      <c r="G66" s="1473" t="s">
        <v>18</v>
      </c>
      <c r="H66" s="1504">
        <f>+'SUMINISTRO LP'!H66</f>
        <v>7</v>
      </c>
      <c r="I66" s="1505">
        <v>0.32</v>
      </c>
      <c r="J66" s="1474">
        <f t="shared" si="14"/>
        <v>2.2400000000000002</v>
      </c>
      <c r="K66" s="1743"/>
      <c r="L66" s="1743"/>
      <c r="M66" s="1451"/>
      <c r="N66" s="1444"/>
      <c r="O66" s="1450"/>
      <c r="P66" s="1580"/>
      <c r="Q66" s="1581"/>
      <c r="S66" s="1582"/>
      <c r="T66" s="1452"/>
    </row>
    <row r="67" spans="2:20" ht="16.5">
      <c r="B67" s="1578">
        <f t="shared" si="13"/>
        <v>10.039999999999999</v>
      </c>
      <c r="C67" s="1491"/>
      <c r="D67" s="1576" t="str">
        <f>+'SUMINISTRO LP'!D67</f>
        <v>Perno de A°G° de 16 mm Ø x 254 mm, provisto de Tuerca y  Contratuerca</v>
      </c>
      <c r="E67" s="1576"/>
      <c r="F67" s="1577"/>
      <c r="G67" s="1473" t="s">
        <v>18</v>
      </c>
      <c r="H67" s="1504">
        <f>+'SUMINISTRO LP'!H67</f>
        <v>18</v>
      </c>
      <c r="I67" s="1505">
        <v>0.31</v>
      </c>
      <c r="J67" s="1474">
        <f t="shared" si="14"/>
        <v>5.58</v>
      </c>
      <c r="K67" s="1743"/>
      <c r="L67" s="1743"/>
      <c r="M67" s="1451"/>
      <c r="N67" s="1444"/>
      <c r="O67" s="1450"/>
      <c r="P67" s="1580"/>
      <c r="Q67" s="1581"/>
      <c r="S67" s="1582"/>
      <c r="T67" s="1452"/>
    </row>
    <row r="68" spans="2:20" ht="16.5">
      <c r="B68" s="1578">
        <f t="shared" si="13"/>
        <v>10.049999999999999</v>
      </c>
      <c r="C68" s="1491"/>
      <c r="D68" s="1576" t="str">
        <f>+'SUMINISTRO LP'!D68</f>
        <v>Perno de A°G° de 16 mm Ø x 305 mm, provisto de Tuerca y  Contratuerca</v>
      </c>
      <c r="E68" s="1576"/>
      <c r="F68" s="1577"/>
      <c r="G68" s="1473" t="s">
        <v>18</v>
      </c>
      <c r="H68" s="1504">
        <f>+'SUMINISTRO LP'!H68</f>
        <v>18</v>
      </c>
      <c r="I68" s="1505">
        <v>0.34</v>
      </c>
      <c r="J68" s="1474">
        <f t="shared" si="14"/>
        <v>6.12</v>
      </c>
      <c r="K68" s="1743"/>
      <c r="L68" s="1743"/>
      <c r="M68" s="1451"/>
      <c r="N68" s="1444"/>
      <c r="O68" s="1450"/>
      <c r="P68" s="1580"/>
      <c r="Q68" s="1581"/>
      <c r="S68" s="1582"/>
      <c r="T68" s="1452"/>
    </row>
    <row r="69" spans="2:20" ht="16.5">
      <c r="B69" s="1578">
        <f t="shared" si="13"/>
        <v>10.059999999999999</v>
      </c>
      <c r="C69" s="1491"/>
      <c r="D69" s="1576" t="str">
        <f>+'SUMINISTRO LP'!D69</f>
        <v>Perno de A°G° de 16 mm Ø x 356 mm, provisto de Tuerca y  Contratuerca</v>
      </c>
      <c r="E69" s="1576"/>
      <c r="F69" s="1577"/>
      <c r="G69" s="1473" t="s">
        <v>18</v>
      </c>
      <c r="H69" s="1504">
        <f>+'SUMINISTRO LP'!H69</f>
        <v>8</v>
      </c>
      <c r="I69" s="1505">
        <v>0.36</v>
      </c>
      <c r="J69" s="1474">
        <f t="shared" si="14"/>
        <v>2.88</v>
      </c>
      <c r="K69" s="1743"/>
      <c r="L69" s="1743"/>
      <c r="M69" s="1451"/>
      <c r="N69" s="1444"/>
      <c r="O69" s="1450"/>
      <c r="P69" s="1580"/>
      <c r="Q69" s="1581"/>
      <c r="S69" s="1582"/>
      <c r="T69" s="1452"/>
    </row>
    <row r="70" spans="2:20" ht="16.5">
      <c r="B70" s="1578">
        <f t="shared" si="13"/>
        <v>10.069999999999999</v>
      </c>
      <c r="C70" s="1491"/>
      <c r="D70" s="1576" t="str">
        <f>+'SUMINISTRO LP'!D70</f>
        <v>Perno de A°G° de 16 mm Ø x 508 mm, provisto de Tuerca y  Contratuerca</v>
      </c>
      <c r="E70" s="1576"/>
      <c r="F70" s="1577"/>
      <c r="G70" s="1473" t="s">
        <v>18</v>
      </c>
      <c r="H70" s="1504">
        <f>+'SUMINISTRO LP'!H70</f>
        <v>3</v>
      </c>
      <c r="I70" s="1505">
        <v>0.46</v>
      </c>
      <c r="J70" s="1474">
        <f t="shared" si="14"/>
        <v>1.38</v>
      </c>
      <c r="K70" s="1743"/>
      <c r="L70" s="1743"/>
      <c r="M70" s="1451"/>
      <c r="N70" s="1444"/>
      <c r="O70" s="1450"/>
      <c r="P70" s="1580"/>
      <c r="Q70" s="1581"/>
      <c r="S70" s="1582"/>
      <c r="T70" s="1452"/>
    </row>
    <row r="71" spans="2:20" ht="16.5">
      <c r="B71" s="1578">
        <f t="shared" si="13"/>
        <v>10.079999999999998</v>
      </c>
      <c r="C71" s="1491"/>
      <c r="D71" s="1576" t="str">
        <f>+'SUMINISTRO LP'!D71</f>
        <v>Perno Doble Armado de A°G° de 16 mm Ø  x 508 mm, provisto de  4 Tuercas y 4 Contratuercas</v>
      </c>
      <c r="E71" s="1576"/>
      <c r="F71" s="1577"/>
      <c r="G71" s="1473" t="s">
        <v>18</v>
      </c>
      <c r="H71" s="1504">
        <f>+'SUMINISTRO LP'!H71</f>
        <v>380</v>
      </c>
      <c r="I71" s="1505">
        <v>0.41</v>
      </c>
      <c r="J71" s="1474">
        <f t="shared" si="14"/>
        <v>155.80000000000001</v>
      </c>
      <c r="K71" s="1743"/>
      <c r="L71" s="1743"/>
      <c r="M71" s="1451"/>
      <c r="N71" s="1444"/>
      <c r="O71" s="1450"/>
      <c r="P71" s="1580"/>
      <c r="Q71" s="1581"/>
      <c r="S71" s="1582"/>
      <c r="T71" s="1452"/>
    </row>
    <row r="72" spans="2:20" ht="16.5">
      <c r="B72" s="1578">
        <f t="shared" si="13"/>
        <v>10.089999999999998</v>
      </c>
      <c r="C72" s="1491"/>
      <c r="D72" s="1576" t="str">
        <f>+'SUMINISTRO LP'!D72</f>
        <v>Perno Ojo de A°G° de 16 mm Ø  x 254 mm, provisto de Tuerca  y Contratuerca</v>
      </c>
      <c r="E72" s="1576"/>
      <c r="F72" s="1577"/>
      <c r="G72" s="1473" t="s">
        <v>18</v>
      </c>
      <c r="H72" s="1504">
        <f>+'SUMINISTRO LP'!H72</f>
        <v>61</v>
      </c>
      <c r="I72" s="1505">
        <v>0.45</v>
      </c>
      <c r="J72" s="1474">
        <f t="shared" si="14"/>
        <v>27.45</v>
      </c>
      <c r="K72" s="1743"/>
      <c r="L72" s="1743"/>
      <c r="M72" s="1451"/>
      <c r="N72" s="1444"/>
      <c r="O72" s="1450"/>
      <c r="P72" s="1580"/>
      <c r="Q72" s="1581"/>
      <c r="S72" s="1582"/>
      <c r="T72" s="1452"/>
    </row>
    <row r="73" spans="2:20" ht="16.5">
      <c r="B73" s="1578">
        <f t="shared" si="13"/>
        <v>10.099999999999998</v>
      </c>
      <c r="C73" s="1491"/>
      <c r="D73" s="1576" t="str">
        <f>+'SUMINISTRO LP'!D73</f>
        <v>Perno Ojo de A°G° de 16 mm Ø  x 305 mm, provisto de Tuerca  y Contratuerca</v>
      </c>
      <c r="E73" s="1576"/>
      <c r="F73" s="1577"/>
      <c r="G73" s="1473" t="s">
        <v>18</v>
      </c>
      <c r="H73" s="1504">
        <f>+'SUMINISTRO LP'!H73</f>
        <v>47</v>
      </c>
      <c r="I73" s="1505">
        <v>0.54</v>
      </c>
      <c r="J73" s="1474">
        <f t="shared" si="14"/>
        <v>25.38</v>
      </c>
      <c r="K73" s="1743"/>
      <c r="L73" s="1743"/>
      <c r="M73" s="1451"/>
      <c r="N73" s="1444"/>
      <c r="O73" s="1450"/>
      <c r="P73" s="1580"/>
      <c r="Q73" s="1581"/>
      <c r="S73" s="1582"/>
      <c r="T73" s="1452"/>
    </row>
    <row r="74" spans="2:20" ht="16.5">
      <c r="B74" s="1578">
        <f t="shared" si="13"/>
        <v>10.109999999999998</v>
      </c>
      <c r="C74" s="1491"/>
      <c r="D74" s="1576" t="str">
        <f>+'SUMINISTRO LP'!D74</f>
        <v>Perno Ojo de A°G° de 16 mm Ø  x 356 mm, provisto de Tuerca  y Contratuerca</v>
      </c>
      <c r="E74" s="1576"/>
      <c r="F74" s="1577"/>
      <c r="G74" s="1473" t="s">
        <v>18</v>
      </c>
      <c r="H74" s="1504">
        <f>+'SUMINISTRO LP'!H74</f>
        <v>9</v>
      </c>
      <c r="I74" s="1505">
        <v>0.64</v>
      </c>
      <c r="J74" s="1474">
        <f t="shared" si="14"/>
        <v>5.76</v>
      </c>
      <c r="K74" s="1743"/>
      <c r="L74" s="1743"/>
      <c r="M74" s="1451"/>
      <c r="N74" s="1444"/>
      <c r="O74" s="1450"/>
      <c r="P74" s="1580"/>
      <c r="Q74" s="1581"/>
      <c r="S74" s="1582"/>
      <c r="T74" s="1452"/>
    </row>
    <row r="75" spans="2:20" ht="16.5">
      <c r="B75" s="1578">
        <f t="shared" si="13"/>
        <v>10.119999999999997</v>
      </c>
      <c r="C75" s="1491"/>
      <c r="D75" s="1576" t="str">
        <f>+'SUMINISTRO LP'!D75</f>
        <v>Tuerca-Ojo para Perno de 16 mm Ø</v>
      </c>
      <c r="E75" s="1576"/>
      <c r="F75" s="1577"/>
      <c r="G75" s="1473" t="s">
        <v>18</v>
      </c>
      <c r="H75" s="1504">
        <f>+'SUMINISTRO LP'!H75</f>
        <v>38</v>
      </c>
      <c r="I75" s="1505">
        <v>0.48</v>
      </c>
      <c r="J75" s="1474">
        <f t="shared" si="14"/>
        <v>18.239999999999998</v>
      </c>
      <c r="K75" s="1743"/>
      <c r="L75" s="1743"/>
      <c r="M75" s="1451"/>
      <c r="N75" s="1444"/>
      <c r="O75" s="1450"/>
      <c r="P75" s="1580"/>
      <c r="Q75" s="1581"/>
      <c r="S75" s="1582"/>
      <c r="T75" s="1452"/>
    </row>
    <row r="76" spans="2:20" ht="16.5">
      <c r="B76" s="1578">
        <f t="shared" si="13"/>
        <v>10.129999999999997</v>
      </c>
      <c r="C76" s="1491"/>
      <c r="D76" s="1576" t="str">
        <f>+'SUMINISTRO LP'!D76</f>
        <v>Tirafondo de A°G° de 13 mm ø  x 102 mm de longitud</v>
      </c>
      <c r="E76" s="1576"/>
      <c r="F76" s="1577"/>
      <c r="G76" s="1473" t="s">
        <v>18</v>
      </c>
      <c r="H76" s="1504">
        <f>+'SUMINISTRO LP'!H76</f>
        <v>4</v>
      </c>
      <c r="I76" s="1505">
        <v>0.49</v>
      </c>
      <c r="J76" s="1474">
        <f t="shared" si="14"/>
        <v>1.96</v>
      </c>
      <c r="K76" s="1743"/>
      <c r="L76" s="1743"/>
      <c r="M76" s="1451"/>
      <c r="N76" s="1444"/>
      <c r="O76" s="1450"/>
      <c r="P76" s="1580"/>
      <c r="Q76" s="1581"/>
      <c r="S76" s="1582"/>
      <c r="T76" s="1452"/>
    </row>
    <row r="77" spans="2:20" ht="16.5">
      <c r="B77" s="1578">
        <f t="shared" si="13"/>
        <v>10.139999999999997</v>
      </c>
      <c r="C77" s="1491"/>
      <c r="D77" s="1576" t="str">
        <f>+'SUMINISTRO LP'!D77</f>
        <v>Brazo-Soporte (Riostra) de Perfil Angular de A°G° de 38 x 38 x 5 mm y 710 mm longitud</v>
      </c>
      <c r="E77" s="1576"/>
      <c r="F77" s="1577"/>
      <c r="G77" s="1473" t="s">
        <v>18</v>
      </c>
      <c r="H77" s="1504">
        <f>+'SUMINISTRO LP'!H77</f>
        <v>13</v>
      </c>
      <c r="I77" s="1505">
        <v>1.33</v>
      </c>
      <c r="J77" s="1474">
        <f t="shared" si="14"/>
        <v>17.29</v>
      </c>
      <c r="K77" s="1743"/>
      <c r="L77" s="1743"/>
      <c r="M77" s="1451"/>
      <c r="N77" s="1444"/>
      <c r="O77" s="1450"/>
      <c r="P77" s="1580"/>
      <c r="Q77" s="1581"/>
      <c r="S77" s="1582"/>
      <c r="T77" s="1452"/>
    </row>
    <row r="78" spans="2:20" ht="16.5">
      <c r="B78" s="1578">
        <f t="shared" si="13"/>
        <v>10.149999999999997</v>
      </c>
      <c r="C78" s="1491"/>
      <c r="D78" s="1576" t="str">
        <f>+'SUMINISTRO LP'!D78</f>
        <v>Arandela Cuadrada Plana de A° G°, 57 x 57 x 5 mm, Agujero de 18 mm Ø</v>
      </c>
      <c r="E78" s="1576"/>
      <c r="F78" s="1577"/>
      <c r="G78" s="1473" t="s">
        <v>18</v>
      </c>
      <c r="H78" s="1504">
        <f>+'SUMINISTRO LP'!H78</f>
        <v>618</v>
      </c>
      <c r="I78" s="1505">
        <v>0.09</v>
      </c>
      <c r="J78" s="1474">
        <f t="shared" si="14"/>
        <v>55.62</v>
      </c>
      <c r="K78" s="1743"/>
      <c r="L78" s="1743"/>
      <c r="M78" s="1451"/>
      <c r="N78" s="1444"/>
      <c r="O78" s="1450"/>
      <c r="P78" s="1580"/>
      <c r="Q78" s="1581"/>
      <c r="S78" s="1582"/>
      <c r="T78" s="1452"/>
    </row>
    <row r="79" spans="2:20" ht="16.5">
      <c r="B79" s="1578">
        <f t="shared" si="13"/>
        <v>10.159999999999997</v>
      </c>
      <c r="C79" s="1491"/>
      <c r="D79" s="1576" t="str">
        <f>+'SUMINISTRO LP'!D79</f>
        <v>Arandela Cuadrada curva de A° G°, 57 x 57 x 5 mm, Agujero de 18 mm Ø</v>
      </c>
      <c r="E79" s="1576"/>
      <c r="F79" s="1577"/>
      <c r="G79" s="1473" t="s">
        <v>18</v>
      </c>
      <c r="H79" s="1504">
        <f>+'SUMINISTRO LP'!H79</f>
        <v>979</v>
      </c>
      <c r="I79" s="1505">
        <v>0.09</v>
      </c>
      <c r="J79" s="1474">
        <f t="shared" si="14"/>
        <v>88.11</v>
      </c>
      <c r="K79" s="1743"/>
      <c r="L79" s="1743"/>
      <c r="M79" s="1451"/>
      <c r="N79" s="1444"/>
      <c r="O79" s="1450"/>
      <c r="P79" s="1580"/>
      <c r="Q79" s="1581"/>
      <c r="S79" s="1582"/>
      <c r="T79" s="1452"/>
    </row>
    <row r="80" spans="2:20" ht="16.5">
      <c r="B80" s="1578">
        <f t="shared" si="13"/>
        <v>10.169999999999996</v>
      </c>
      <c r="C80" s="1491"/>
      <c r="D80" s="1576" t="str">
        <f>+'SUMINISTRO LP'!D80</f>
        <v>Plantillas para Identificación y/o codificación de Postes (Peligro, Identificación y/o codificación y Fases)</v>
      </c>
      <c r="E80" s="1576"/>
      <c r="F80" s="1577"/>
      <c r="G80" s="1473" t="s">
        <v>295</v>
      </c>
      <c r="H80" s="1504">
        <f>+'SUMINISTRO LP'!H80</f>
        <v>21</v>
      </c>
      <c r="I80" s="1601">
        <v>0.22</v>
      </c>
      <c r="J80" s="1474">
        <f t="shared" si="14"/>
        <v>4.62</v>
      </c>
      <c r="K80" s="1743"/>
      <c r="L80" s="1743"/>
      <c r="M80" s="1451"/>
      <c r="N80" s="1444"/>
      <c r="O80" s="1450"/>
      <c r="P80" s="1580"/>
      <c r="Q80" s="1581"/>
      <c r="S80" s="1582"/>
      <c r="T80" s="1452"/>
    </row>
    <row r="81" spans="2:20" ht="16.5">
      <c r="B81" s="1578">
        <f t="shared" si="13"/>
        <v>10.179999999999996</v>
      </c>
      <c r="C81" s="1491"/>
      <c r="D81" s="1576" t="str">
        <f>+'SUMINISTRO LP'!D81</f>
        <v>Placa de Señal de Peligro y accesorios de fijación</v>
      </c>
      <c r="E81" s="1576"/>
      <c r="F81" s="1577"/>
      <c r="G81" s="1473" t="str">
        <f>+'SUMINISTRO LP'!G81</f>
        <v>u</v>
      </c>
      <c r="H81" s="1504">
        <f>+'SUMINISTRO LP'!H81</f>
        <v>9</v>
      </c>
      <c r="I81" s="1601">
        <v>0.12</v>
      </c>
      <c r="J81" s="1474">
        <f t="shared" si="14"/>
        <v>1.08</v>
      </c>
      <c r="K81" s="1743"/>
      <c r="L81" s="1743"/>
      <c r="M81" s="1451"/>
      <c r="N81" s="1444"/>
      <c r="O81" s="1450"/>
      <c r="P81" s="1580"/>
      <c r="Q81" s="1581"/>
      <c r="S81" s="1582"/>
      <c r="T81" s="1452"/>
    </row>
    <row r="82" spans="2:20" ht="16.5">
      <c r="B82" s="1578">
        <f t="shared" si="13"/>
        <v>10.189999999999996</v>
      </c>
      <c r="C82" s="1491"/>
      <c r="D82" s="1576" t="str">
        <f>+'SUMINISTRO LP'!D82</f>
        <v>Placa de Identificación y/o codificación de Estructura y accesorios de fijación</v>
      </c>
      <c r="E82" s="1576"/>
      <c r="F82" s="1577"/>
      <c r="G82" s="1473" t="str">
        <f>+'SUMINISTRO LP'!G82</f>
        <v>u</v>
      </c>
      <c r="H82" s="1504">
        <f>+'SUMINISTRO LP'!H82</f>
        <v>9</v>
      </c>
      <c r="I82" s="1601">
        <v>0.1</v>
      </c>
      <c r="J82" s="1474">
        <f t="shared" si="14"/>
        <v>0.9</v>
      </c>
      <c r="K82" s="1743"/>
      <c r="L82" s="1743"/>
      <c r="M82" s="1451"/>
      <c r="N82" s="1444"/>
      <c r="O82" s="1450"/>
      <c r="P82" s="1580"/>
      <c r="Q82" s="1581"/>
      <c r="S82" s="1582"/>
      <c r="T82" s="1452"/>
    </row>
    <row r="83" spans="2:20" ht="16.5">
      <c r="B83" s="1578">
        <f t="shared" si="13"/>
        <v>10.199999999999996</v>
      </c>
      <c r="C83" s="1491"/>
      <c r="D83" s="1576" t="str">
        <f>+'SUMINISTRO LP'!D83</f>
        <v>Placa de Secuencia de Fases y accesorios de fijación</v>
      </c>
      <c r="E83" s="1576"/>
      <c r="F83" s="1577"/>
      <c r="G83" s="1473" t="str">
        <f>+'SUMINISTRO LP'!G83</f>
        <v>u</v>
      </c>
      <c r="H83" s="1504">
        <f>+'SUMINISTRO LP'!H83</f>
        <v>9</v>
      </c>
      <c r="I83" s="1601">
        <v>7.0000000000000007E-2</v>
      </c>
      <c r="J83" s="1474">
        <f t="shared" si="14"/>
        <v>0.63</v>
      </c>
      <c r="K83" s="1743"/>
      <c r="L83" s="1743"/>
      <c r="M83" s="1451"/>
      <c r="N83" s="1444"/>
      <c r="O83" s="1450"/>
      <c r="P83" s="1580"/>
      <c r="Q83" s="1581"/>
      <c r="S83" s="1582"/>
      <c r="T83" s="1452"/>
    </row>
    <row r="84" spans="2:20" ht="16.5">
      <c r="B84" s="1588"/>
      <c r="C84" s="1589"/>
      <c r="D84" s="1590"/>
      <c r="E84" s="1590"/>
      <c r="F84" s="1591" t="str">
        <f>+"SUB-TOTAL   "&amp;B63&amp;":  "</f>
        <v xml:space="preserve">SUB-TOTAL   10:  </v>
      </c>
      <c r="G84" s="1447"/>
      <c r="H84" s="1602"/>
      <c r="I84" s="1602"/>
      <c r="J84" s="1592">
        <f>+SUM(J64:J83)</f>
        <v>432.23999999999995</v>
      </c>
      <c r="K84" s="1743"/>
      <c r="L84" s="1743"/>
      <c r="M84" s="1451"/>
      <c r="N84" s="1444"/>
      <c r="O84" s="1450"/>
      <c r="P84" s="1580"/>
      <c r="T84" s="1452"/>
    </row>
    <row r="85" spans="2:20" ht="16.5">
      <c r="B85" s="1574">
        <f>1+B63</f>
        <v>11</v>
      </c>
      <c r="C85" s="1491"/>
      <c r="D85" s="1584" t="s">
        <v>277</v>
      </c>
      <c r="E85" s="1576"/>
      <c r="F85" s="1577"/>
      <c r="G85" s="1473"/>
      <c r="H85" s="1504"/>
      <c r="I85" s="1504"/>
      <c r="J85" s="1474"/>
      <c r="K85" s="1743"/>
      <c r="L85" s="1743"/>
      <c r="M85" s="1451"/>
      <c r="N85" s="1444"/>
      <c r="O85" s="1450"/>
      <c r="P85" s="1580"/>
      <c r="Q85" s="1581"/>
      <c r="T85" s="1452"/>
    </row>
    <row r="86" spans="2:20" ht="16.5">
      <c r="B86" s="1578">
        <f t="shared" ref="B86:B98" si="15">+B85+0.01</f>
        <v>11.01</v>
      </c>
      <c r="C86" s="1491"/>
      <c r="D86" s="1576" t="s">
        <v>371</v>
      </c>
      <c r="E86" s="1576"/>
      <c r="F86" s="1577"/>
      <c r="G86" s="1473" t="s">
        <v>187</v>
      </c>
      <c r="H86" s="1504">
        <f>+'SUMINISTRO LP'!H86</f>
        <v>881</v>
      </c>
      <c r="I86" s="1505">
        <v>0.57999999999999996</v>
      </c>
      <c r="J86" s="1474">
        <f t="shared" ref="J86:J91" si="16">+ROUND(I86*H86,2)</f>
        <v>510.98</v>
      </c>
      <c r="K86" s="1743"/>
      <c r="L86" s="1743"/>
      <c r="M86" s="1451"/>
      <c r="N86" s="1444"/>
      <c r="O86" s="1450"/>
      <c r="P86" s="1580"/>
      <c r="Q86" s="1581"/>
      <c r="S86" s="1582"/>
      <c r="T86" s="1452"/>
    </row>
    <row r="87" spans="2:20" ht="16.5">
      <c r="B87" s="1578">
        <f t="shared" si="15"/>
        <v>11.02</v>
      </c>
      <c r="C87" s="1491"/>
      <c r="D87" s="1576" t="s">
        <v>153</v>
      </c>
      <c r="E87" s="1875"/>
      <c r="F87" s="1876"/>
      <c r="G87" s="1473" t="s">
        <v>18</v>
      </c>
      <c r="H87" s="1504">
        <f>+'SUMINISTRO LP'!H87</f>
        <v>66</v>
      </c>
      <c r="I87" s="1505">
        <v>2.37</v>
      </c>
      <c r="J87" s="1474">
        <f t="shared" si="16"/>
        <v>156.41999999999999</v>
      </c>
      <c r="K87" s="1743"/>
      <c r="L87" s="1743"/>
      <c r="M87" s="1451"/>
      <c r="N87" s="1444"/>
      <c r="O87" s="1450"/>
      <c r="P87" s="1580"/>
      <c r="Q87" s="1581"/>
      <c r="S87" s="1582"/>
      <c r="T87" s="1452"/>
    </row>
    <row r="88" spans="2:20" ht="16.5">
      <c r="B88" s="1578">
        <f t="shared" si="15"/>
        <v>11.03</v>
      </c>
      <c r="C88" s="1491"/>
      <c r="D88" s="1576" t="s">
        <v>342</v>
      </c>
      <c r="E88" s="1576"/>
      <c r="F88" s="1577"/>
      <c r="G88" s="1473" t="s">
        <v>18</v>
      </c>
      <c r="H88" s="1504">
        <f>+'SUMINISTRO LP'!H88</f>
        <v>208</v>
      </c>
      <c r="I88" s="1505">
        <v>0.85</v>
      </c>
      <c r="J88" s="1474">
        <f t="shared" si="16"/>
        <v>176.8</v>
      </c>
      <c r="K88" s="1743"/>
      <c r="L88" s="1743"/>
      <c r="M88" s="1451"/>
      <c r="N88" s="1444"/>
      <c r="O88" s="1450"/>
      <c r="P88" s="1580"/>
      <c r="Q88" s="1581"/>
      <c r="S88" s="1582"/>
      <c r="T88" s="1452"/>
    </row>
    <row r="89" spans="2:20" ht="16.5">
      <c r="B89" s="1578">
        <f t="shared" si="15"/>
        <v>11.04</v>
      </c>
      <c r="C89" s="1491"/>
      <c r="D89" s="1576" t="s">
        <v>722</v>
      </c>
      <c r="E89" s="1576"/>
      <c r="F89" s="1577"/>
      <c r="G89" s="1473" t="s">
        <v>187</v>
      </c>
      <c r="H89" s="1504">
        <f>+'SUMINISTRO LP'!H89</f>
        <v>312</v>
      </c>
      <c r="I89" s="1505">
        <v>0.02</v>
      </c>
      <c r="J89" s="1474">
        <f t="shared" si="16"/>
        <v>6.24</v>
      </c>
      <c r="K89" s="1743"/>
      <c r="L89" s="1743"/>
      <c r="M89" s="1451"/>
      <c r="N89" s="1444"/>
      <c r="O89" s="1450"/>
      <c r="P89" s="1580"/>
      <c r="Q89" s="1581"/>
      <c r="S89" s="1582"/>
      <c r="T89" s="1452"/>
    </row>
    <row r="90" spans="2:20" ht="16.5">
      <c r="B90" s="1578">
        <f t="shared" si="15"/>
        <v>11.049999999999999</v>
      </c>
      <c r="C90" s="1491"/>
      <c r="D90" s="1576" t="s">
        <v>343</v>
      </c>
      <c r="E90" s="1576"/>
      <c r="F90" s="1577"/>
      <c r="G90" s="1473" t="s">
        <v>18</v>
      </c>
      <c r="H90" s="1504">
        <f>+'SUMINISTRO LP'!H90</f>
        <v>66</v>
      </c>
      <c r="I90" s="1505">
        <v>0.2</v>
      </c>
      <c r="J90" s="1474">
        <f t="shared" si="16"/>
        <v>13.2</v>
      </c>
      <c r="K90" s="1743"/>
      <c r="L90" s="1743"/>
      <c r="M90" s="1451"/>
      <c r="N90" s="1444"/>
      <c r="O90" s="1450"/>
      <c r="P90" s="1580"/>
      <c r="Q90" s="1581"/>
      <c r="S90" s="1582"/>
      <c r="T90" s="1452"/>
    </row>
    <row r="91" spans="2:20" ht="16.5">
      <c r="B91" s="1578">
        <f t="shared" si="15"/>
        <v>11.059999999999999</v>
      </c>
      <c r="C91" s="1491"/>
      <c r="D91" s="1576" t="s">
        <v>306</v>
      </c>
      <c r="E91" s="1875"/>
      <c r="F91" s="1876"/>
      <c r="G91" s="1473" t="s">
        <v>18</v>
      </c>
      <c r="H91" s="1504">
        <f>+'SUMINISTRO LP'!H91</f>
        <v>12</v>
      </c>
      <c r="I91" s="1505">
        <v>2.9</v>
      </c>
      <c r="J91" s="1474">
        <f t="shared" si="16"/>
        <v>34.799999999999997</v>
      </c>
      <c r="K91" s="1743"/>
      <c r="L91" s="1743"/>
      <c r="M91" s="1451"/>
      <c r="N91" s="1444"/>
      <c r="O91" s="1450"/>
      <c r="P91" s="1580"/>
      <c r="Q91" s="1581"/>
      <c r="S91" s="1582"/>
      <c r="T91" s="1452"/>
    </row>
    <row r="92" spans="2:20" ht="16.5">
      <c r="B92" s="1578">
        <f t="shared" si="15"/>
        <v>11.069999999999999</v>
      </c>
      <c r="C92" s="1491"/>
      <c r="D92" s="1576" t="s">
        <v>344</v>
      </c>
      <c r="E92" s="1875"/>
      <c r="F92" s="1876"/>
      <c r="G92" s="1473" t="s">
        <v>18</v>
      </c>
      <c r="H92" s="1504">
        <f>+'SUMINISTRO LP'!H92</f>
        <v>66</v>
      </c>
      <c r="I92" s="1505">
        <v>2.75</v>
      </c>
      <c r="J92" s="1474">
        <f t="shared" ref="J92:J98" si="17">+ROUND(I92*H92,2)</f>
        <v>181.5</v>
      </c>
      <c r="K92" s="1743"/>
      <c r="L92" s="1743"/>
      <c r="M92" s="1451"/>
      <c r="N92" s="1444"/>
      <c r="O92" s="1450"/>
      <c r="P92" s="1580"/>
      <c r="Q92" s="1581"/>
      <c r="S92" s="1582"/>
      <c r="T92" s="1452"/>
    </row>
    <row r="93" spans="2:20" ht="16.5">
      <c r="B93" s="1578">
        <f t="shared" si="15"/>
        <v>11.079999999999998</v>
      </c>
      <c r="C93" s="1491"/>
      <c r="D93" s="1576" t="s">
        <v>322</v>
      </c>
      <c r="E93" s="1576"/>
      <c r="F93" s="1577"/>
      <c r="G93" s="1473" t="s">
        <v>18</v>
      </c>
      <c r="H93" s="1504">
        <f>+'SUMINISTRO LP'!H93</f>
        <v>66</v>
      </c>
      <c r="I93" s="1505">
        <v>0.25</v>
      </c>
      <c r="J93" s="1474">
        <f t="shared" si="17"/>
        <v>16.5</v>
      </c>
      <c r="K93" s="1743"/>
      <c r="L93" s="1743"/>
      <c r="M93" s="1451"/>
      <c r="N93" s="1444"/>
      <c r="O93" s="1450"/>
      <c r="P93" s="1580"/>
      <c r="Q93" s="1581"/>
      <c r="S93" s="1582"/>
      <c r="T93" s="1452"/>
    </row>
    <row r="94" spans="2:20" ht="16.5">
      <c r="B94" s="1578">
        <f t="shared" si="15"/>
        <v>11.089999999999998</v>
      </c>
      <c r="C94" s="1491"/>
      <c r="D94" s="1576" t="s">
        <v>345</v>
      </c>
      <c r="E94" s="1875"/>
      <c r="F94" s="1876"/>
      <c r="G94" s="1473" t="s">
        <v>18</v>
      </c>
      <c r="H94" s="1504">
        <f>+'SUMINISTRO LP'!H94</f>
        <v>66</v>
      </c>
      <c r="I94" s="1505">
        <v>4.13</v>
      </c>
      <c r="J94" s="1474">
        <f t="shared" si="17"/>
        <v>272.58</v>
      </c>
      <c r="K94" s="1743"/>
      <c r="L94" s="1743"/>
      <c r="M94" s="1451"/>
      <c r="N94" s="1444"/>
      <c r="O94" s="1450"/>
      <c r="P94" s="1580"/>
      <c r="Q94" s="1581"/>
      <c r="S94" s="1582"/>
      <c r="T94" s="1452"/>
    </row>
    <row r="95" spans="2:20" ht="16.5">
      <c r="B95" s="1578">
        <f t="shared" si="15"/>
        <v>11.099999999999998</v>
      </c>
      <c r="C95" s="1491"/>
      <c r="D95" s="1576" t="s">
        <v>317</v>
      </c>
      <c r="E95" s="1576"/>
      <c r="F95" s="1577"/>
      <c r="G95" s="1473" t="s">
        <v>18</v>
      </c>
      <c r="H95" s="1504">
        <f>+'SUMINISTRO LP'!H95</f>
        <v>85</v>
      </c>
      <c r="I95" s="1505">
        <v>1.1499999999999999</v>
      </c>
      <c r="J95" s="1474">
        <f t="shared" si="17"/>
        <v>97.75</v>
      </c>
      <c r="K95" s="1743"/>
      <c r="L95" s="1743"/>
      <c r="M95" s="1451"/>
      <c r="N95" s="1444"/>
      <c r="O95" s="1450"/>
      <c r="P95" s="1580"/>
      <c r="Q95" s="1581"/>
      <c r="S95" s="1582"/>
      <c r="T95" s="1452"/>
    </row>
    <row r="96" spans="2:20" ht="16.5">
      <c r="B96" s="1578">
        <f t="shared" si="15"/>
        <v>11.109999999999998</v>
      </c>
      <c r="C96" s="1491"/>
      <c r="D96" s="1576" t="s">
        <v>265</v>
      </c>
      <c r="E96" s="1576"/>
      <c r="F96" s="1577"/>
      <c r="G96" s="1473" t="s">
        <v>18</v>
      </c>
      <c r="H96" s="1504">
        <f>+'SUMINISTRO LP'!H96</f>
        <v>66</v>
      </c>
      <c r="I96" s="1505">
        <v>23.88</v>
      </c>
      <c r="J96" s="1474">
        <f t="shared" si="17"/>
        <v>1576.08</v>
      </c>
      <c r="K96" s="1743"/>
      <c r="L96" s="1743"/>
      <c r="M96" s="1451"/>
      <c r="N96" s="1444"/>
      <c r="O96" s="1450"/>
      <c r="P96" s="1580"/>
      <c r="Q96" s="1581"/>
      <c r="S96" s="1582"/>
      <c r="T96" s="1452"/>
    </row>
    <row r="97" spans="2:20" ht="16.5">
      <c r="B97" s="1578">
        <f t="shared" si="15"/>
        <v>11.119999999999997</v>
      </c>
      <c r="C97" s="1491"/>
      <c r="D97" s="1508" t="s">
        <v>12</v>
      </c>
      <c r="E97" s="1508"/>
      <c r="F97" s="1579"/>
      <c r="G97" s="1473" t="s">
        <v>18</v>
      </c>
      <c r="H97" s="1504">
        <f>+'SUMINISTRO LP'!H97</f>
        <v>22</v>
      </c>
      <c r="I97" s="1601">
        <v>0.48</v>
      </c>
      <c r="J97" s="1474">
        <f t="shared" si="17"/>
        <v>10.56</v>
      </c>
      <c r="K97" s="1743"/>
      <c r="L97" s="1743"/>
      <c r="M97" s="1451"/>
      <c r="N97" s="1444"/>
      <c r="O97" s="1450"/>
      <c r="P97" s="1580"/>
      <c r="Q97" s="1581"/>
      <c r="S97" s="1582"/>
      <c r="T97" s="1452"/>
    </row>
    <row r="98" spans="2:20" ht="16.5">
      <c r="B98" s="1578">
        <f t="shared" si="15"/>
        <v>11.129999999999997</v>
      </c>
      <c r="C98" s="1491"/>
      <c r="D98" s="1576" t="s">
        <v>264</v>
      </c>
      <c r="E98" s="1576"/>
      <c r="F98" s="1577"/>
      <c r="G98" s="1473" t="s">
        <v>18</v>
      </c>
      <c r="H98" s="1504">
        <f>+'SUMINISTRO LP'!H98</f>
        <v>39</v>
      </c>
      <c r="I98" s="1505">
        <v>0.09</v>
      </c>
      <c r="J98" s="1474">
        <f t="shared" si="17"/>
        <v>3.51</v>
      </c>
      <c r="K98" s="1743"/>
      <c r="L98" s="1743"/>
      <c r="M98" s="1451"/>
      <c r="N98" s="1444"/>
      <c r="O98" s="1450"/>
      <c r="P98" s="1580"/>
      <c r="Q98" s="1581"/>
      <c r="S98" s="1582"/>
      <c r="T98" s="1452"/>
    </row>
    <row r="99" spans="2:20" ht="16.5">
      <c r="B99" s="1477"/>
      <c r="C99" s="1491"/>
      <c r="D99" s="1576"/>
      <c r="E99" s="1576"/>
      <c r="F99" s="1583" t="str">
        <f>+"SUB-TOTAL   "&amp;B85&amp;":  "</f>
        <v xml:space="preserve">SUB-TOTAL   11:  </v>
      </c>
      <c r="G99" s="1475"/>
      <c r="H99" s="1506"/>
      <c r="I99" s="1506"/>
      <c r="J99" s="1476">
        <f>+SUM(J86:J98)</f>
        <v>3056.92</v>
      </c>
      <c r="K99" s="1743"/>
      <c r="L99" s="1743"/>
      <c r="M99" s="1451"/>
      <c r="N99" s="1444"/>
      <c r="O99" s="1450"/>
      <c r="P99" s="1580"/>
      <c r="T99" s="1452"/>
    </row>
    <row r="100" spans="2:20" ht="16.5">
      <c r="B100" s="1574">
        <f>1+B85</f>
        <v>12</v>
      </c>
      <c r="C100" s="1491"/>
      <c r="D100" s="1584" t="s">
        <v>278</v>
      </c>
      <c r="E100" s="1576"/>
      <c r="F100" s="1577"/>
      <c r="G100" s="1473"/>
      <c r="H100" s="1504"/>
      <c r="I100" s="1504"/>
      <c r="J100" s="1474"/>
      <c r="K100" s="1743"/>
      <c r="L100" s="1743"/>
      <c r="M100" s="1451"/>
      <c r="N100" s="1444"/>
      <c r="O100" s="1450"/>
      <c r="P100" s="1580"/>
      <c r="T100" s="1452"/>
    </row>
    <row r="101" spans="2:20" ht="16.5">
      <c r="B101" s="1578">
        <f t="shared" ref="B101:B109" si="18">+B100+0.01</f>
        <v>12.01</v>
      </c>
      <c r="C101" s="1491"/>
      <c r="D101" s="1576" t="str">
        <f>+'SUMINISTRO LP'!D101</f>
        <v>Electrodo de Acero Recubierto de Cobre de 16 mm Ø x 2,40 m</v>
      </c>
      <c r="E101" s="1576"/>
      <c r="F101" s="1577"/>
      <c r="G101" s="1473" t="s">
        <v>18</v>
      </c>
      <c r="H101" s="1504">
        <f>+'SUMINISTRO LP'!H101</f>
        <v>15</v>
      </c>
      <c r="I101" s="1505">
        <v>2.59</v>
      </c>
      <c r="J101" s="1474">
        <f t="shared" ref="J101:J109" si="19">+ROUND(I101*H101,2)</f>
        <v>38.85</v>
      </c>
      <c r="K101" s="1743"/>
      <c r="L101" s="1743"/>
      <c r="M101" s="1451"/>
      <c r="N101" s="1444"/>
      <c r="O101" s="1450"/>
      <c r="P101" s="1580"/>
      <c r="Q101" s="1581"/>
      <c r="S101" s="1582"/>
      <c r="T101" s="1452"/>
    </row>
    <row r="102" spans="2:20" ht="16.5">
      <c r="B102" s="1578">
        <f t="shared" si="18"/>
        <v>12.02</v>
      </c>
      <c r="C102" s="1491"/>
      <c r="D102" s="1576" t="str">
        <f>+'SUMINISTRO LP'!D102</f>
        <v>Plancha Doblada de Cobre para toma a Tierra de Espigas y/o Pernos</v>
      </c>
      <c r="E102" s="1576"/>
      <c r="F102" s="1577"/>
      <c r="G102" s="1473" t="s">
        <v>18</v>
      </c>
      <c r="H102" s="1504">
        <f>+'SUMINISTRO LP'!H102</f>
        <v>518</v>
      </c>
      <c r="I102" s="1505">
        <v>7.0000000000000007E-2</v>
      </c>
      <c r="J102" s="1474">
        <f t="shared" si="19"/>
        <v>36.26</v>
      </c>
      <c r="K102" s="1743"/>
      <c r="L102" s="1743"/>
      <c r="M102" s="1451"/>
      <c r="N102" s="1444"/>
      <c r="O102" s="1450"/>
      <c r="P102" s="1580"/>
      <c r="Q102" s="1581"/>
      <c r="S102" s="1582"/>
      <c r="T102" s="1452"/>
    </row>
    <row r="103" spans="2:20" ht="16.5">
      <c r="B103" s="1578">
        <f t="shared" si="18"/>
        <v>12.03</v>
      </c>
      <c r="C103" s="1491"/>
      <c r="D103" s="1576" t="str">
        <f>+'SUMINISTRO LP'!D103</f>
        <v>Conector de Bronce para Electrodo de 16 mm ø y Cable de Acero con Recubrimiento Metalúrgico de Cobre de 4 AWG (21,15 mm2)</v>
      </c>
      <c r="E103" s="1875"/>
      <c r="F103" s="1876"/>
      <c r="G103" s="1473" t="s">
        <v>18</v>
      </c>
      <c r="H103" s="1504">
        <f>+'SUMINISTRO LP'!H103</f>
        <v>15</v>
      </c>
      <c r="I103" s="1505">
        <v>0.24</v>
      </c>
      <c r="J103" s="1474">
        <f t="shared" si="19"/>
        <v>3.6</v>
      </c>
      <c r="K103" s="1743"/>
      <c r="L103" s="1743"/>
      <c r="M103" s="1451"/>
      <c r="N103" s="1444"/>
      <c r="O103" s="1450"/>
      <c r="P103" s="1580"/>
      <c r="Q103" s="1581"/>
      <c r="S103" s="1582"/>
      <c r="T103" s="1452"/>
    </row>
    <row r="104" spans="2:20" ht="16.5">
      <c r="B104" s="1578">
        <f t="shared" si="18"/>
        <v>12.04</v>
      </c>
      <c r="C104" s="1491"/>
      <c r="D104" s="1576" t="str">
        <f>+'SUMINISTRO LP'!D104</f>
        <v>Conector de Cobre tipo Perno Partido para Cable de Acero con Recubrimiento Metalúrgico de Cobre de 4 AWG (21,15 mm2)</v>
      </c>
      <c r="E104" s="1875"/>
      <c r="F104" s="1876"/>
      <c r="G104" s="1473" t="s">
        <v>18</v>
      </c>
      <c r="H104" s="1504">
        <f>+'SUMINISTRO LP'!H104</f>
        <v>428</v>
      </c>
      <c r="I104" s="1505">
        <v>0.16</v>
      </c>
      <c r="J104" s="1474">
        <f t="shared" si="19"/>
        <v>68.48</v>
      </c>
      <c r="K104" s="1743"/>
      <c r="L104" s="1743"/>
      <c r="M104" s="1451"/>
      <c r="N104" s="1444"/>
      <c r="O104" s="1450"/>
      <c r="P104" s="1580"/>
      <c r="Q104" s="1581"/>
      <c r="S104" s="1582"/>
      <c r="T104" s="1452"/>
    </row>
    <row r="105" spans="2:20" ht="16.5">
      <c r="B105" s="1578">
        <f t="shared" si="18"/>
        <v>12.049999999999999</v>
      </c>
      <c r="C105" s="1491"/>
      <c r="D105" s="1576" t="str">
        <f>+'SUMINISTRO LP'!D105</f>
        <v>Caja Registro de Concreto para Puesta a Tierra 0,50 x 0,50 x 0,45 m</v>
      </c>
      <c r="E105" s="1576"/>
      <c r="F105" s="1577"/>
      <c r="G105" s="1473" t="s">
        <v>18</v>
      </c>
      <c r="H105" s="1504">
        <f>+'SUMINISTRO LP'!H105</f>
        <v>15</v>
      </c>
      <c r="I105" s="1601">
        <v>23.88</v>
      </c>
      <c r="J105" s="1474">
        <f t="shared" si="19"/>
        <v>358.2</v>
      </c>
      <c r="K105" s="1743"/>
      <c r="L105" s="1743"/>
      <c r="M105" s="1451"/>
      <c r="N105" s="1444"/>
      <c r="O105" s="1450"/>
      <c r="P105" s="1580"/>
      <c r="Q105" s="1581"/>
      <c r="S105" s="1582"/>
      <c r="T105" s="1452"/>
    </row>
    <row r="106" spans="2:20" ht="16.5">
      <c r="B106" s="1578">
        <f t="shared" si="18"/>
        <v>12.059999999999999</v>
      </c>
      <c r="C106" s="1491"/>
      <c r="D106" s="1576" t="str">
        <f>+'SUMINISTRO LP'!D106</f>
        <v>Grapa en "U" para fijar conductor de PAT a Madera</v>
      </c>
      <c r="E106" s="1576"/>
      <c r="F106" s="1577"/>
      <c r="G106" s="1473" t="s">
        <v>18</v>
      </c>
      <c r="H106" s="1504">
        <f>+'SUMINISTRO LP'!H106</f>
        <v>204</v>
      </c>
      <c r="I106" s="1601">
        <v>0.05</v>
      </c>
      <c r="J106" s="1474">
        <f t="shared" si="19"/>
        <v>10.199999999999999</v>
      </c>
      <c r="K106" s="1743"/>
      <c r="L106" s="1743"/>
      <c r="M106" s="1451"/>
      <c r="N106" s="1444"/>
      <c r="O106" s="1450"/>
      <c r="P106" s="1580"/>
      <c r="Q106" s="1581"/>
      <c r="S106" s="1582"/>
      <c r="T106" s="1452"/>
    </row>
    <row r="107" spans="2:20" ht="16.5">
      <c r="B107" s="1578">
        <f t="shared" si="18"/>
        <v>12.069999999999999</v>
      </c>
      <c r="C107" s="1491"/>
      <c r="D107" s="1576" t="str">
        <f>+'SUMINISTRO LP'!D107</f>
        <v>Placa de Señalización de Poste (Puesta a Tierra)</v>
      </c>
      <c r="E107" s="1576"/>
      <c r="F107" s="1577"/>
      <c r="G107" s="1473" t="s">
        <v>18</v>
      </c>
      <c r="H107" s="1504">
        <f>+'SUMINISTRO LP'!H107</f>
        <v>2</v>
      </c>
      <c r="I107" s="1601">
        <v>0.16</v>
      </c>
      <c r="J107" s="1474">
        <f t="shared" si="19"/>
        <v>0.32</v>
      </c>
      <c r="K107" s="1743"/>
      <c r="L107" s="1743"/>
      <c r="M107" s="1451"/>
      <c r="N107" s="1444"/>
      <c r="O107" s="1450"/>
      <c r="P107" s="1580"/>
      <c r="Q107" s="1581"/>
      <c r="S107" s="1582"/>
      <c r="T107" s="1452"/>
    </row>
    <row r="108" spans="2:20" ht="16.5">
      <c r="B108" s="1578">
        <f t="shared" si="18"/>
        <v>12.079999999999998</v>
      </c>
      <c r="C108" s="1491"/>
      <c r="D108" s="1576" t="str">
        <f>+'SUMINISTRO LP'!D108</f>
        <v>Plantilla para Señalización de Poste (Puesta a Tierra)</v>
      </c>
      <c r="E108" s="1576"/>
      <c r="F108" s="1577"/>
      <c r="G108" s="1473" t="s">
        <v>18</v>
      </c>
      <c r="H108" s="1504">
        <f>+'SUMINISTRO LP'!H108</f>
        <v>6</v>
      </c>
      <c r="I108" s="1601">
        <v>0.12</v>
      </c>
      <c r="J108" s="1474">
        <f t="shared" si="19"/>
        <v>0.72</v>
      </c>
      <c r="K108" s="1743"/>
      <c r="L108" s="1743"/>
      <c r="M108" s="1451"/>
      <c r="N108" s="1444"/>
      <c r="O108" s="1450"/>
      <c r="P108" s="1580"/>
      <c r="Q108" s="1581"/>
      <c r="S108" s="1582"/>
      <c r="T108" s="1452"/>
    </row>
    <row r="109" spans="2:20" ht="16.5">
      <c r="B109" s="1578">
        <f t="shared" si="18"/>
        <v>12.089999999999998</v>
      </c>
      <c r="C109" s="1491"/>
      <c r="D109" s="1576" t="str">
        <f>+'SUMINISTRO LP'!D109</f>
        <v>Tubo Plastico de PVC SAP de 19 mm ø x 0,5 m ( incluye curva de plastico de 19 mm ø x 90º)</v>
      </c>
      <c r="E109" s="1576"/>
      <c r="F109" s="1577"/>
      <c r="G109" s="1473" t="s">
        <v>18</v>
      </c>
      <c r="H109" s="1504">
        <f>+'SUMINISTRO LP'!H109</f>
        <v>180</v>
      </c>
      <c r="I109" s="1505">
        <v>0.12</v>
      </c>
      <c r="J109" s="1474">
        <f t="shared" si="19"/>
        <v>21.6</v>
      </c>
      <c r="K109" s="1743"/>
      <c r="L109" s="1743"/>
      <c r="M109" s="1451"/>
      <c r="N109" s="1444"/>
      <c r="O109" s="1450"/>
      <c r="P109" s="1580"/>
      <c r="Q109" s="1581"/>
      <c r="S109" s="1582"/>
      <c r="T109" s="1452"/>
    </row>
    <row r="110" spans="2:20" ht="16.5">
      <c r="B110" s="1477"/>
      <c r="C110" s="1491"/>
      <c r="D110" s="1576"/>
      <c r="E110" s="1576"/>
      <c r="F110" s="1583" t="str">
        <f>+"SUB-TOTAL   "&amp;B100&amp;":  "</f>
        <v xml:space="preserve">SUB-TOTAL   12:  </v>
      </c>
      <c r="G110" s="1475"/>
      <c r="H110" s="1506"/>
      <c r="I110" s="1506"/>
      <c r="J110" s="1476">
        <f>+SUM(J101:J109)</f>
        <v>538.23000000000013</v>
      </c>
      <c r="K110" s="1743"/>
      <c r="L110" s="1743"/>
      <c r="M110" s="1451"/>
      <c r="N110" s="1444"/>
      <c r="O110" s="1450"/>
      <c r="P110" s="1580"/>
      <c r="Q110" s="1448"/>
      <c r="T110" s="1452"/>
    </row>
    <row r="111" spans="2:20" ht="16.5">
      <c r="B111" s="1574">
        <f>1+B100</f>
        <v>13</v>
      </c>
      <c r="C111" s="1491"/>
      <c r="D111" s="1584" t="s">
        <v>279</v>
      </c>
      <c r="E111" s="1576"/>
      <c r="F111" s="1577"/>
      <c r="G111" s="1473"/>
      <c r="H111" s="1504"/>
      <c r="I111" s="1504"/>
      <c r="J111" s="1474"/>
      <c r="K111" s="1743"/>
      <c r="L111" s="1743"/>
      <c r="M111" s="1451"/>
      <c r="N111" s="1444"/>
      <c r="O111" s="1450"/>
      <c r="P111" s="1580"/>
      <c r="T111" s="1452"/>
    </row>
    <row r="112" spans="2:20" ht="16.5">
      <c r="B112" s="1578">
        <f t="shared" ref="B112:B115" si="20">+B111+0.01</f>
        <v>13.01</v>
      </c>
      <c r="C112" s="1491"/>
      <c r="D112" s="1576" t="str">
        <f>+'SUMINISTRO LP'!D112</f>
        <v>Seccionador Fusible Unipolar Tipo Expulsion (Cut-Out) de 27/38 kV, 100A, 150 kV-BIL.</v>
      </c>
      <c r="E112" s="1576"/>
      <c r="F112" s="1577"/>
      <c r="G112" s="1473" t="s">
        <v>18</v>
      </c>
      <c r="H112" s="1504">
        <f>+'SUMINISTRO LP'!H112</f>
        <v>15</v>
      </c>
      <c r="I112" s="1505">
        <v>8.4700000000000006</v>
      </c>
      <c r="J112" s="1474">
        <f t="shared" ref="J112:J115" si="21">+ROUND(I112*H112,2)</f>
        <v>127.05</v>
      </c>
      <c r="K112" s="1743"/>
      <c r="L112" s="1743"/>
      <c r="M112" s="1451"/>
      <c r="N112" s="1444"/>
      <c r="O112" s="1450"/>
      <c r="P112" s="1580"/>
      <c r="Q112" s="1581"/>
      <c r="S112" s="1582"/>
      <c r="T112" s="1452"/>
    </row>
    <row r="113" spans="2:20" ht="16.5">
      <c r="B113" s="1578">
        <f t="shared" si="20"/>
        <v>13.02</v>
      </c>
      <c r="C113" s="1491"/>
      <c r="D113" s="1576" t="str">
        <f>+'SUMINISTRO LP'!D113</f>
        <v>Fusible Tipo Expulsion de 3 A, Tipo K</v>
      </c>
      <c r="E113" s="1576"/>
      <c r="F113" s="1577"/>
      <c r="G113" s="1473" t="s">
        <v>18</v>
      </c>
      <c r="H113" s="1504">
        <f>+'SUMINISTRO LP'!H113</f>
        <v>12</v>
      </c>
      <c r="I113" s="1505">
        <v>0.12</v>
      </c>
      <c r="J113" s="1474">
        <f t="shared" si="21"/>
        <v>1.44</v>
      </c>
      <c r="K113" s="1743"/>
      <c r="L113" s="1743"/>
      <c r="M113" s="1451"/>
      <c r="N113" s="1444"/>
      <c r="O113" s="1450"/>
      <c r="P113" s="1580"/>
      <c r="Q113" s="1581"/>
      <c r="S113" s="1582"/>
      <c r="T113" s="1452"/>
    </row>
    <row r="114" spans="2:20" ht="16.5">
      <c r="B114" s="1578">
        <f t="shared" si="20"/>
        <v>13.03</v>
      </c>
      <c r="C114" s="1491"/>
      <c r="D114" s="1576" t="str">
        <f>+'SUMINISTRO LP'!D114</f>
        <v>Fusible Tipo Expulsion de 6 A, Tipo K</v>
      </c>
      <c r="E114" s="1576"/>
      <c r="F114" s="1577"/>
      <c r="G114" s="1473" t="s">
        <v>18</v>
      </c>
      <c r="H114" s="1504">
        <f>+'SUMINISTRO LP'!H114</f>
        <v>3</v>
      </c>
      <c r="I114" s="1505">
        <v>0.12</v>
      </c>
      <c r="J114" s="1474">
        <f t="shared" si="21"/>
        <v>0.36</v>
      </c>
      <c r="K114" s="1743"/>
      <c r="L114" s="1743"/>
      <c r="M114" s="1451"/>
      <c r="N114" s="1444"/>
      <c r="O114" s="1450"/>
      <c r="P114" s="1580"/>
      <c r="Q114" s="1581"/>
      <c r="S114" s="1582"/>
      <c r="T114" s="1452"/>
    </row>
    <row r="115" spans="2:20" ht="16.5">
      <c r="B115" s="1578">
        <f t="shared" si="20"/>
        <v>13.04</v>
      </c>
      <c r="C115" s="1491"/>
      <c r="D115" s="1576" t="str">
        <f>+'SUMINISTRO LP'!D115</f>
        <v>Pararrayos de Oxido Metalico, 21 kV, 10 KA Clase 1</v>
      </c>
      <c r="E115" s="1576"/>
      <c r="F115" s="1577"/>
      <c r="G115" s="1473" t="s">
        <v>18</v>
      </c>
      <c r="H115" s="1504">
        <f>+'SUMINISTRO LP'!H115</f>
        <v>15</v>
      </c>
      <c r="I115" s="1505">
        <v>3.18</v>
      </c>
      <c r="J115" s="1474">
        <f t="shared" si="21"/>
        <v>47.7</v>
      </c>
      <c r="K115" s="1743"/>
      <c r="L115" s="1743"/>
      <c r="M115" s="1451"/>
      <c r="N115" s="1444"/>
      <c r="O115" s="1450"/>
      <c r="P115" s="1580"/>
      <c r="Q115" s="1581"/>
      <c r="S115" s="1582"/>
      <c r="T115" s="1452"/>
    </row>
    <row r="116" spans="2:20" ht="16.5">
      <c r="B116" s="1477"/>
      <c r="C116" s="1491"/>
      <c r="D116" s="1576"/>
      <c r="E116" s="1576"/>
      <c r="F116" s="1583" t="str">
        <f>+"SUB-TOTAL   "&amp;B111&amp;":  "</f>
        <v xml:space="preserve">SUB-TOTAL   13:  </v>
      </c>
      <c r="G116" s="1475"/>
      <c r="H116" s="1506"/>
      <c r="I116" s="1506"/>
      <c r="J116" s="1476">
        <f>+SUM(J112:J115)</f>
        <v>176.55</v>
      </c>
      <c r="K116" s="1743"/>
      <c r="L116" s="1743"/>
      <c r="M116" s="1451"/>
      <c r="N116" s="1444"/>
      <c r="O116" s="1450"/>
      <c r="P116" s="1580"/>
      <c r="T116" s="1452"/>
    </row>
    <row r="117" spans="2:20" ht="16.5">
      <c r="B117" s="1574">
        <f>1+B111</f>
        <v>14</v>
      </c>
      <c r="C117" s="1491"/>
      <c r="D117" s="1584" t="s">
        <v>573</v>
      </c>
      <c r="E117" s="1576"/>
      <c r="F117" s="1577"/>
      <c r="G117" s="1473"/>
      <c r="H117" s="1504"/>
      <c r="I117" s="1504"/>
      <c r="J117" s="1474"/>
      <c r="K117" s="1743"/>
      <c r="L117" s="1743"/>
      <c r="M117" s="1451"/>
      <c r="N117" s="1444"/>
      <c r="O117" s="1450"/>
      <c r="P117" s="1580"/>
      <c r="T117" s="1452"/>
    </row>
    <row r="118" spans="2:20" ht="16.5">
      <c r="B118" s="1578">
        <f t="shared" ref="B118:B127" si="22">+B117+0.01</f>
        <v>14.01</v>
      </c>
      <c r="C118" s="1491"/>
      <c r="D118" s="1576" t="str">
        <f>+'SUMINISTRO LP'!D118</f>
        <v>Abrazadera AºGº 36MMD.P.N2XSY</v>
      </c>
      <c r="E118" s="1576"/>
      <c r="F118" s="1577"/>
      <c r="G118" s="1473" t="str">
        <f>+'SUMINISTRO LP'!G118</f>
        <v>u</v>
      </c>
      <c r="H118" s="1504">
        <f>+'SUMINISTRO LP'!H118</f>
        <v>24</v>
      </c>
      <c r="I118" s="1505">
        <v>0.64</v>
      </c>
      <c r="J118" s="1474">
        <f t="shared" ref="J118:J127" si="23">+ROUND(I118*H118,2)</f>
        <v>15.36</v>
      </c>
      <c r="K118" s="1743"/>
      <c r="L118" s="1743"/>
      <c r="M118" s="1451"/>
      <c r="N118" s="1444"/>
      <c r="O118" s="1450"/>
      <c r="P118" s="1580"/>
      <c r="Q118" s="1581"/>
      <c r="S118" s="1582"/>
      <c r="T118" s="1452"/>
    </row>
    <row r="119" spans="2:20" ht="16.5">
      <c r="B119" s="1578">
        <f t="shared" si="22"/>
        <v>14.02</v>
      </c>
      <c r="C119" s="1491"/>
      <c r="D119" s="1576" t="str">
        <f>+'SUMINISTRO LP'!D119</f>
        <v>Terminacion Autocontraible N2XSY 8,7/15kV 1x50 mm2. Exterior</v>
      </c>
      <c r="E119" s="1576"/>
      <c r="F119" s="1577"/>
      <c r="G119" s="1473" t="str">
        <f>+'SUMINISTRO LP'!G119</f>
        <v>u</v>
      </c>
      <c r="H119" s="1504">
        <f>+'SUMINISTRO LP'!H119</f>
        <v>30</v>
      </c>
      <c r="I119" s="1505">
        <v>4.03</v>
      </c>
      <c r="J119" s="1474">
        <f t="shared" si="23"/>
        <v>120.9</v>
      </c>
      <c r="K119" s="1743"/>
      <c r="L119" s="1743"/>
      <c r="M119" s="1451"/>
      <c r="N119" s="1444"/>
      <c r="O119" s="1450"/>
      <c r="P119" s="1580"/>
      <c r="Q119" s="1581"/>
      <c r="S119" s="1582"/>
      <c r="T119" s="1452"/>
    </row>
    <row r="120" spans="2:20" ht="16.5">
      <c r="B120" s="1578">
        <f t="shared" si="22"/>
        <v>14.03</v>
      </c>
      <c r="C120" s="1491"/>
      <c r="D120" s="1576" t="str">
        <f>+'SUMINISTRO LP'!D120</f>
        <v>Cable de Energía N2XSY 1x50 mm2  8,7/15kV</v>
      </c>
      <c r="E120" s="1576"/>
      <c r="F120" s="1577"/>
      <c r="G120" s="1473" t="str">
        <f>+'SUMINISTRO LP'!G120</f>
        <v>m</v>
      </c>
      <c r="H120" s="1504">
        <f>+'SUMINISTRO LP'!H120</f>
        <v>673.12</v>
      </c>
      <c r="I120" s="1505">
        <v>4.5599999999999996</v>
      </c>
      <c r="J120" s="1474">
        <f t="shared" si="23"/>
        <v>3069.43</v>
      </c>
      <c r="K120" s="1743"/>
      <c r="L120" s="1743"/>
      <c r="M120" s="1451"/>
      <c r="N120" s="1444"/>
      <c r="O120" s="1450"/>
      <c r="P120" s="1580"/>
      <c r="Q120" s="1581"/>
      <c r="S120" s="1582"/>
      <c r="T120" s="1452"/>
    </row>
    <row r="121" spans="2:20" ht="16.5">
      <c r="B121" s="1578">
        <f t="shared" si="22"/>
        <v>14.04</v>
      </c>
      <c r="C121" s="1491"/>
      <c r="D121" s="1576" t="str">
        <f>+'SUMINISTRO LP'!D121</f>
        <v>Tubo PVC-SAP 4" ø y Codo 90° de 4" ø</v>
      </c>
      <c r="E121" s="1576"/>
      <c r="F121" s="1577"/>
      <c r="G121" s="1473" t="str">
        <f>+'SUMINISTRO LP'!G121</f>
        <v>u</v>
      </c>
      <c r="H121" s="1504">
        <f>+'SUMINISTRO LP'!H121</f>
        <v>12</v>
      </c>
      <c r="I121" s="1505">
        <v>1.8</v>
      </c>
      <c r="J121" s="1474">
        <f t="shared" si="23"/>
        <v>21.6</v>
      </c>
      <c r="K121" s="1743"/>
      <c r="L121" s="1743"/>
      <c r="M121" s="1451"/>
      <c r="N121" s="1444"/>
      <c r="O121" s="1450"/>
      <c r="P121" s="1580"/>
      <c r="Q121" s="1581"/>
      <c r="S121" s="1582"/>
      <c r="T121" s="1452"/>
    </row>
    <row r="122" spans="2:20" ht="16.5">
      <c r="B122" s="1578">
        <f t="shared" si="22"/>
        <v>14.049999999999999</v>
      </c>
      <c r="C122" s="1491"/>
      <c r="D122" s="1576" t="str">
        <f>+'SUMINISTRO LP'!D122</f>
        <v>Arandela de presion de A°G° de 9.5 mm ø</v>
      </c>
      <c r="E122" s="1576"/>
      <c r="F122" s="1577"/>
      <c r="G122" s="1473" t="str">
        <f>+'SUMINISTRO LP'!G122</f>
        <v>u</v>
      </c>
      <c r="H122" s="1504">
        <f>+'SUMINISTRO LP'!H122</f>
        <v>25</v>
      </c>
      <c r="I122" s="1505">
        <v>0.26</v>
      </c>
      <c r="J122" s="1474">
        <f t="shared" si="23"/>
        <v>6.5</v>
      </c>
      <c r="K122" s="1743"/>
      <c r="L122" s="1743"/>
      <c r="M122" s="1451"/>
      <c r="N122" s="1444"/>
      <c r="O122" s="1450"/>
      <c r="P122" s="1580"/>
      <c r="Q122" s="1581"/>
      <c r="S122" s="1582"/>
      <c r="T122" s="1452"/>
    </row>
    <row r="123" spans="2:20" ht="16.5">
      <c r="B123" s="1578">
        <f t="shared" si="22"/>
        <v>14.059999999999999</v>
      </c>
      <c r="C123" s="1491"/>
      <c r="D123" s="1576" t="str">
        <f>+'SUMINISTRO LP'!D123</f>
        <v>Perno A°G°, ø 9.5mm x 38 mm LONG</v>
      </c>
      <c r="E123" s="1576"/>
      <c r="F123" s="1577"/>
      <c r="G123" s="1473" t="str">
        <f>+'SUMINISTRO LP'!G123</f>
        <v>u</v>
      </c>
      <c r="H123" s="1504">
        <f>+'SUMINISTRO LP'!H123</f>
        <v>23</v>
      </c>
      <c r="I123" s="1505">
        <v>0.32</v>
      </c>
      <c r="J123" s="1474">
        <f t="shared" si="23"/>
        <v>7.36</v>
      </c>
      <c r="K123" s="1743"/>
      <c r="L123" s="1743"/>
      <c r="M123" s="1451"/>
      <c r="N123" s="1444"/>
      <c r="O123" s="1450"/>
      <c r="P123" s="1580"/>
      <c r="Q123" s="1581"/>
      <c r="S123" s="1582"/>
      <c r="T123" s="1452"/>
    </row>
    <row r="124" spans="2:20" ht="16.5">
      <c r="B124" s="1578">
        <f t="shared" si="22"/>
        <v>14.069999999999999</v>
      </c>
      <c r="C124" s="1491"/>
      <c r="D124" s="1576" t="str">
        <f>+'SUMINISTRO LP'!D124</f>
        <v>Terminal de compresion bimetalico</v>
      </c>
      <c r="E124" s="1576"/>
      <c r="F124" s="1577"/>
      <c r="G124" s="1473" t="str">
        <f>+'SUMINISTRO LP'!G124</f>
        <v>u</v>
      </c>
      <c r="H124" s="1504">
        <f>+'SUMINISTRO LP'!H124</f>
        <v>32</v>
      </c>
      <c r="I124" s="1505">
        <v>0.64</v>
      </c>
      <c r="J124" s="1474">
        <f t="shared" si="23"/>
        <v>20.48</v>
      </c>
      <c r="K124" s="1743"/>
      <c r="L124" s="1743"/>
      <c r="M124" s="1451"/>
      <c r="N124" s="1444"/>
      <c r="O124" s="1450"/>
      <c r="P124" s="1580"/>
      <c r="Q124" s="1581"/>
      <c r="S124" s="1582"/>
      <c r="T124" s="1452"/>
    </row>
    <row r="125" spans="2:20" ht="16.5">
      <c r="B125" s="1578">
        <f t="shared" si="22"/>
        <v>14.079999999999998</v>
      </c>
      <c r="C125" s="1491"/>
      <c r="D125" s="1576" t="str">
        <f>+'SUMINISTRO LP'!D125</f>
        <v>Fleje de acero inoxidable 19mm, espesor 0.8mm, provisto de Hebilla</v>
      </c>
      <c r="E125" s="1576"/>
      <c r="F125" s="1577"/>
      <c r="G125" s="1473" t="str">
        <f>+'SUMINISTRO LP'!G125</f>
        <v>m</v>
      </c>
      <c r="H125" s="1504">
        <f>+'SUMINISTRO LP'!H125</f>
        <v>53</v>
      </c>
      <c r="I125" s="1601">
        <v>0.16</v>
      </c>
      <c r="J125" s="1474">
        <f t="shared" si="23"/>
        <v>8.48</v>
      </c>
      <c r="K125" s="1743"/>
      <c r="L125" s="1743"/>
      <c r="M125" s="1451"/>
      <c r="N125" s="1444"/>
      <c r="O125" s="1450"/>
      <c r="P125" s="1580"/>
      <c r="Q125" s="1581"/>
      <c r="S125" s="1582"/>
      <c r="T125" s="1452"/>
    </row>
    <row r="126" spans="2:20" ht="16.5">
      <c r="B126" s="1578">
        <f t="shared" si="22"/>
        <v>14.089999999999998</v>
      </c>
      <c r="C126" s="1491"/>
      <c r="D126" s="1576" t="str">
        <f>+'SUMINISTRO LP'!D126</f>
        <v>Perfil "U" de A° G° de 150 x 75 x 4.5 mm y 3.00m de Longitud</v>
      </c>
      <c r="E126" s="1576"/>
      <c r="F126" s="1577"/>
      <c r="G126" s="1473" t="str">
        <f>+'SUMINISTRO LP'!G126</f>
        <v>u</v>
      </c>
      <c r="H126" s="1504">
        <f>+'SUMINISTRO LP'!H126</f>
        <v>10</v>
      </c>
      <c r="I126" s="1505">
        <v>21.16</v>
      </c>
      <c r="J126" s="1474">
        <f t="shared" si="23"/>
        <v>211.6</v>
      </c>
      <c r="K126" s="1743"/>
      <c r="L126" s="1743"/>
      <c r="M126" s="1451"/>
      <c r="N126" s="1444"/>
      <c r="O126" s="1450"/>
      <c r="P126" s="1580"/>
      <c r="Q126" s="1581"/>
      <c r="S126" s="1582"/>
      <c r="T126" s="1452"/>
    </row>
    <row r="127" spans="2:20" ht="16.5">
      <c r="B127" s="1578">
        <f t="shared" si="22"/>
        <v>14.099999999999998</v>
      </c>
      <c r="C127" s="1491"/>
      <c r="D127" s="1576" t="str">
        <f>+'SUMINISTRO LP'!D127</f>
        <v>Ductos de concretos de 2 Vias</v>
      </c>
      <c r="E127" s="1576"/>
      <c r="F127" s="1577"/>
      <c r="G127" s="1473" t="str">
        <f>+'SUMINISTRO LP'!G127</f>
        <v>u</v>
      </c>
      <c r="H127" s="1504">
        <f>+'SUMINISTRO LP'!H127</f>
        <v>60</v>
      </c>
      <c r="I127" s="1505">
        <v>6.62</v>
      </c>
      <c r="J127" s="1474">
        <f t="shared" si="23"/>
        <v>397.2</v>
      </c>
      <c r="K127" s="1743"/>
      <c r="L127" s="1743"/>
      <c r="M127" s="1451"/>
      <c r="N127" s="1444"/>
      <c r="O127" s="1450"/>
      <c r="P127" s="1580"/>
      <c r="Q127" s="1581"/>
      <c r="S127" s="1582"/>
      <c r="T127" s="1452"/>
    </row>
    <row r="128" spans="2:20" ht="16.5">
      <c r="B128" s="1477"/>
      <c r="C128" s="1491"/>
      <c r="F128" s="1492" t="str">
        <f>+"SUB-TOTAL   "&amp;B117&amp;":  "</f>
        <v xml:space="preserve">SUB-TOTAL   14:  </v>
      </c>
      <c r="G128" s="1475"/>
      <c r="H128" s="1506"/>
      <c r="I128" s="1506"/>
      <c r="J128" s="1476">
        <f>+SUM(J118:J127)</f>
        <v>3878.9099999999994</v>
      </c>
      <c r="K128" s="1744"/>
      <c r="L128" s="1744"/>
      <c r="M128" s="1446"/>
      <c r="N128" s="1444"/>
      <c r="O128" s="1450"/>
      <c r="P128" s="1580"/>
      <c r="Q128" s="1448"/>
      <c r="T128" s="1452"/>
    </row>
    <row r="129" spans="2:20" ht="16.5" hidden="1">
      <c r="B129" s="1588"/>
      <c r="C129" s="1589"/>
      <c r="D129" s="1593"/>
      <c r="E129" s="1593"/>
      <c r="F129" s="1494"/>
      <c r="G129" s="1594"/>
      <c r="H129" s="1603"/>
      <c r="I129" s="1604"/>
      <c r="J129" s="1595"/>
      <c r="K129" s="1743"/>
      <c r="L129" s="1743"/>
      <c r="M129" s="1451"/>
      <c r="T129" s="1452"/>
    </row>
    <row r="130" spans="2:20" ht="16.5">
      <c r="B130" s="1449"/>
      <c r="C130" s="1495"/>
      <c r="D130" s="1599" t="s">
        <v>374</v>
      </c>
      <c r="E130" s="1449"/>
      <c r="F130" s="1495"/>
      <c r="G130" s="1498"/>
      <c r="H130" s="1597"/>
      <c r="I130" s="1598"/>
      <c r="J130" s="1592">
        <f>+ROUND(SUM(J11:J129)/2,2)</f>
        <v>60052.800000000003</v>
      </c>
      <c r="K130" s="1743"/>
      <c r="L130" s="1743"/>
      <c r="M130" s="1451"/>
      <c r="P130" s="1446"/>
      <c r="Q130" s="1596"/>
      <c r="T130" s="1452"/>
    </row>
    <row r="131" spans="2:20" ht="14.25">
      <c r="B131" s="521"/>
      <c r="C131" s="522"/>
      <c r="D131" s="522"/>
    </row>
    <row r="132" spans="2:20" ht="14.25">
      <c r="B132" s="522"/>
      <c r="C132" s="522"/>
      <c r="D132" s="522"/>
      <c r="I132" s="1745"/>
      <c r="J132" s="1746">
        <f>+J128+J116+J110+J99+J84+J62+J59+J44+J40+J36+J30+J25+J22+J16</f>
        <v>60052.799999999996</v>
      </c>
    </row>
    <row r="133" spans="2:20">
      <c r="I133" s="1745" t="b">
        <f>SUM(H11:H127)=SUM('SUMINISTRO LP'!H11:H127)</f>
        <v>1</v>
      </c>
      <c r="J133" s="1738" t="b">
        <f>J132=J130</f>
        <v>1</v>
      </c>
    </row>
    <row r="134" spans="2:20">
      <c r="J134" s="1420"/>
    </row>
    <row r="135" spans="2:20">
      <c r="J135" s="1418"/>
    </row>
  </sheetData>
  <mergeCells count="1">
    <mergeCell ref="C7:F7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5" orientation="portrait" verticalDpi="1200" r:id="rId1"/>
  <rowBreaks count="2" manualBreakCount="2">
    <brk id="59" min="1" max="9" man="1"/>
    <brk id="110" min="1" max="9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N47"/>
  <sheetViews>
    <sheetView workbookViewId="0"/>
  </sheetViews>
  <sheetFormatPr baseColWidth="10" defaultColWidth="9.33203125" defaultRowHeight="12.75"/>
  <sheetData>
    <row r="2" spans="2:14">
      <c r="B2" s="536"/>
      <c r="C2" s="537"/>
      <c r="D2" s="537"/>
      <c r="E2" s="537"/>
      <c r="F2" s="537"/>
      <c r="G2" s="537"/>
      <c r="H2" s="537"/>
      <c r="I2" s="537"/>
      <c r="J2" s="538"/>
    </row>
    <row r="3" spans="2:14" ht="26.25">
      <c r="B3" s="488" t="s">
        <v>194</v>
      </c>
      <c r="C3" s="489"/>
      <c r="D3" s="489"/>
      <c r="E3" s="489"/>
      <c r="F3" s="489"/>
      <c r="G3" s="489"/>
      <c r="H3" s="489"/>
      <c r="I3" s="489"/>
      <c r="J3" s="490"/>
    </row>
    <row r="4" spans="2:14" ht="20.25">
      <c r="B4" s="491"/>
      <c r="C4" s="492"/>
      <c r="D4" s="492"/>
      <c r="E4" s="492"/>
      <c r="F4" s="492"/>
      <c r="G4" s="492"/>
      <c r="H4" s="492"/>
      <c r="I4" s="492"/>
      <c r="J4" s="493"/>
    </row>
    <row r="5" spans="2:14">
      <c r="B5" s="539"/>
      <c r="J5" s="540"/>
    </row>
    <row r="6" spans="2:14" ht="18">
      <c r="B6" s="539"/>
      <c r="C6" s="319" t="s">
        <v>123</v>
      </c>
      <c r="D6" s="330"/>
      <c r="E6" s="330"/>
      <c r="F6" s="330"/>
      <c r="G6" s="330"/>
      <c r="H6" s="330"/>
      <c r="I6" s="330"/>
      <c r="J6" s="331"/>
    </row>
    <row r="7" spans="2:14" ht="409.5">
      <c r="B7" s="539"/>
      <c r="C7" s="1877" t="s">
        <v>546</v>
      </c>
      <c r="D7" s="1877"/>
      <c r="E7" s="1877"/>
      <c r="F7" s="1877"/>
      <c r="G7" s="1877"/>
      <c r="H7" s="1877"/>
      <c r="I7" s="1877"/>
      <c r="J7" s="1878"/>
    </row>
    <row r="8" spans="2:14" ht="20.25">
      <c r="B8" s="539"/>
      <c r="C8" s="332"/>
      <c r="J8" s="540"/>
    </row>
    <row r="9" spans="2:14" ht="18">
      <c r="B9" s="539"/>
      <c r="C9" s="333" t="s">
        <v>13</v>
      </c>
      <c r="J9" s="540"/>
    </row>
    <row r="10" spans="2:14" ht="18">
      <c r="B10" s="539"/>
      <c r="C10" s="333" t="s">
        <v>1005</v>
      </c>
      <c r="D10" s="334" t="e">
        <f>+'RESUMEN LP'!F20</f>
        <v>#REF!</v>
      </c>
      <c r="G10" s="541"/>
      <c r="H10" s="541"/>
      <c r="J10" s="335"/>
      <c r="K10" s="1799" t="e">
        <f>D10=SUM(G13:G27)</f>
        <v>#REF!</v>
      </c>
      <c r="L10" s="1799" t="e">
        <f>D10='RESUMEN LP'!F20</f>
        <v>#REF!</v>
      </c>
      <c r="M10" s="1801"/>
    </row>
    <row r="11" spans="2:14">
      <c r="B11" s="539"/>
      <c r="J11" s="540"/>
    </row>
    <row r="12" spans="2:14" ht="60">
      <c r="B12" s="494" t="s">
        <v>195</v>
      </c>
      <c r="C12" s="495" t="s">
        <v>24</v>
      </c>
      <c r="D12" s="496" t="s">
        <v>25</v>
      </c>
      <c r="E12" s="495" t="s">
        <v>26</v>
      </c>
      <c r="F12" s="498" t="s">
        <v>387</v>
      </c>
      <c r="G12" s="495" t="s">
        <v>27</v>
      </c>
      <c r="H12" s="495" t="s">
        <v>28</v>
      </c>
      <c r="I12" s="495" t="s">
        <v>29</v>
      </c>
      <c r="J12" s="497" t="s">
        <v>30</v>
      </c>
    </row>
    <row r="13" spans="2:14" ht="15.75">
      <c r="B13" s="339">
        <v>1</v>
      </c>
      <c r="C13" s="378" t="s">
        <v>327</v>
      </c>
      <c r="D13" s="1675" t="s">
        <v>975</v>
      </c>
      <c r="E13" s="379" t="s">
        <v>368</v>
      </c>
      <c r="F13" s="1879" t="s">
        <v>480</v>
      </c>
      <c r="G13" s="1689">
        <f>+'SUMINISTRO LP'!J25</f>
        <v>15330.51</v>
      </c>
      <c r="H13" s="499" t="e">
        <f>ROUND(G13/$D$10,3)</f>
        <v>#REF!</v>
      </c>
      <c r="I13" s="1670">
        <f>ROUND(G13/SUM($G$13:$G$16),4)</f>
        <v>6.4600000000000005E-2</v>
      </c>
      <c r="J13" s="348" t="e">
        <f>ROUND(SUM(H13:H16),3)</f>
        <v>#REF!</v>
      </c>
      <c r="K13" s="342"/>
      <c r="L13" s="543"/>
      <c r="M13" s="344"/>
      <c r="N13" s="338"/>
    </row>
    <row r="14" spans="2:14" ht="15.75">
      <c r="B14" s="339"/>
      <c r="C14" s="378" t="s">
        <v>973</v>
      </c>
      <c r="D14" s="1675" t="s">
        <v>483</v>
      </c>
      <c r="E14" s="379" t="s">
        <v>974</v>
      </c>
      <c r="F14" s="341"/>
      <c r="G14" s="1689">
        <f>+'SUMINISTRO LP'!J16</f>
        <v>1962.15</v>
      </c>
      <c r="H14" s="499" t="e">
        <f t="shared" ref="H14:H15" si="0">ROUND(G14/$D$10,3)</f>
        <v>#REF!</v>
      </c>
      <c r="I14" s="1671">
        <f>ROUND(G14/SUM($G$13:$G$16),4)</f>
        <v>8.3000000000000001E-3</v>
      </c>
      <c r="J14" s="343"/>
      <c r="K14" s="342"/>
      <c r="L14" s="543"/>
      <c r="M14" s="344"/>
      <c r="N14" s="338"/>
    </row>
    <row r="15" spans="2:14" ht="15.75">
      <c r="B15" s="339"/>
      <c r="C15" s="378" t="s">
        <v>972</v>
      </c>
      <c r="D15" s="1675" t="s">
        <v>976</v>
      </c>
      <c r="E15" s="379" t="s">
        <v>480</v>
      </c>
      <c r="F15" s="341"/>
      <c r="G15" s="1689">
        <f>+'SUMINISTRO LP'!J22</f>
        <v>184803.16999999998</v>
      </c>
      <c r="H15" s="499" t="e">
        <f t="shared" si="0"/>
        <v>#REF!</v>
      </c>
      <c r="I15" s="1671">
        <f>ROUND(G15/SUM($G$13:$G$16),4)</f>
        <v>0.77869999999999995</v>
      </c>
      <c r="J15" s="343"/>
      <c r="K15" s="342"/>
      <c r="L15" s="543"/>
      <c r="M15" s="344"/>
      <c r="N15" s="338"/>
    </row>
    <row r="16" spans="2:14" ht="15.75">
      <c r="B16" s="339"/>
      <c r="C16" s="340" t="s">
        <v>553</v>
      </c>
      <c r="D16" s="1675" t="s">
        <v>976</v>
      </c>
      <c r="E16" s="341" t="s">
        <v>481</v>
      </c>
      <c r="F16" s="341"/>
      <c r="G16" s="1689">
        <f>+'SUMINISTRO LP'!J30</f>
        <v>35231.26</v>
      </c>
      <c r="H16" s="501" t="e">
        <f>ROUND(G16/$D$10,3)</f>
        <v>#REF!</v>
      </c>
      <c r="I16" s="1672">
        <f>ROUND(G16/SUM($G$13:$G$16),4)</f>
        <v>0.14849999999999999</v>
      </c>
      <c r="J16" s="350"/>
      <c r="K16" s="342"/>
      <c r="L16" s="543"/>
      <c r="M16" s="344"/>
      <c r="N16" s="338"/>
    </row>
    <row r="17" spans="2:14" ht="15.75">
      <c r="B17" s="345">
        <v>2</v>
      </c>
      <c r="C17" s="346" t="s">
        <v>31</v>
      </c>
      <c r="D17" s="1676" t="s">
        <v>488</v>
      </c>
      <c r="E17" s="347" t="s">
        <v>267</v>
      </c>
      <c r="F17" s="347" t="s">
        <v>267</v>
      </c>
      <c r="G17" s="1690">
        <f>+'SUMINISTRO LP'!J44+'SUMINISTRO LP'!J59</f>
        <v>138631.38</v>
      </c>
      <c r="H17" s="499" t="e">
        <f t="shared" ref="H17:H18" si="1">ROUND(G17/$D$10,3)</f>
        <v>#REF!</v>
      </c>
      <c r="I17" s="1671">
        <f>ROUND(G17/SUM($G$17:$G$18),4)</f>
        <v>0.93430000000000002</v>
      </c>
      <c r="J17" s="343" t="e">
        <f>ROUND(SUM(H17:H18),3)</f>
        <v>#REF!</v>
      </c>
      <c r="K17" s="342"/>
      <c r="L17" s="543"/>
      <c r="M17" s="344"/>
      <c r="N17" s="338"/>
    </row>
    <row r="18" spans="2:14" ht="15">
      <c r="B18" s="351"/>
      <c r="C18" s="352" t="s">
        <v>32</v>
      </c>
      <c r="D18" s="592" t="s">
        <v>486</v>
      </c>
      <c r="E18" s="353" t="s">
        <v>209</v>
      </c>
      <c r="F18" s="353"/>
      <c r="G18" s="1691">
        <f>+'SUMINISTRO LP'!J116</f>
        <v>9748.3799999999992</v>
      </c>
      <c r="H18" s="501" t="e">
        <f t="shared" si="1"/>
        <v>#REF!</v>
      </c>
      <c r="I18" s="1671">
        <f>ROUND(G18/SUM($G$17:$G$18),4)</f>
        <v>6.5699999999999995E-2</v>
      </c>
      <c r="J18" s="593"/>
      <c r="K18" s="342"/>
      <c r="L18" s="543"/>
    </row>
    <row r="19" spans="2:14" ht="15">
      <c r="B19" s="345">
        <v>3</v>
      </c>
      <c r="C19" s="346" t="s">
        <v>1</v>
      </c>
      <c r="D19" s="1679" t="s">
        <v>486</v>
      </c>
      <c r="E19" s="347" t="s">
        <v>210</v>
      </c>
      <c r="F19" s="391" t="s">
        <v>210</v>
      </c>
      <c r="G19" s="1692">
        <f>+'SUMINISTRO LP'!J36+'SUMINISTRO LP'!J40</f>
        <v>95255.84</v>
      </c>
      <c r="H19" s="500" t="e">
        <f t="shared" ref="H19:H24" si="2">ROUND(G19/$D$10,3)</f>
        <v>#REF!</v>
      </c>
      <c r="I19" s="1670">
        <f t="shared" ref="I19:I24" si="3">ROUND(G19/SUM($G$19:$G$24),4)</f>
        <v>0.3926</v>
      </c>
      <c r="J19" s="348" t="e">
        <f>ROUND(SUM(H19:H24),3)</f>
        <v>#REF!</v>
      </c>
      <c r="K19" s="342"/>
    </row>
    <row r="20" spans="2:14" ht="15">
      <c r="B20" s="339"/>
      <c r="C20" s="340" t="s">
        <v>277</v>
      </c>
      <c r="D20" s="1680" t="s">
        <v>484</v>
      </c>
      <c r="E20" s="341" t="s">
        <v>34</v>
      </c>
      <c r="F20" s="379"/>
      <c r="G20" s="1689">
        <f>+'SUMINISTRO LP'!J99</f>
        <v>27911.090000000004</v>
      </c>
      <c r="H20" s="499" t="e">
        <f>ROUND(G20/$D$10,3)</f>
        <v>#REF!</v>
      </c>
      <c r="I20" s="1671">
        <f t="shared" si="3"/>
        <v>0.115</v>
      </c>
      <c r="J20" s="349"/>
      <c r="K20" s="342"/>
      <c r="L20" s="544"/>
    </row>
    <row r="21" spans="2:14" ht="15">
      <c r="B21" s="339"/>
      <c r="C21" s="340" t="s">
        <v>33</v>
      </c>
      <c r="D21" s="1680" t="s">
        <v>484</v>
      </c>
      <c r="E21" s="341" t="s">
        <v>271</v>
      </c>
      <c r="F21" s="379"/>
      <c r="G21" s="1689">
        <f>+'SUMINISTRO LP'!J84</f>
        <v>13536.759999999997</v>
      </c>
      <c r="H21" s="499" t="e">
        <f>ROUND(G21/$D$10,3)</f>
        <v>#REF!</v>
      </c>
      <c r="I21" s="1671">
        <f t="shared" si="3"/>
        <v>5.5800000000000002E-2</v>
      </c>
      <c r="J21" s="349"/>
      <c r="K21" s="342"/>
      <c r="L21" s="544"/>
    </row>
    <row r="22" spans="2:14" ht="15">
      <c r="B22" s="339"/>
      <c r="C22" s="340" t="s">
        <v>17</v>
      </c>
      <c r="D22" s="1680" t="s">
        <v>485</v>
      </c>
      <c r="E22" s="341" t="s">
        <v>266</v>
      </c>
      <c r="F22" s="379"/>
      <c r="G22" s="1689">
        <f>+'SUMINISTRO LP'!J62</f>
        <v>37582.080000000002</v>
      </c>
      <c r="H22" s="499" t="e">
        <f t="shared" si="2"/>
        <v>#REF!</v>
      </c>
      <c r="I22" s="1671">
        <f>ROUND(G22/SUM($G$19:$G$24),4)</f>
        <v>0.15490000000000001</v>
      </c>
      <c r="J22" s="349"/>
      <c r="K22" s="342"/>
      <c r="L22" s="544"/>
    </row>
    <row r="23" spans="2:14" ht="15">
      <c r="B23" s="339"/>
      <c r="C23" s="340" t="s">
        <v>278</v>
      </c>
      <c r="D23" s="1680" t="s">
        <v>485</v>
      </c>
      <c r="E23" s="341" t="s">
        <v>39</v>
      </c>
      <c r="F23" s="379"/>
      <c r="G23" s="1689">
        <f>+'SUMINISTRO LP'!J110</f>
        <v>11193.660000000002</v>
      </c>
      <c r="H23" s="499" t="e">
        <f t="shared" ref="H23" si="4">ROUND(G23/$D$10,3)</f>
        <v>#REF!</v>
      </c>
      <c r="I23" s="1671">
        <f t="shared" si="3"/>
        <v>4.6100000000000002E-2</v>
      </c>
      <c r="J23" s="343"/>
      <c r="K23" s="342"/>
      <c r="L23" s="544"/>
    </row>
    <row r="24" spans="2:14" ht="15">
      <c r="B24" s="339"/>
      <c r="C24" s="340" t="s">
        <v>573</v>
      </c>
      <c r="D24" s="1681" t="s">
        <v>485</v>
      </c>
      <c r="E24" s="341" t="s">
        <v>856</v>
      </c>
      <c r="F24" s="385"/>
      <c r="G24" s="1689">
        <f>+'SUMINISTRO LP'!J128</f>
        <v>57138.979999999996</v>
      </c>
      <c r="H24" s="501" t="e">
        <f t="shared" si="2"/>
        <v>#REF!</v>
      </c>
      <c r="I24" s="1672">
        <f t="shared" si="3"/>
        <v>0.23549999999999999</v>
      </c>
      <c r="J24" s="350"/>
      <c r="K24" s="342"/>
      <c r="L24" s="543"/>
    </row>
    <row r="25" spans="2:14" ht="15">
      <c r="B25" s="345">
        <v>4</v>
      </c>
      <c r="C25" s="346" t="s">
        <v>203</v>
      </c>
      <c r="D25" s="1676" t="s">
        <v>490</v>
      </c>
      <c r="E25" s="347" t="s">
        <v>268</v>
      </c>
      <c r="F25" s="391" t="s">
        <v>268</v>
      </c>
      <c r="G25" s="1690">
        <f>+'MONTAJE LP'!J130</f>
        <v>461491.17</v>
      </c>
      <c r="H25" s="499" t="e">
        <f>ROUND(G25/$D$10,3)</f>
        <v>#REF!</v>
      </c>
      <c r="I25" s="1671">
        <f>ROUND(G25/($G$25+$G$26),4)</f>
        <v>0.88490000000000002</v>
      </c>
      <c r="J25" s="348" t="e">
        <f>ROUND(SUM(H25:H26),3)</f>
        <v>#REF!</v>
      </c>
      <c r="K25" s="342"/>
      <c r="L25" s="545"/>
    </row>
    <row r="26" spans="2:14" ht="15">
      <c r="B26" s="351"/>
      <c r="C26" s="352" t="s">
        <v>40</v>
      </c>
      <c r="D26" s="1677" t="s">
        <v>491</v>
      </c>
      <c r="E26" s="353" t="s">
        <v>269</v>
      </c>
      <c r="F26" s="385"/>
      <c r="G26" s="1691">
        <f>+TRANS_LP!J130</f>
        <v>60052.800000000003</v>
      </c>
      <c r="H26" s="501" t="e">
        <f>ROUND(G26/$D$10,3)</f>
        <v>#REF!</v>
      </c>
      <c r="I26" s="1672">
        <f>ROUND(G26/($G$25+$G$26),4)</f>
        <v>0.11509999999999999</v>
      </c>
      <c r="J26" s="350"/>
      <c r="K26" s="342"/>
    </row>
    <row r="27" spans="2:14" ht="15">
      <c r="B27" s="354">
        <v>5</v>
      </c>
      <c r="C27" s="355" t="s">
        <v>41</v>
      </c>
      <c r="D27" s="1678" t="s">
        <v>492</v>
      </c>
      <c r="E27" s="356" t="s">
        <v>270</v>
      </c>
      <c r="F27" s="356" t="s">
        <v>482</v>
      </c>
      <c r="G27" s="1693" t="e">
        <f>+'RESUMEN LP'!F17+'RESUMEN LP'!F18</f>
        <v>#REF!</v>
      </c>
      <c r="H27" s="502" t="e">
        <f>ROUND(G27/$D$10,3)</f>
        <v>#REF!</v>
      </c>
      <c r="I27" s="357" t="e">
        <f>+G27/G27</f>
        <v>#REF!</v>
      </c>
      <c r="J27" s="358" t="e">
        <f>ROUND(SUM(H27),3)</f>
        <v>#REF!</v>
      </c>
      <c r="K27" s="342"/>
      <c r="L27" s="546"/>
      <c r="M27" s="546"/>
    </row>
    <row r="28" spans="2:14" ht="15">
      <c r="B28" s="337"/>
      <c r="C28" s="336"/>
      <c r="D28" s="336"/>
      <c r="E28" s="336"/>
      <c r="F28" s="336"/>
      <c r="G28" s="359"/>
      <c r="H28" s="359"/>
      <c r="I28" s="336"/>
      <c r="J28" s="547"/>
      <c r="L28" s="1669"/>
    </row>
    <row r="29" spans="2:14" ht="18">
      <c r="B29" s="360" t="s">
        <v>42</v>
      </c>
      <c r="C29" s="372" t="e">
        <f>J13&amp;" PCr/PCo + "&amp;J17&amp;" DIr/DIo + "&amp;J19&amp;" AE2r/AE2o+ "&amp;J25&amp;" Jr/Jo + "&amp;J27&amp;" GUr/GUo"</f>
        <v>#REF!</v>
      </c>
      <c r="D29" s="366"/>
      <c r="E29" s="366"/>
      <c r="G29" s="541"/>
      <c r="H29" s="541"/>
      <c r="I29" s="548"/>
      <c r="J29" s="549"/>
    </row>
    <row r="30" spans="2:14">
      <c r="B30" s="550"/>
      <c r="C30" s="551"/>
      <c r="D30" s="551"/>
      <c r="E30" s="551"/>
      <c r="F30" s="551"/>
      <c r="G30" s="551"/>
      <c r="H30" s="551"/>
      <c r="I30" s="551"/>
      <c r="J30" s="552"/>
    </row>
    <row r="31" spans="2:14">
      <c r="B31" s="539"/>
      <c r="J31" s="540"/>
    </row>
    <row r="32" spans="2:14">
      <c r="B32" s="539" t="s">
        <v>43</v>
      </c>
      <c r="J32" s="540"/>
    </row>
    <row r="33" spans="2:10">
      <c r="B33" s="539"/>
      <c r="J33" s="540"/>
    </row>
    <row r="34" spans="2:10" ht="14.25">
      <c r="B34" s="361" t="s">
        <v>44</v>
      </c>
      <c r="C34" s="362" t="s">
        <v>22</v>
      </c>
      <c r="J34" s="540"/>
    </row>
    <row r="35" spans="2:10" ht="14.25">
      <c r="B35" s="361"/>
      <c r="C35" s="362" t="s">
        <v>23</v>
      </c>
      <c r="J35" s="540"/>
    </row>
    <row r="36" spans="2:10" ht="14.25">
      <c r="B36" s="361"/>
      <c r="C36" s="362" t="s">
        <v>196</v>
      </c>
      <c r="J36" s="540"/>
    </row>
    <row r="37" spans="2:10" ht="14.25">
      <c r="B37" s="361" t="s">
        <v>197</v>
      </c>
      <c r="C37" s="362" t="s">
        <v>198</v>
      </c>
      <c r="J37" s="540"/>
    </row>
    <row r="38" spans="2:10" ht="14.25">
      <c r="B38" s="361"/>
      <c r="C38" s="362" t="s">
        <v>199</v>
      </c>
      <c r="J38" s="540"/>
    </row>
    <row r="39" spans="2:10" ht="14.25">
      <c r="B39" s="363" t="s">
        <v>200</v>
      </c>
      <c r="C39" s="364" t="s">
        <v>201</v>
      </c>
      <c r="D39" s="551"/>
      <c r="E39" s="551"/>
      <c r="F39" s="551"/>
      <c r="G39" s="551"/>
      <c r="H39" s="551"/>
      <c r="I39" s="551"/>
      <c r="J39" s="552"/>
    </row>
    <row r="41" spans="2:10">
      <c r="G41" s="553"/>
      <c r="H41" s="564"/>
      <c r="I41" s="564"/>
      <c r="J41" s="564"/>
    </row>
    <row r="42" spans="2:10">
      <c r="G42" s="554"/>
    </row>
    <row r="43" spans="2:10">
      <c r="G43" s="542"/>
    </row>
    <row r="44" spans="2:10">
      <c r="G44" s="554"/>
    </row>
    <row r="45" spans="2:10">
      <c r="G45" s="554"/>
      <c r="H45" s="580"/>
      <c r="I45" s="580"/>
      <c r="J45" s="580"/>
    </row>
    <row r="46" spans="2:10">
      <c r="H46" s="1802" t="e">
        <f>+IF(SUM(H13:H27)=1,"OK","X")</f>
        <v>#REF!</v>
      </c>
      <c r="I46" s="1802" t="e">
        <f>+IF(SUM(I13:I27)=5,"OK","X")</f>
        <v>#REF!</v>
      </c>
      <c r="J46" s="1802" t="e">
        <f t="shared" ref="J46" si="5">+IF(SUM(J13:J27)=1,"OK","X")</f>
        <v>#REF!</v>
      </c>
    </row>
    <row r="47" spans="2:10">
      <c r="H47" s="584"/>
      <c r="I47" s="584"/>
      <c r="J47" s="58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M27"/>
  <sheetViews>
    <sheetView view="pageBreakPreview" topLeftCell="A3" zoomScale="90" zoomScaleNormal="100" zoomScaleSheetLayoutView="90" workbookViewId="0">
      <selection activeCell="C18" sqref="C18"/>
    </sheetView>
  </sheetViews>
  <sheetFormatPr baseColWidth="10" defaultColWidth="9.33203125" defaultRowHeight="12.75"/>
  <cols>
    <col min="3" max="3" width="0" hidden="1" customWidth="1"/>
    <col min="5" max="5" width="47.5" customWidth="1"/>
    <col min="6" max="6" width="22.83203125" customWidth="1"/>
  </cols>
  <sheetData>
    <row r="1" spans="2:13" ht="15">
      <c r="B1" s="98"/>
      <c r="C1" s="99"/>
      <c r="D1" s="99"/>
      <c r="E1" s="99"/>
    </row>
    <row r="2" spans="2:13" ht="18.75" customHeight="1">
      <c r="B2" s="103" t="s">
        <v>127</v>
      </c>
      <c r="C2" s="104"/>
      <c r="D2" s="104"/>
      <c r="E2" s="104"/>
      <c r="F2" s="105"/>
    </row>
    <row r="3" spans="2:13" ht="18.75" customHeight="1">
      <c r="B3" s="103" t="s">
        <v>131</v>
      </c>
      <c r="C3" s="104"/>
      <c r="D3" s="104"/>
      <c r="E3" s="104"/>
      <c r="F3" s="105"/>
    </row>
    <row r="4" spans="2:13" ht="51.75" customHeight="1">
      <c r="B4" s="2053" t="s">
        <v>543</v>
      </c>
      <c r="C4" s="2053"/>
      <c r="D4" s="2053"/>
      <c r="E4" s="2053"/>
      <c r="F4" s="2053"/>
    </row>
    <row r="5" spans="2:13" ht="18.75" customHeight="1">
      <c r="C5" s="1858"/>
      <c r="D5" s="1858"/>
      <c r="E5" s="1858"/>
      <c r="F5" s="1858"/>
    </row>
    <row r="6" spans="2:13" ht="20.25" hidden="1">
      <c r="B6" s="80"/>
      <c r="C6" s="106"/>
      <c r="D6" s="106"/>
      <c r="E6" s="106"/>
    </row>
    <row r="7" spans="2:13" ht="16.5">
      <c r="B7" s="107" t="s">
        <v>9</v>
      </c>
      <c r="C7" s="107"/>
      <c r="D7" s="1909" t="s">
        <v>10</v>
      </c>
      <c r="E7" s="97" t="s">
        <v>544</v>
      </c>
    </row>
    <row r="8" spans="2:13" ht="16.5">
      <c r="B8" s="109" t="s">
        <v>129</v>
      </c>
      <c r="C8" s="110"/>
      <c r="D8" s="1912" t="s">
        <v>10</v>
      </c>
      <c r="E8" s="109" t="s">
        <v>131</v>
      </c>
    </row>
    <row r="9" spans="2:13" ht="16.5">
      <c r="B9" s="109"/>
      <c r="C9" s="110"/>
      <c r="D9" s="111"/>
      <c r="E9" s="109"/>
      <c r="F9" s="590" t="e">
        <f>+#REF!</f>
        <v>#REF!</v>
      </c>
    </row>
    <row r="10" spans="2:13" ht="15.75" thickBot="1">
      <c r="B10" s="112"/>
      <c r="C10" s="113"/>
      <c r="D10" s="114"/>
      <c r="E10" s="289"/>
      <c r="F10" s="591" t="e">
        <f>+#REF!</f>
        <v>#REF!</v>
      </c>
    </row>
    <row r="11" spans="2:13" ht="17.25" thickBot="1">
      <c r="B11" s="115" t="s">
        <v>188</v>
      </c>
      <c r="C11" s="2059" t="s">
        <v>207</v>
      </c>
      <c r="D11" s="2060"/>
      <c r="E11" s="2061"/>
      <c r="F11" s="118" t="s">
        <v>996</v>
      </c>
    </row>
    <row r="12" spans="2:13" ht="15">
      <c r="B12" s="119"/>
      <c r="C12" s="120"/>
      <c r="D12" s="121"/>
      <c r="E12" s="121"/>
      <c r="F12" s="122"/>
    </row>
    <row r="13" spans="2:13" s="1908" customFormat="1" ht="20.25" customHeight="1">
      <c r="B13" s="123" t="s">
        <v>189</v>
      </c>
      <c r="C13" s="124"/>
      <c r="D13" s="124" t="s">
        <v>132</v>
      </c>
      <c r="E13" s="113"/>
      <c r="F13" s="125">
        <f>+'SUMINISTRO RP'!J108</f>
        <v>202256.75</v>
      </c>
      <c r="G13" s="74"/>
      <c r="H13" s="74"/>
      <c r="I13" s="84"/>
      <c r="J13" s="1"/>
      <c r="K13" s="74"/>
      <c r="L13" s="74"/>
      <c r="M13" s="84"/>
    </row>
    <row r="14" spans="2:13" s="1908" customFormat="1" ht="20.25" customHeight="1">
      <c r="B14" s="123" t="s">
        <v>190</v>
      </c>
      <c r="C14" s="126"/>
      <c r="D14" s="114" t="s">
        <v>203</v>
      </c>
      <c r="E14" s="114"/>
      <c r="F14" s="125">
        <f>+'MONTAJE RP'!J90</f>
        <v>85459.520000000004</v>
      </c>
      <c r="G14" s="74"/>
      <c r="H14" s="74"/>
      <c r="I14" s="84"/>
      <c r="J14" s="1"/>
      <c r="K14" s="74"/>
      <c r="L14" s="74"/>
      <c r="M14" s="84"/>
    </row>
    <row r="15" spans="2:13" s="1908" customFormat="1" ht="20.25" customHeight="1" thickBot="1">
      <c r="B15" s="123" t="s">
        <v>125</v>
      </c>
      <c r="C15" s="126"/>
      <c r="D15" s="114" t="s">
        <v>133</v>
      </c>
      <c r="E15" s="114"/>
      <c r="F15" s="127">
        <f>+TRANS._RP!J109</f>
        <v>16212.19</v>
      </c>
      <c r="G15" s="176">
        <f>+F15/F13</f>
        <v>8.0156484270611492E-2</v>
      </c>
      <c r="H15" s="74"/>
      <c r="I15" s="84"/>
      <c r="J15" s="1"/>
      <c r="K15" s="74"/>
      <c r="L15" s="74"/>
      <c r="M15" s="84"/>
    </row>
    <row r="16" spans="2:13" s="1908" customFormat="1" ht="20.25" customHeight="1" thickBot="1">
      <c r="B16" s="128" t="s">
        <v>7</v>
      </c>
      <c r="C16" s="129"/>
      <c r="D16" s="130" t="s">
        <v>134</v>
      </c>
      <c r="E16" s="130"/>
      <c r="F16" s="131">
        <f>SUM(F13:F15)</f>
        <v>303928.46000000002</v>
      </c>
      <c r="G16" s="74"/>
      <c r="H16" s="74"/>
      <c r="I16" s="84"/>
      <c r="J16" s="75"/>
      <c r="K16" s="74"/>
      <c r="L16" s="74"/>
      <c r="M16" s="84"/>
    </row>
    <row r="17" spans="2:13" s="1908" customFormat="1" ht="20.25" hidden="1" customHeight="1">
      <c r="B17" s="132"/>
      <c r="C17" s="133"/>
      <c r="D17" s="134"/>
      <c r="E17" s="134"/>
      <c r="F17" s="125"/>
      <c r="G17" s="74"/>
      <c r="H17" s="74"/>
      <c r="I17" s="84"/>
      <c r="J17" s="75"/>
      <c r="K17" s="74"/>
      <c r="L17" s="74"/>
      <c r="M17" s="84"/>
    </row>
    <row r="18" spans="2:13" s="1908" customFormat="1" ht="20.25" customHeight="1">
      <c r="B18" s="135" t="s">
        <v>126</v>
      </c>
      <c r="C18" s="120"/>
      <c r="D18" s="120"/>
      <c r="E18" s="143" t="s">
        <v>135</v>
      </c>
      <c r="F18" s="125" t="e">
        <f>+ROUND(F16*H18,2)</f>
        <v>#REF!</v>
      </c>
      <c r="G18" s="74"/>
      <c r="H18" s="1903" t="e">
        <f>+#REF!</f>
        <v>#REF!</v>
      </c>
      <c r="I18" s="84"/>
      <c r="J18" s="75"/>
      <c r="K18" s="74"/>
      <c r="L18" s="74"/>
      <c r="M18" s="84"/>
    </row>
    <row r="19" spans="2:13" s="1908" customFormat="1" ht="20.25" customHeight="1" thickBot="1">
      <c r="B19" s="135" t="s">
        <v>8</v>
      </c>
      <c r="C19" s="120"/>
      <c r="D19" s="120"/>
      <c r="E19" s="143" t="s">
        <v>161</v>
      </c>
      <c r="F19" s="125" t="e">
        <f>+ROUND(F16*H19,2)</f>
        <v>#REF!</v>
      </c>
      <c r="G19" s="74"/>
      <c r="H19" s="1903" t="e">
        <f>+#REF!</f>
        <v>#REF!</v>
      </c>
      <c r="I19" s="84"/>
      <c r="J19" s="75"/>
      <c r="K19" s="74"/>
      <c r="L19" s="74"/>
      <c r="M19" s="84"/>
    </row>
    <row r="20" spans="2:13" s="1908" customFormat="1" ht="11.25" customHeight="1">
      <c r="B20" s="137"/>
      <c r="C20" s="133"/>
      <c r="D20" s="133"/>
      <c r="E20" s="76"/>
      <c r="F20" s="138"/>
      <c r="G20" s="74"/>
      <c r="H20" s="74"/>
      <c r="I20" s="84"/>
      <c r="J20" s="75"/>
      <c r="K20" s="74"/>
      <c r="L20" s="74"/>
      <c r="M20" s="84"/>
    </row>
    <row r="21" spans="2:13" s="1908" customFormat="1" ht="20.25" customHeight="1">
      <c r="B21" s="139"/>
      <c r="C21" s="140"/>
      <c r="D21" s="141" t="s">
        <v>1003</v>
      </c>
      <c r="E21" s="141"/>
      <c r="F21" s="142" t="e">
        <f>SUM(F16:F19)</f>
        <v>#REF!</v>
      </c>
      <c r="G21" s="74"/>
      <c r="H21" s="1793" t="e">
        <f>F21=#REF!</f>
        <v>#REF!</v>
      </c>
      <c r="I21" s="84"/>
      <c r="J21" s="75"/>
      <c r="K21" s="74"/>
      <c r="L21" s="74"/>
      <c r="M21" s="84"/>
    </row>
    <row r="22" spans="2:13" s="1908" customFormat="1" ht="11.25" customHeight="1" thickBot="1">
      <c r="B22" s="82"/>
      <c r="C22" s="77"/>
      <c r="D22" s="78"/>
      <c r="E22" s="79"/>
      <c r="F22" s="81"/>
    </row>
    <row r="23" spans="2:13">
      <c r="B23" s="100"/>
      <c r="C23" s="101"/>
      <c r="D23" s="101"/>
      <c r="E23" s="101"/>
    </row>
    <row r="24" spans="2:13">
      <c r="F24" s="74"/>
    </row>
    <row r="25" spans="2:13">
      <c r="E25" s="177"/>
      <c r="F25" s="74"/>
    </row>
    <row r="26" spans="2:13">
      <c r="E26" s="177"/>
      <c r="F26" s="74"/>
    </row>
    <row r="27" spans="2:13">
      <c r="E27" s="177"/>
      <c r="F27" s="74"/>
    </row>
  </sheetData>
  <mergeCells count="2">
    <mergeCell ref="B4:F4"/>
    <mergeCell ref="C11:E11"/>
  </mergeCells>
  <printOptions horizontalCentered="1"/>
  <pageMargins left="0.51181102362204722" right="0.51181102362204722" top="0.74803149606299213" bottom="0.74803149606299213" header="0.31496062992125984" footer="0.31496062992125984"/>
  <pageSetup paperSize="9" orientation="portrait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N46"/>
  <sheetViews>
    <sheetView workbookViewId="0"/>
  </sheetViews>
  <sheetFormatPr baseColWidth="10" defaultColWidth="9.33203125" defaultRowHeight="12.75"/>
  <sheetData>
    <row r="1" spans="2:14" ht="18">
      <c r="B1" s="764"/>
      <c r="C1" s="765"/>
      <c r="D1" s="765"/>
      <c r="E1" s="766"/>
      <c r="F1" s="766"/>
    </row>
    <row r="2" spans="2:14" ht="138">
      <c r="B2" s="767" t="s">
        <v>418</v>
      </c>
      <c r="C2" s="768"/>
      <c r="D2" s="768"/>
      <c r="E2" s="768"/>
      <c r="F2" s="768"/>
    </row>
    <row r="3" spans="2:14" ht="20.25">
      <c r="B3" s="769" t="str">
        <f>"RESUMEN DEL VALOR REFERENCIAL "</f>
        <v xml:space="preserve">RESUMEN DEL VALOR REFERENCIAL </v>
      </c>
      <c r="C3" s="768"/>
      <c r="D3" s="768"/>
      <c r="E3" s="768"/>
      <c r="F3" s="768"/>
    </row>
    <row r="4" spans="2:14" ht="16.5">
      <c r="B4" s="770"/>
      <c r="C4" s="770"/>
      <c r="D4" s="770"/>
      <c r="E4" s="770"/>
      <c r="F4" s="770"/>
    </row>
    <row r="5" spans="2:14" ht="14.25">
      <c r="B5" s="771" t="s">
        <v>9</v>
      </c>
      <c r="C5" s="772"/>
      <c r="D5" s="771" t="s">
        <v>10</v>
      </c>
      <c r="E5" s="773"/>
      <c r="G5" s="774"/>
      <c r="H5" s="774"/>
    </row>
    <row r="6" spans="2:14" ht="16.5">
      <c r="B6" s="775" t="s">
        <v>284</v>
      </c>
      <c r="C6" s="776"/>
      <c r="D6" s="777" t="s">
        <v>10</v>
      </c>
      <c r="E6" s="775" t="s">
        <v>513</v>
      </c>
      <c r="F6" s="778"/>
      <c r="G6" s="779"/>
      <c r="H6" s="779"/>
    </row>
    <row r="7" spans="2:14" ht="16.5">
      <c r="B7" s="775"/>
      <c r="C7" s="776"/>
      <c r="D7" s="777"/>
      <c r="E7" s="775"/>
      <c r="F7" s="780"/>
      <c r="G7" s="779"/>
      <c r="H7" s="779"/>
    </row>
    <row r="8" spans="2:14" ht="14.25">
      <c r="B8" s="3"/>
      <c r="C8" s="781"/>
      <c r="D8" s="782"/>
      <c r="E8" s="782"/>
      <c r="F8" s="782"/>
    </row>
    <row r="9" spans="2:14" ht="33">
      <c r="B9" s="783" t="s">
        <v>188</v>
      </c>
      <c r="C9" s="1859" t="s">
        <v>207</v>
      </c>
      <c r="D9" s="1859"/>
      <c r="E9" s="1860"/>
      <c r="F9" s="784" t="s">
        <v>532</v>
      </c>
    </row>
    <row r="10" spans="2:14" ht="15">
      <c r="B10" s="785"/>
      <c r="C10" s="786"/>
      <c r="D10" s="787"/>
      <c r="E10" s="788"/>
      <c r="F10" s="175"/>
      <c r="I10" s="789">
        <f>F11*0.07</f>
        <v>14157.972500000002</v>
      </c>
    </row>
    <row r="11" spans="2:14" ht="15">
      <c r="B11" s="790" t="s">
        <v>189</v>
      </c>
      <c r="C11" s="791"/>
      <c r="D11" s="792" t="s">
        <v>212</v>
      </c>
      <c r="E11" s="793"/>
      <c r="F11" s="794">
        <f>+'RESUMEN RP'!F13</f>
        <v>202256.75</v>
      </c>
      <c r="I11" s="789">
        <f>F11*0.1</f>
        <v>20225.675000000003</v>
      </c>
    </row>
    <row r="12" spans="2:14" ht="15">
      <c r="B12" s="795"/>
      <c r="C12" s="791"/>
      <c r="D12" s="782" t="s">
        <v>533</v>
      </c>
      <c r="E12" s="796"/>
      <c r="F12" s="797">
        <f>+F11-F13</f>
        <v>164615.74</v>
      </c>
      <c r="I12" s="789"/>
    </row>
    <row r="13" spans="2:14" ht="15">
      <c r="B13" s="795"/>
      <c r="C13" s="791"/>
      <c r="D13" s="782" t="s">
        <v>534</v>
      </c>
      <c r="E13" s="796"/>
      <c r="F13" s="797">
        <f>+'SUMINISTRO RP'!J26+'SUMINISTRO RP'!J28+'SUMINISTRO RP'!J36+'SUMINISTRO RP'!J48+'SUMINISTRO RP'!J94+'SUMINISTRO RP'!J107</f>
        <v>37641.009999999995</v>
      </c>
      <c r="I13" s="789"/>
    </row>
    <row r="14" spans="2:14" ht="14.25">
      <c r="B14" s="798"/>
      <c r="C14" s="799"/>
      <c r="D14" s="800"/>
      <c r="E14" s="801"/>
      <c r="F14" s="802"/>
    </row>
    <row r="15" spans="2:14" ht="15">
      <c r="B15" s="790" t="s">
        <v>190</v>
      </c>
      <c r="C15" s="791"/>
      <c r="D15" s="792" t="s">
        <v>203</v>
      </c>
      <c r="E15" s="803"/>
      <c r="F15" s="794">
        <f>+'RESUMEN RP'!F14</f>
        <v>85459.520000000004</v>
      </c>
      <c r="H15" s="804">
        <f>+F15/$F$11</f>
        <v>0.42252987848366003</v>
      </c>
    </row>
    <row r="16" spans="2:14" ht="15">
      <c r="B16" s="795"/>
      <c r="C16" s="791"/>
      <c r="D16" s="782" t="s">
        <v>535</v>
      </c>
      <c r="E16" s="801"/>
      <c r="F16" s="797">
        <f>ROUND(N16*F15,2)</f>
        <v>53839.5</v>
      </c>
      <c r="H16" s="804"/>
      <c r="N16" s="805">
        <v>0.63</v>
      </c>
    </row>
    <row r="17" spans="2:14" ht="15">
      <c r="B17" s="795"/>
      <c r="C17" s="791"/>
      <c r="D17" s="782" t="s">
        <v>536</v>
      </c>
      <c r="E17" s="801"/>
      <c r="F17" s="797">
        <f>ROUND(N17*F15,2)</f>
        <v>31620.02</v>
      </c>
      <c r="H17" s="804"/>
      <c r="N17" s="806">
        <f>1-N16</f>
        <v>0.37</v>
      </c>
    </row>
    <row r="18" spans="2:14" ht="14.25">
      <c r="B18" s="798"/>
      <c r="C18" s="799"/>
      <c r="D18" s="800"/>
      <c r="E18" s="807"/>
      <c r="F18" s="802"/>
      <c r="H18" s="808"/>
    </row>
    <row r="19" spans="2:14" ht="15">
      <c r="B19" s="790" t="s">
        <v>520</v>
      </c>
      <c r="C19" s="791"/>
      <c r="D19" s="792" t="s">
        <v>537</v>
      </c>
      <c r="E19" s="807"/>
      <c r="F19" s="794">
        <v>0</v>
      </c>
      <c r="H19" s="808"/>
    </row>
    <row r="20" spans="2:14" ht="14.25">
      <c r="B20" s="798"/>
      <c r="C20" s="800"/>
      <c r="D20" s="800"/>
      <c r="E20" s="807"/>
      <c r="F20" s="802"/>
      <c r="H20" s="808"/>
    </row>
    <row r="21" spans="2:14" ht="15">
      <c r="B21" s="790" t="s">
        <v>125</v>
      </c>
      <c r="C21" s="791"/>
      <c r="D21" s="792" t="s">
        <v>133</v>
      </c>
      <c r="E21" s="809"/>
      <c r="F21" s="794">
        <f>+'RESUMEN RP'!F15</f>
        <v>16212.19</v>
      </c>
      <c r="H21" s="804">
        <v>0.1</v>
      </c>
      <c r="N21" s="810"/>
    </row>
    <row r="22" spans="2:14" ht="15">
      <c r="B22" s="811"/>
      <c r="C22" s="812"/>
      <c r="D22" s="813"/>
      <c r="E22" s="814"/>
      <c r="F22" s="815"/>
    </row>
    <row r="23" spans="2:14" ht="15">
      <c r="B23" s="816"/>
      <c r="C23" s="817"/>
      <c r="D23" s="818"/>
      <c r="E23" s="819"/>
      <c r="F23" s="820"/>
    </row>
    <row r="24" spans="2:14" ht="15.75">
      <c r="B24" s="798" t="s">
        <v>7</v>
      </c>
      <c r="C24" s="821"/>
      <c r="D24" s="792" t="s">
        <v>538</v>
      </c>
      <c r="E24" s="822"/>
      <c r="F24" s="823">
        <f>+F21+F15+F11+F19</f>
        <v>303928.46000000002</v>
      </c>
    </row>
    <row r="25" spans="2:14" ht="15">
      <c r="B25" s="824"/>
      <c r="C25" s="825"/>
      <c r="D25" s="826"/>
      <c r="E25" s="827"/>
      <c r="F25" s="828"/>
    </row>
    <row r="26" spans="2:14" ht="15">
      <c r="B26" s="874"/>
      <c r="C26" s="875"/>
      <c r="D26" s="830"/>
      <c r="E26" s="876"/>
      <c r="F26" s="877"/>
    </row>
    <row r="27" spans="2:14" ht="15">
      <c r="B27" s="798"/>
      <c r="C27" s="878"/>
      <c r="D27" s="834"/>
      <c r="E27" s="879"/>
      <c r="F27" s="802"/>
      <c r="H27" s="837"/>
    </row>
    <row r="28" spans="2:14" ht="15">
      <c r="B28" s="798"/>
      <c r="C28" s="878"/>
      <c r="D28" s="834"/>
      <c r="E28" s="879"/>
      <c r="F28" s="880"/>
    </row>
    <row r="29" spans="2:14" ht="15">
      <c r="B29" s="798"/>
      <c r="C29" s="878"/>
      <c r="D29" s="834"/>
      <c r="E29" s="879"/>
      <c r="F29" s="802"/>
      <c r="H29" s="837"/>
    </row>
    <row r="30" spans="2:14" ht="15">
      <c r="B30" s="824"/>
      <c r="C30" s="881"/>
      <c r="D30" s="882"/>
      <c r="E30" s="883"/>
      <c r="F30" s="884"/>
    </row>
    <row r="31" spans="2:14" ht="15.75">
      <c r="B31" s="874"/>
      <c r="C31" s="885"/>
      <c r="D31" s="886"/>
      <c r="E31" s="887"/>
      <c r="F31" s="888"/>
    </row>
    <row r="32" spans="2:14" ht="15.75">
      <c r="B32" s="798"/>
      <c r="C32" s="821"/>
      <c r="D32" s="792"/>
      <c r="E32" s="889"/>
      <c r="F32" s="890"/>
    </row>
    <row r="33" spans="2:14" ht="15.75">
      <c r="B33" s="811"/>
      <c r="C33" s="891"/>
      <c r="D33" s="892"/>
      <c r="E33" s="893"/>
      <c r="F33" s="894"/>
    </row>
    <row r="34" spans="2:14" ht="15.75">
      <c r="B34" s="895"/>
      <c r="C34" s="821"/>
      <c r="D34" s="840"/>
      <c r="E34" s="896"/>
      <c r="F34" s="897"/>
    </row>
    <row r="35" spans="2:14" ht="15">
      <c r="B35" s="798"/>
      <c r="C35" s="898"/>
      <c r="D35" s="782"/>
      <c r="E35" s="899"/>
      <c r="F35" s="900"/>
      <c r="N35" s="789"/>
    </row>
    <row r="36" spans="2:14" ht="15.75">
      <c r="B36" s="901"/>
      <c r="C36" s="821"/>
      <c r="D36" s="840"/>
      <c r="E36" s="902"/>
      <c r="F36" s="903"/>
    </row>
    <row r="37" spans="2:14" ht="15.75">
      <c r="B37" s="904"/>
      <c r="C37" s="905"/>
      <c r="D37" s="905"/>
      <c r="E37" s="906"/>
      <c r="F37" s="907"/>
    </row>
    <row r="38" spans="2:14" ht="15.75">
      <c r="B38" s="908"/>
      <c r="C38" s="840"/>
      <c r="D38" s="840"/>
      <c r="E38" s="909"/>
      <c r="F38" s="890"/>
      <c r="M38" s="789"/>
    </row>
    <row r="39" spans="2:14" ht="15">
      <c r="B39" s="910"/>
      <c r="C39" s="911"/>
      <c r="D39" s="911"/>
      <c r="E39" s="912"/>
      <c r="F39" s="913"/>
    </row>
    <row r="40" spans="2:14" ht="15">
      <c r="B40" s="834"/>
      <c r="C40" s="834"/>
      <c r="D40" s="834"/>
      <c r="E40" s="834"/>
      <c r="F40" s="914"/>
    </row>
    <row r="41" spans="2:14" ht="14.25">
      <c r="B41" s="1861"/>
      <c r="C41" s="1862"/>
      <c r="D41" s="1862"/>
      <c r="E41" s="1863"/>
      <c r="F41" s="854"/>
    </row>
    <row r="42" spans="2:14" ht="14.25">
      <c r="B42" s="1864"/>
      <c r="C42" s="1865"/>
      <c r="D42" s="1865"/>
      <c r="E42" s="1866"/>
      <c r="F42" s="855"/>
    </row>
    <row r="43" spans="2:14" ht="15.75">
      <c r="B43" s="856"/>
      <c r="C43" s="857"/>
      <c r="D43" s="858"/>
      <c r="E43" s="859"/>
      <c r="F43" s="860"/>
      <c r="G43" s="861"/>
      <c r="H43" s="862"/>
    </row>
    <row r="44" spans="2:14" ht="15.75">
      <c r="B44" s="863"/>
      <c r="C44" s="792"/>
      <c r="D44" s="840"/>
      <c r="E44" s="864"/>
      <c r="F44" s="865"/>
      <c r="G44" s="861"/>
      <c r="H44" s="862"/>
    </row>
    <row r="45" spans="2:14" ht="15.75">
      <c r="B45" s="866"/>
      <c r="C45" s="867"/>
      <c r="D45" s="868"/>
      <c r="E45" s="869"/>
      <c r="F45" s="870"/>
      <c r="G45" s="861"/>
      <c r="H45" s="862"/>
    </row>
    <row r="46" spans="2:14" ht="15.75">
      <c r="B46" s="856"/>
      <c r="C46" s="871"/>
      <c r="D46" s="872"/>
      <c r="E46" s="873"/>
      <c r="F46" s="860"/>
      <c r="G46" s="86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17"/>
  <sheetViews>
    <sheetView view="pageBreakPreview" topLeftCell="A7" zoomScale="90" zoomScaleNormal="100" zoomScaleSheetLayoutView="90" workbookViewId="0">
      <pane xSplit="6" ySplit="1" topLeftCell="G92" activePane="bottomRight" state="frozen"/>
      <selection activeCell="A7" sqref="A7"/>
      <selection pane="topRight" activeCell="G7" sqref="G7"/>
      <selection pane="bottomLeft" activeCell="A8" sqref="A8"/>
      <selection pane="bottomRight" activeCell="D110" sqref="D110"/>
    </sheetView>
  </sheetViews>
  <sheetFormatPr baseColWidth="10" defaultColWidth="9.33203125" defaultRowHeight="12.75"/>
  <cols>
    <col min="3" max="3" width="0" hidden="1" customWidth="1"/>
    <col min="6" max="6" width="73.1640625" customWidth="1"/>
    <col min="10" max="10" width="14" customWidth="1"/>
  </cols>
  <sheetData>
    <row r="1" spans="1:26" ht="18">
      <c r="B1" s="1429" t="s">
        <v>127</v>
      </c>
      <c r="C1" s="1430"/>
      <c r="D1" s="1430"/>
      <c r="E1" s="1431"/>
      <c r="F1" s="1431"/>
      <c r="G1" s="1432"/>
      <c r="H1" s="1432"/>
      <c r="I1" s="303"/>
      <c r="J1" s="303"/>
      <c r="K1" s="1712"/>
      <c r="L1" s="1712"/>
      <c r="M1" s="1712"/>
      <c r="N1" s="1712"/>
      <c r="O1" s="1712"/>
      <c r="P1" s="1712"/>
      <c r="Q1" s="1712"/>
      <c r="R1" s="1712"/>
      <c r="S1" s="1712"/>
      <c r="T1" s="1712"/>
      <c r="U1" s="1712"/>
      <c r="V1" s="1712"/>
      <c r="W1" s="1712"/>
      <c r="X1" s="1712"/>
      <c r="Y1" s="1712"/>
      <c r="Z1" s="1712"/>
    </row>
    <row r="2" spans="1:26" ht="18">
      <c r="B2" s="1433" t="s">
        <v>128</v>
      </c>
      <c r="C2" s="1430"/>
      <c r="D2" s="1430"/>
      <c r="E2" s="1431"/>
      <c r="F2" s="1431"/>
      <c r="G2" s="1434"/>
      <c r="H2" s="1434"/>
      <c r="I2" s="303"/>
      <c r="J2" s="303"/>
      <c r="K2" s="1712"/>
      <c r="L2" s="1712"/>
      <c r="M2" s="1712"/>
      <c r="N2" s="1712"/>
      <c r="O2" s="1712"/>
      <c r="P2" s="1712"/>
      <c r="Q2" s="1712"/>
      <c r="R2" s="1712"/>
      <c r="S2" s="1712"/>
      <c r="T2" s="1712"/>
      <c r="U2" s="1712"/>
      <c r="V2" s="1712"/>
      <c r="W2" s="1712"/>
      <c r="X2" s="1712"/>
      <c r="Y2" s="1712"/>
      <c r="Z2" s="1712"/>
    </row>
    <row r="3" spans="1:26" ht="18">
      <c r="B3" s="1435" t="s">
        <v>9</v>
      </c>
      <c r="C3" s="1430"/>
      <c r="D3" s="1430"/>
      <c r="E3" s="1910" t="s">
        <v>10</v>
      </c>
      <c r="F3" s="1437" t="s">
        <v>544</v>
      </c>
      <c r="G3" s="1434"/>
      <c r="H3" s="1434"/>
      <c r="I3" s="303"/>
      <c r="J3" s="303"/>
      <c r="K3" s="1712"/>
      <c r="L3" s="1712"/>
      <c r="M3" s="1712"/>
      <c r="N3" s="1712"/>
      <c r="O3" s="1712"/>
      <c r="P3" s="1712"/>
      <c r="Q3" s="1712"/>
      <c r="R3" s="1712"/>
      <c r="S3" s="1712"/>
      <c r="T3" s="1712"/>
      <c r="U3" s="1712"/>
      <c r="V3" s="1712"/>
      <c r="W3" s="1712"/>
      <c r="X3" s="1712"/>
      <c r="Y3" s="1712"/>
      <c r="Z3" s="1712"/>
    </row>
    <row r="4" spans="1:26" ht="18">
      <c r="B4" s="1433" t="s">
        <v>129</v>
      </c>
      <c r="C4" s="303"/>
      <c r="D4" s="303"/>
      <c r="E4" s="1911" t="s">
        <v>10</v>
      </c>
      <c r="F4" s="1438" t="s">
        <v>131</v>
      </c>
      <c r="G4" s="1434"/>
      <c r="H4" s="1434"/>
      <c r="I4" s="303"/>
      <c r="J4" s="303"/>
      <c r="K4" s="1712"/>
      <c r="L4" s="1712"/>
      <c r="M4" s="1712"/>
      <c r="N4" s="1712"/>
      <c r="O4" s="1712"/>
      <c r="P4" s="1712"/>
      <c r="Q4" s="1712"/>
      <c r="R4" s="1712"/>
      <c r="S4" s="1712"/>
      <c r="T4" s="1712"/>
      <c r="U4" s="1712"/>
      <c r="V4" s="1712"/>
      <c r="W4" s="1712"/>
      <c r="X4" s="1712"/>
      <c r="Y4" s="1712"/>
      <c r="Z4" s="1712"/>
    </row>
    <row r="5" spans="1:26" ht="18">
      <c r="B5" s="304" t="s">
        <v>280</v>
      </c>
      <c r="C5" s="303"/>
      <c r="D5" s="303"/>
      <c r="E5" s="304"/>
      <c r="F5" s="303"/>
      <c r="G5" s="1434"/>
      <c r="H5" s="1434"/>
      <c r="I5" s="303"/>
      <c r="J5" s="303"/>
      <c r="K5" s="1712"/>
      <c r="L5" s="1712"/>
      <c r="M5" s="1712"/>
      <c r="N5" s="1712"/>
      <c r="O5" s="1712"/>
      <c r="P5" s="1712"/>
      <c r="Q5" s="1712"/>
      <c r="R5" s="1712"/>
      <c r="S5" s="1712"/>
      <c r="T5" s="1712"/>
      <c r="U5" s="1712"/>
      <c r="V5" s="1712"/>
      <c r="W5" s="1712"/>
      <c r="X5" s="1712"/>
      <c r="Y5" s="1712"/>
      <c r="Z5" s="1712"/>
    </row>
    <row r="6" spans="1:26" ht="15" hidden="1">
      <c r="B6" s="515"/>
      <c r="C6" s="516"/>
      <c r="D6" s="516"/>
      <c r="E6" s="516"/>
      <c r="F6" s="515"/>
      <c r="G6" s="517"/>
      <c r="H6" s="306"/>
      <c r="I6" s="306"/>
      <c r="J6" s="306"/>
      <c r="K6" s="1713"/>
      <c r="L6" s="1713"/>
      <c r="M6" s="1713"/>
      <c r="N6" s="1713"/>
      <c r="O6" s="1712"/>
      <c r="P6" s="1712"/>
      <c r="Q6" s="1712"/>
      <c r="R6" s="1712"/>
      <c r="S6" s="1712"/>
      <c r="T6" s="1712"/>
      <c r="U6" s="1712"/>
      <c r="V6" s="1712"/>
      <c r="W6" s="1712"/>
      <c r="X6" s="1712"/>
      <c r="Y6" s="1712"/>
      <c r="Z6" s="1712"/>
    </row>
    <row r="7" spans="1:26" ht="41.25" customHeight="1">
      <c r="A7" s="508"/>
      <c r="B7" s="1528" t="s">
        <v>959</v>
      </c>
      <c r="C7" s="2056" t="s">
        <v>958</v>
      </c>
      <c r="D7" s="2057"/>
      <c r="E7" s="2057"/>
      <c r="F7" s="2058"/>
      <c r="G7" s="1529" t="s">
        <v>376</v>
      </c>
      <c r="H7" s="1530" t="s">
        <v>960</v>
      </c>
      <c r="I7" s="1530" t="s">
        <v>961</v>
      </c>
      <c r="J7" s="1530" t="s">
        <v>1004</v>
      </c>
      <c r="K7" s="509"/>
      <c r="L7" s="509"/>
      <c r="M7" s="509"/>
      <c r="P7" s="323"/>
    </row>
    <row r="8" spans="1:26" ht="16.5">
      <c r="B8" s="1614"/>
      <c r="C8" s="1627"/>
      <c r="D8" s="1628"/>
      <c r="E8" s="1628"/>
      <c r="F8" s="1629"/>
      <c r="G8" s="1537"/>
      <c r="H8" s="1565"/>
      <c r="I8" s="1565"/>
      <c r="J8" s="1537"/>
      <c r="K8" s="323"/>
      <c r="L8" s="323"/>
      <c r="M8" s="323"/>
      <c r="P8" s="323"/>
    </row>
    <row r="9" spans="1:26" ht="16.5">
      <c r="B9" s="1534">
        <v>1</v>
      </c>
      <c r="C9" s="1553"/>
      <c r="D9" s="1484" t="s">
        <v>323</v>
      </c>
      <c r="E9" s="1442"/>
      <c r="F9" s="1487"/>
      <c r="G9" s="1465"/>
      <c r="H9" s="1501"/>
      <c r="I9" s="1566"/>
      <c r="J9" s="1616"/>
      <c r="K9" s="328"/>
      <c r="L9" s="328"/>
      <c r="M9" s="328"/>
      <c r="N9" s="323"/>
      <c r="P9" s="323"/>
    </row>
    <row r="10" spans="1:26" ht="16.5">
      <c r="B10" s="1535">
        <f>+B9+0.01</f>
        <v>1.01</v>
      </c>
      <c r="C10" s="1553"/>
      <c r="D10" s="1485" t="s">
        <v>149</v>
      </c>
      <c r="E10" s="1442"/>
      <c r="F10" s="1487"/>
      <c r="G10" s="1465" t="s">
        <v>18</v>
      </c>
      <c r="H10" s="1501">
        <v>13</v>
      </c>
      <c r="I10" s="1639">
        <v>105</v>
      </c>
      <c r="J10" s="1542">
        <f t="shared" ref="J10:J11" si="0">+ROUND(I10*H10,2)</f>
        <v>1365</v>
      </c>
      <c r="K10" s="1422"/>
      <c r="L10" s="1422"/>
      <c r="M10" s="1422"/>
      <c r="N10" s="323"/>
      <c r="P10" s="575"/>
      <c r="Q10" s="1714"/>
    </row>
    <row r="11" spans="1:26" ht="16.5">
      <c r="B11" s="1535">
        <f>+B10+0.01</f>
        <v>1.02</v>
      </c>
      <c r="C11" s="1553"/>
      <c r="D11" s="1485" t="s">
        <v>324</v>
      </c>
      <c r="E11" s="1442"/>
      <c r="F11" s="1487"/>
      <c r="G11" s="1465" t="s">
        <v>18</v>
      </c>
      <c r="H11" s="1501">
        <v>2</v>
      </c>
      <c r="I11" s="1639">
        <v>27.35</v>
      </c>
      <c r="J11" s="1617">
        <f t="shared" si="0"/>
        <v>54.7</v>
      </c>
      <c r="K11" s="1422"/>
      <c r="L11" s="1422"/>
      <c r="M11" s="1422"/>
      <c r="N11" s="323"/>
      <c r="P11" s="575"/>
      <c r="Q11" s="1714"/>
    </row>
    <row r="12" spans="1:26" ht="16.5">
      <c r="B12" s="1464"/>
      <c r="C12" s="1553"/>
      <c r="D12" s="1442"/>
      <c r="E12" s="1442"/>
      <c r="F12" s="1554" t="str">
        <f>+"SUB-TOTAL   "&amp;B9&amp;":  "</f>
        <v xml:space="preserve">SUB-TOTAL   1:  </v>
      </c>
      <c r="G12" s="1537"/>
      <c r="H12" s="1565"/>
      <c r="I12" s="1607"/>
      <c r="J12" s="1619">
        <f>SUM(J10:J11)</f>
        <v>1419.7</v>
      </c>
      <c r="K12" s="1422"/>
      <c r="L12" s="1422"/>
      <c r="M12" s="1422"/>
      <c r="N12" s="323"/>
      <c r="P12" s="575"/>
      <c r="Q12" s="1714"/>
      <c r="S12" s="570"/>
      <c r="W12" s="1715"/>
    </row>
    <row r="13" spans="1:26" ht="16.5">
      <c r="B13" s="1534">
        <f>1+B9</f>
        <v>2</v>
      </c>
      <c r="C13" s="1553"/>
      <c r="D13" s="1484" t="s">
        <v>296</v>
      </c>
      <c r="E13" s="1442"/>
      <c r="F13" s="1487"/>
      <c r="G13" s="1465"/>
      <c r="H13" s="1501"/>
      <c r="I13" s="1566"/>
      <c r="J13" s="1542"/>
      <c r="K13" s="1422"/>
      <c r="L13" s="1422"/>
      <c r="M13" s="1422"/>
      <c r="N13" s="323"/>
      <c r="P13" s="575"/>
      <c r="Q13" s="1714"/>
      <c r="S13" s="570"/>
    </row>
    <row r="14" spans="1:26" ht="16.5">
      <c r="B14" s="1535">
        <f>+B13+0.01</f>
        <v>2.0099999999999998</v>
      </c>
      <c r="C14" s="1553"/>
      <c r="D14" s="1442" t="s">
        <v>311</v>
      </c>
      <c r="E14" s="1442"/>
      <c r="F14" s="1487"/>
      <c r="G14" s="1465" t="s">
        <v>18</v>
      </c>
      <c r="H14" s="1501">
        <v>3</v>
      </c>
      <c r="I14" s="1639">
        <v>837.45</v>
      </c>
      <c r="J14" s="1542">
        <f t="shared" ref="J14:J17" si="1">+ROUND(I14*H14,2)</f>
        <v>2512.35</v>
      </c>
      <c r="K14" s="1422"/>
      <c r="L14" s="1422"/>
      <c r="M14" s="1422"/>
      <c r="N14" s="323"/>
      <c r="P14" s="575"/>
      <c r="Q14" s="1714"/>
      <c r="R14" s="324"/>
      <c r="S14" s="570"/>
    </row>
    <row r="15" spans="1:26" ht="16.5">
      <c r="B15" s="1535">
        <f t="shared" ref="B15:B17" si="2">+B14+0.01</f>
        <v>2.0199999999999996</v>
      </c>
      <c r="C15" s="1553"/>
      <c r="D15" s="1442" t="s">
        <v>571</v>
      </c>
      <c r="E15" s="1442"/>
      <c r="F15" s="1487"/>
      <c r="G15" s="1465" t="s">
        <v>18</v>
      </c>
      <c r="H15" s="1501">
        <v>11</v>
      </c>
      <c r="I15" s="1639">
        <v>923.47</v>
      </c>
      <c r="J15" s="1542">
        <f t="shared" si="1"/>
        <v>10158.17</v>
      </c>
      <c r="K15" s="1422"/>
      <c r="L15" s="1422"/>
      <c r="M15" s="1422"/>
      <c r="N15" s="323"/>
      <c r="P15" s="575"/>
      <c r="Q15" s="1714"/>
      <c r="R15" s="324"/>
      <c r="S15" s="570"/>
    </row>
    <row r="16" spans="1:26" ht="16.5">
      <c r="B16" s="1535">
        <f t="shared" si="2"/>
        <v>2.0299999999999994</v>
      </c>
      <c r="C16" s="1553"/>
      <c r="D16" s="1442" t="s">
        <v>325</v>
      </c>
      <c r="E16" s="1442"/>
      <c r="F16" s="1487"/>
      <c r="G16" s="1465" t="s">
        <v>18</v>
      </c>
      <c r="H16" s="1501">
        <v>10</v>
      </c>
      <c r="I16" s="1639">
        <v>1085.1400000000001</v>
      </c>
      <c r="J16" s="1542">
        <f t="shared" si="1"/>
        <v>10851.4</v>
      </c>
      <c r="K16" s="1422"/>
      <c r="L16" s="1422"/>
      <c r="M16" s="1422"/>
      <c r="N16" s="323"/>
      <c r="P16" s="575"/>
      <c r="Q16" s="1714"/>
      <c r="R16" s="324"/>
      <c r="S16" s="570"/>
    </row>
    <row r="17" spans="2:23" ht="16.5">
      <c r="B17" s="1535">
        <f t="shared" si="2"/>
        <v>2.0399999999999991</v>
      </c>
      <c r="C17" s="1553"/>
      <c r="D17" s="1442" t="s">
        <v>326</v>
      </c>
      <c r="E17" s="1442"/>
      <c r="F17" s="1487"/>
      <c r="G17" s="1465" t="s">
        <v>18</v>
      </c>
      <c r="H17" s="1501">
        <v>10</v>
      </c>
      <c r="I17" s="1639">
        <v>1207.94</v>
      </c>
      <c r="J17" s="1542">
        <f t="shared" si="1"/>
        <v>12079.4</v>
      </c>
      <c r="K17" s="1422"/>
      <c r="L17" s="1422"/>
      <c r="M17" s="1422"/>
      <c r="N17" s="323"/>
      <c r="P17" s="575"/>
      <c r="Q17" s="1714"/>
      <c r="R17" s="324"/>
      <c r="S17" s="570"/>
    </row>
    <row r="18" spans="2:23" ht="16.5">
      <c r="B18" s="1464"/>
      <c r="C18" s="1553"/>
      <c r="D18" s="1442"/>
      <c r="E18" s="1442"/>
      <c r="F18" s="1554" t="str">
        <f>+"SUB-TOTAL   "&amp;B13&amp;":  "</f>
        <v xml:space="preserve">SUB-TOTAL   2:  </v>
      </c>
      <c r="G18" s="1537"/>
      <c r="H18" s="1565"/>
      <c r="I18" s="1607"/>
      <c r="J18" s="1619">
        <f>SUM(J14:J17)</f>
        <v>35601.32</v>
      </c>
      <c r="K18" s="1422"/>
      <c r="L18" s="1422"/>
      <c r="M18" s="1422"/>
      <c r="N18" s="323"/>
      <c r="P18" s="575"/>
      <c r="Q18" s="1714"/>
      <c r="S18" s="570"/>
    </row>
    <row r="19" spans="2:23" ht="16.5">
      <c r="B19" s="1534">
        <v>3</v>
      </c>
      <c r="C19" s="1553"/>
      <c r="D19" s="1484" t="s">
        <v>327</v>
      </c>
      <c r="E19" s="1442"/>
      <c r="F19" s="1487"/>
      <c r="G19" s="1465"/>
      <c r="H19" s="1501"/>
      <c r="I19" s="1566"/>
      <c r="J19" s="1620"/>
      <c r="K19" s="1422"/>
      <c r="L19" s="1422"/>
      <c r="M19" s="1422"/>
      <c r="N19" s="323"/>
      <c r="P19" s="575"/>
    </row>
    <row r="20" spans="2:23" ht="16.5">
      <c r="B20" s="1535">
        <f>+B19+0.01</f>
        <v>3.01</v>
      </c>
      <c r="C20" s="1553"/>
      <c r="D20" s="1485" t="s">
        <v>934</v>
      </c>
      <c r="E20" s="1442"/>
      <c r="F20" s="1487"/>
      <c r="G20" s="1465" t="s">
        <v>18</v>
      </c>
      <c r="H20" s="1501">
        <v>2</v>
      </c>
      <c r="I20" s="1639">
        <v>1864.52</v>
      </c>
      <c r="J20" s="1542">
        <f t="shared" ref="J20" si="3">+ROUND(I20*H20,2)</f>
        <v>3729.04</v>
      </c>
      <c r="K20" s="1422"/>
      <c r="L20" s="1422"/>
      <c r="M20" s="1422"/>
      <c r="N20" s="323"/>
      <c r="P20" s="575"/>
      <c r="Q20" s="1714"/>
    </row>
    <row r="21" spans="2:23" ht="16.5">
      <c r="B21" s="1464"/>
      <c r="C21" s="1553"/>
      <c r="D21" s="1442"/>
      <c r="E21" s="1442"/>
      <c r="F21" s="1554" t="str">
        <f>+"SUB-TOTAL   "&amp;B19&amp;":  "</f>
        <v xml:space="preserve">SUB-TOTAL   3:  </v>
      </c>
      <c r="G21" s="1537"/>
      <c r="H21" s="1565"/>
      <c r="I21" s="1607"/>
      <c r="J21" s="1619">
        <f>+SUM(J19:J20)</f>
        <v>3729.04</v>
      </c>
      <c r="K21" s="1422"/>
      <c r="L21" s="1422"/>
      <c r="M21" s="1422"/>
      <c r="N21" s="323"/>
      <c r="P21" s="575"/>
      <c r="Q21" s="1714"/>
      <c r="S21" s="570"/>
      <c r="W21" s="1715"/>
    </row>
    <row r="22" spans="2:23" ht="16.5">
      <c r="B22" s="1534">
        <f>1+B19</f>
        <v>4</v>
      </c>
      <c r="C22" s="1553"/>
      <c r="D22" s="1484" t="s">
        <v>553</v>
      </c>
      <c r="E22" s="1442"/>
      <c r="F22" s="1487"/>
      <c r="G22" s="1465"/>
      <c r="H22" s="1501"/>
      <c r="I22" s="1566"/>
      <c r="J22" s="1542"/>
      <c r="K22" s="1422"/>
      <c r="L22" s="1422"/>
      <c r="M22" s="1422"/>
      <c r="N22" s="323"/>
      <c r="P22" s="575"/>
      <c r="Q22" s="1714"/>
      <c r="S22" s="570"/>
    </row>
    <row r="23" spans="2:23" ht="16.5">
      <c r="B23" s="1535">
        <f t="shared" ref="B23:B25" si="4">+B22+0.01</f>
        <v>4.01</v>
      </c>
      <c r="C23" s="1553"/>
      <c r="D23" s="1442" t="s">
        <v>554</v>
      </c>
      <c r="E23" s="1442"/>
      <c r="F23" s="1487"/>
      <c r="G23" s="1465" t="s">
        <v>18</v>
      </c>
      <c r="H23" s="1501">
        <v>5</v>
      </c>
      <c r="I23" s="1639">
        <v>120.3</v>
      </c>
      <c r="J23" s="1542">
        <f t="shared" ref="J23:J25" si="5">+ROUND(I23*H23,2)</f>
        <v>601.5</v>
      </c>
      <c r="K23" s="1422"/>
      <c r="L23" s="1422"/>
      <c r="M23" s="1422"/>
      <c r="N23" s="323"/>
      <c r="P23" s="575"/>
      <c r="Q23" s="1714"/>
      <c r="R23" s="324"/>
      <c r="S23" s="570"/>
    </row>
    <row r="24" spans="2:23" ht="16.5">
      <c r="B24" s="1535">
        <f t="shared" si="4"/>
        <v>4.0199999999999996</v>
      </c>
      <c r="C24" s="1553"/>
      <c r="D24" s="1442" t="s">
        <v>555</v>
      </c>
      <c r="E24" s="1442"/>
      <c r="F24" s="1487"/>
      <c r="G24" s="1465" t="s">
        <v>18</v>
      </c>
      <c r="H24" s="1501">
        <v>40</v>
      </c>
      <c r="I24" s="1639">
        <v>88.8</v>
      </c>
      <c r="J24" s="1542">
        <f t="shared" si="5"/>
        <v>3552</v>
      </c>
      <c r="K24" s="1422"/>
      <c r="L24" s="1422"/>
      <c r="M24" s="1422"/>
      <c r="N24" s="323"/>
      <c r="P24" s="575"/>
      <c r="Q24" s="1714"/>
      <c r="R24" s="324"/>
      <c r="S24" s="570"/>
    </row>
    <row r="25" spans="2:23" ht="16.5">
      <c r="B25" s="1535">
        <f t="shared" si="4"/>
        <v>4.0299999999999994</v>
      </c>
      <c r="C25" s="1553"/>
      <c r="D25" s="1442" t="s">
        <v>556</v>
      </c>
      <c r="E25" s="1442"/>
      <c r="F25" s="1487"/>
      <c r="G25" s="1465" t="s">
        <v>18</v>
      </c>
      <c r="H25" s="1501">
        <v>5</v>
      </c>
      <c r="I25" s="1639">
        <v>620</v>
      </c>
      <c r="J25" s="1542">
        <f t="shared" si="5"/>
        <v>3100</v>
      </c>
      <c r="K25" s="1422"/>
      <c r="L25" s="1422"/>
      <c r="M25" s="1422"/>
      <c r="N25" s="323"/>
      <c r="P25" s="575"/>
      <c r="Q25" s="1714"/>
      <c r="R25" s="324"/>
      <c r="S25" s="570"/>
    </row>
    <row r="26" spans="2:23" ht="16.5">
      <c r="B26" s="1464"/>
      <c r="C26" s="1553"/>
      <c r="D26" s="1442"/>
      <c r="E26" s="1442"/>
      <c r="F26" s="1554" t="str">
        <f>+"SUB-TOTAL   "&amp;B22&amp;":  "</f>
        <v xml:space="preserve">SUB-TOTAL   4:  </v>
      </c>
      <c r="G26" s="1537"/>
      <c r="H26" s="1565"/>
      <c r="I26" s="1607"/>
      <c r="J26" s="1619">
        <f>SUM(J23:J25)</f>
        <v>7253.5</v>
      </c>
      <c r="K26" s="1422"/>
      <c r="L26" s="1422"/>
      <c r="M26" s="1422"/>
      <c r="N26" s="323"/>
      <c r="P26" s="575"/>
      <c r="Q26" s="1714"/>
      <c r="S26" s="570"/>
    </row>
    <row r="27" spans="2:23" ht="16.5">
      <c r="B27" s="1534">
        <f>1+B22</f>
        <v>5</v>
      </c>
      <c r="C27" s="1553"/>
      <c r="D27" s="1484" t="s">
        <v>1</v>
      </c>
      <c r="E27" s="1442"/>
      <c r="F27" s="1487"/>
      <c r="G27" s="1465"/>
      <c r="H27" s="1501"/>
      <c r="I27" s="1566"/>
      <c r="J27" s="1542"/>
      <c r="K27" s="1422"/>
      <c r="L27" s="1422"/>
      <c r="M27" s="1422"/>
      <c r="N27" s="323"/>
      <c r="P27" s="575"/>
      <c r="Q27" s="1714"/>
      <c r="S27" s="570"/>
    </row>
    <row r="28" spans="2:23" ht="16.5">
      <c r="B28" s="1535">
        <f t="shared" ref="B28:B30" si="6">+B27+0.01</f>
        <v>5.01</v>
      </c>
      <c r="C28" s="1553"/>
      <c r="D28" s="1442" t="s">
        <v>2</v>
      </c>
      <c r="E28" s="1442"/>
      <c r="F28" s="1487"/>
      <c r="G28" s="1465" t="s">
        <v>18</v>
      </c>
      <c r="H28" s="1501">
        <v>16</v>
      </c>
      <c r="I28" s="1639">
        <v>76.45</v>
      </c>
      <c r="J28" s="1542">
        <f t="shared" ref="J28:J31" si="7">+ROUND(I28*H28,2)</f>
        <v>1223.2</v>
      </c>
      <c r="K28" s="1422"/>
      <c r="L28" s="1422"/>
      <c r="M28" s="1422"/>
      <c r="N28" s="323"/>
      <c r="P28" s="575"/>
      <c r="Q28" s="1714"/>
      <c r="R28" s="324"/>
      <c r="S28" s="570"/>
    </row>
    <row r="29" spans="2:23" ht="16.5">
      <c r="B29" s="1535">
        <f t="shared" si="6"/>
        <v>5.0199999999999996</v>
      </c>
      <c r="C29" s="1553"/>
      <c r="D29" s="1442" t="s">
        <v>150</v>
      </c>
      <c r="E29" s="1442"/>
      <c r="F29" s="1487"/>
      <c r="G29" s="1465" t="s">
        <v>18</v>
      </c>
      <c r="H29" s="1501">
        <v>16</v>
      </c>
      <c r="I29" s="1639">
        <v>35.96</v>
      </c>
      <c r="J29" s="1542">
        <f t="shared" si="7"/>
        <v>575.36</v>
      </c>
      <c r="K29" s="1422"/>
      <c r="L29" s="1422"/>
      <c r="M29" s="1422"/>
      <c r="N29" s="323"/>
      <c r="P29" s="575"/>
      <c r="Q29" s="1714"/>
      <c r="R29" s="324"/>
      <c r="S29" s="570"/>
    </row>
    <row r="30" spans="2:23" ht="16.5">
      <c r="B30" s="1535">
        <f t="shared" si="6"/>
        <v>5.0299999999999994</v>
      </c>
      <c r="C30" s="1553"/>
      <c r="D30" s="1442" t="s">
        <v>557</v>
      </c>
      <c r="E30" s="1442"/>
      <c r="F30" s="1487"/>
      <c r="G30" s="1465"/>
      <c r="H30" s="1501"/>
      <c r="I30" s="1505"/>
      <c r="J30" s="1542"/>
      <c r="K30" s="1422"/>
      <c r="L30" s="1422"/>
      <c r="M30" s="1422"/>
      <c r="N30" s="323"/>
      <c r="P30" s="575"/>
      <c r="Q30" s="1714"/>
      <c r="S30" s="570"/>
    </row>
    <row r="31" spans="2:23" ht="16.5">
      <c r="B31" s="1535"/>
      <c r="C31" s="1553"/>
      <c r="D31" s="1442" t="s">
        <v>730</v>
      </c>
      <c r="E31" s="1867"/>
      <c r="F31" s="1868"/>
      <c r="G31" s="1465" t="s">
        <v>18</v>
      </c>
      <c r="H31" s="1501">
        <v>40</v>
      </c>
      <c r="I31" s="1639">
        <v>209.65</v>
      </c>
      <c r="J31" s="1621">
        <f t="shared" si="7"/>
        <v>8386</v>
      </c>
      <c r="K31" s="1422"/>
      <c r="L31" s="1422"/>
      <c r="M31" s="1422"/>
      <c r="N31" s="323"/>
      <c r="P31" s="575"/>
      <c r="Q31" s="1714"/>
      <c r="S31" s="570"/>
    </row>
    <row r="32" spans="2:23" ht="16.5">
      <c r="B32" s="1464"/>
      <c r="C32" s="1553"/>
      <c r="D32" s="1442"/>
      <c r="E32" s="1442"/>
      <c r="F32" s="1554" t="str">
        <f>+"SUB-TOTAL   "&amp;B27&amp;":  "</f>
        <v xml:space="preserve">SUB-TOTAL   5:  </v>
      </c>
      <c r="G32" s="1537"/>
      <c r="H32" s="1565"/>
      <c r="I32" s="1607"/>
      <c r="J32" s="1619">
        <f>+SUM(J28:J31)</f>
        <v>10184.56</v>
      </c>
      <c r="K32" s="1422"/>
      <c r="L32" s="1422"/>
      <c r="M32" s="1422"/>
      <c r="N32" s="323"/>
      <c r="P32" s="575"/>
      <c r="Q32" s="1714"/>
      <c r="S32" s="570"/>
    </row>
    <row r="33" spans="2:19" ht="16.5">
      <c r="B33" s="1534">
        <f>1+B27</f>
        <v>6</v>
      </c>
      <c r="C33" s="1553"/>
      <c r="D33" s="1484" t="s">
        <v>158</v>
      </c>
      <c r="E33" s="1442"/>
      <c r="F33" s="1487"/>
      <c r="G33" s="1465"/>
      <c r="H33" s="1501"/>
      <c r="I33" s="1566"/>
      <c r="J33" s="1542"/>
      <c r="K33" s="1422"/>
      <c r="L33" s="1422"/>
      <c r="M33" s="1422"/>
      <c r="N33" s="323"/>
      <c r="P33" s="575"/>
      <c r="Q33" s="1714"/>
      <c r="S33" s="570"/>
    </row>
    <row r="34" spans="2:19" ht="16.5">
      <c r="B34" s="1535">
        <f>+B33+0.01</f>
        <v>6.01</v>
      </c>
      <c r="C34" s="1553"/>
      <c r="D34" s="1485" t="s">
        <v>328</v>
      </c>
      <c r="E34" s="1442"/>
      <c r="F34" s="1487"/>
      <c r="G34" s="1465" t="s">
        <v>18</v>
      </c>
      <c r="H34" s="1501">
        <v>16</v>
      </c>
      <c r="I34" s="1639">
        <v>17.760000000000002</v>
      </c>
      <c r="J34" s="1542">
        <f t="shared" ref="J34:J35" si="8">+ROUND(I34*H34,2)</f>
        <v>284.16000000000003</v>
      </c>
      <c r="K34" s="1422"/>
      <c r="L34" s="1422"/>
      <c r="M34" s="1422"/>
      <c r="N34" s="323"/>
      <c r="P34" s="575"/>
      <c r="Q34" s="1714"/>
      <c r="S34" s="570"/>
    </row>
    <row r="35" spans="2:19" ht="16.5">
      <c r="B35" s="1535">
        <f>+B34+0.01</f>
        <v>6.02</v>
      </c>
      <c r="C35" s="1553"/>
      <c r="D35" s="1485" t="s">
        <v>329</v>
      </c>
      <c r="E35" s="1442"/>
      <c r="F35" s="1487"/>
      <c r="G35" s="1465" t="s">
        <v>18</v>
      </c>
      <c r="H35" s="1501">
        <v>16</v>
      </c>
      <c r="I35" s="1639">
        <v>76.66</v>
      </c>
      <c r="J35" s="1542">
        <f t="shared" si="8"/>
        <v>1226.56</v>
      </c>
      <c r="K35" s="1422"/>
      <c r="L35" s="1422"/>
      <c r="M35" s="1422"/>
      <c r="N35" s="323"/>
      <c r="P35" s="575"/>
      <c r="Q35" s="1714"/>
      <c r="S35" s="570"/>
    </row>
    <row r="36" spans="2:19" ht="16.5">
      <c r="B36" s="1464"/>
      <c r="C36" s="1553"/>
      <c r="D36" s="1442"/>
      <c r="E36" s="1442"/>
      <c r="F36" s="1554" t="str">
        <f>+"SUB-TOTAL   "&amp;B33&amp;":  "</f>
        <v xml:space="preserve">SUB-TOTAL   6:  </v>
      </c>
      <c r="G36" s="1537"/>
      <c r="H36" s="1565"/>
      <c r="I36" s="1607"/>
      <c r="J36" s="1619">
        <f>+SUM(J33:J35)</f>
        <v>1510.72</v>
      </c>
      <c r="K36" s="1422"/>
      <c r="L36" s="1422"/>
      <c r="M36" s="1422"/>
      <c r="N36" s="323"/>
      <c r="P36" s="575"/>
      <c r="Q36" s="1714"/>
      <c r="S36" s="570"/>
    </row>
    <row r="37" spans="2:19" ht="16.5">
      <c r="B37" s="1534">
        <f>1+B33</f>
        <v>7</v>
      </c>
      <c r="C37" s="1553"/>
      <c r="D37" s="1484" t="s">
        <v>275</v>
      </c>
      <c r="E37" s="1442"/>
      <c r="F37" s="1487"/>
      <c r="G37" s="1465"/>
      <c r="H37" s="1501"/>
      <c r="I37" s="1566"/>
      <c r="J37" s="1542"/>
      <c r="K37" s="1422"/>
      <c r="L37" s="1422"/>
      <c r="M37" s="1422"/>
      <c r="N37" s="323"/>
      <c r="P37" s="575"/>
      <c r="Q37" s="1714"/>
      <c r="S37" s="570"/>
    </row>
    <row r="38" spans="2:19" ht="16.5">
      <c r="B38" s="1535">
        <f t="shared" ref="B38" si="9">+B37+0.01</f>
        <v>7.01</v>
      </c>
      <c r="C38" s="1553"/>
      <c r="D38" s="1485" t="s">
        <v>3</v>
      </c>
      <c r="E38" s="1442"/>
      <c r="F38" s="1487"/>
      <c r="G38" s="1465" t="s">
        <v>191</v>
      </c>
      <c r="H38" s="1501">
        <v>3.51</v>
      </c>
      <c r="I38" s="1639">
        <v>2249.62</v>
      </c>
      <c r="J38" s="1542">
        <f t="shared" ref="J38" si="10">+ROUND(I38*H38,2)</f>
        <v>7896.17</v>
      </c>
      <c r="K38" s="1422"/>
      <c r="L38" s="1422"/>
      <c r="M38" s="1422"/>
      <c r="N38" s="323"/>
      <c r="P38" s="575"/>
      <c r="Q38" s="1714"/>
      <c r="R38" s="324"/>
      <c r="S38" s="570"/>
    </row>
    <row r="39" spans="2:19" ht="16.5">
      <c r="B39" s="1464"/>
      <c r="C39" s="1553"/>
      <c r="D39" s="1442"/>
      <c r="E39" s="1442"/>
      <c r="F39" s="1554" t="str">
        <f>+"SUB-TOTAL   "&amp;B37&amp;":  "</f>
        <v xml:space="preserve">SUB-TOTAL   7:  </v>
      </c>
      <c r="G39" s="1537"/>
      <c r="H39" s="1565"/>
      <c r="I39" s="1607"/>
      <c r="J39" s="1619">
        <f>+SUM(J38:J38)</f>
        <v>7896.17</v>
      </c>
      <c r="K39" s="1422"/>
      <c r="L39" s="1422"/>
      <c r="M39" s="1422"/>
      <c r="N39" s="323"/>
      <c r="P39" s="575"/>
      <c r="Q39" s="1714"/>
      <c r="S39" s="570"/>
    </row>
    <row r="40" spans="2:19" ht="16.5">
      <c r="B40" s="1534">
        <f>B37+1</f>
        <v>8</v>
      </c>
      <c r="C40" s="1553"/>
      <c r="D40" s="1484" t="s">
        <v>16</v>
      </c>
      <c r="E40" s="1442"/>
      <c r="F40" s="1487"/>
      <c r="G40" s="1465"/>
      <c r="H40" s="1501"/>
      <c r="I40" s="1566"/>
      <c r="J40" s="1542"/>
      <c r="K40" s="1422"/>
      <c r="L40" s="1422"/>
      <c r="M40" s="1422"/>
      <c r="N40" s="323"/>
      <c r="P40" s="575"/>
      <c r="Q40" s="1714"/>
      <c r="S40" s="570"/>
    </row>
    <row r="41" spans="2:19" ht="16.5">
      <c r="B41" s="1535">
        <f t="shared" ref="B41:B44" si="11">+B40+0.01</f>
        <v>8.01</v>
      </c>
      <c r="C41" s="1553"/>
      <c r="D41" s="1485" t="s">
        <v>4</v>
      </c>
      <c r="E41" s="1442"/>
      <c r="F41" s="1487"/>
      <c r="G41" s="1465" t="s">
        <v>18</v>
      </c>
      <c r="H41" s="1501">
        <v>41</v>
      </c>
      <c r="I41" s="1639">
        <v>10.19</v>
      </c>
      <c r="J41" s="1542">
        <f t="shared" ref="J41:J44" si="12">+ROUND(I41*H41,2)</f>
        <v>417.79</v>
      </c>
      <c r="K41" s="1422"/>
      <c r="L41" s="1422"/>
      <c r="M41" s="1422"/>
      <c r="N41" s="323"/>
      <c r="P41" s="575"/>
      <c r="Q41" s="1714"/>
      <c r="R41" s="324"/>
      <c r="S41" s="570"/>
    </row>
    <row r="42" spans="2:19" ht="16.5">
      <c r="B42" s="1535">
        <f t="shared" si="11"/>
        <v>8.02</v>
      </c>
      <c r="C42" s="1553"/>
      <c r="D42" s="1485" t="s">
        <v>6</v>
      </c>
      <c r="E42" s="1442"/>
      <c r="F42" s="1487"/>
      <c r="G42" s="1465" t="s">
        <v>18</v>
      </c>
      <c r="H42" s="1501">
        <v>41</v>
      </c>
      <c r="I42" s="1639">
        <v>7.77</v>
      </c>
      <c r="J42" s="1542">
        <f t="shared" si="12"/>
        <v>318.57</v>
      </c>
      <c r="K42" s="1422"/>
      <c r="L42" s="1422"/>
      <c r="M42" s="1422"/>
      <c r="N42" s="323"/>
      <c r="P42" s="575"/>
      <c r="Q42" s="1714"/>
      <c r="R42" s="324"/>
      <c r="S42" s="570"/>
    </row>
    <row r="43" spans="2:19" ht="16.5">
      <c r="B43" s="1535">
        <f t="shared" si="11"/>
        <v>8.0299999999999994</v>
      </c>
      <c r="C43" s="1553"/>
      <c r="D43" s="1485" t="s">
        <v>192</v>
      </c>
      <c r="E43" s="1442"/>
      <c r="F43" s="1487"/>
      <c r="G43" s="1465" t="s">
        <v>187</v>
      </c>
      <c r="H43" s="1501">
        <v>170</v>
      </c>
      <c r="I43" s="1639">
        <v>1.41</v>
      </c>
      <c r="J43" s="1542">
        <f t="shared" si="12"/>
        <v>239.7</v>
      </c>
      <c r="K43" s="1422"/>
      <c r="L43" s="1422"/>
      <c r="M43" s="1422"/>
      <c r="N43" s="323"/>
      <c r="P43" s="575"/>
      <c r="Q43" s="1714"/>
      <c r="R43" s="324"/>
      <c r="S43" s="570"/>
    </row>
    <row r="44" spans="2:19" ht="16.5">
      <c r="B44" s="1535">
        <f t="shared" si="11"/>
        <v>8.0399999999999991</v>
      </c>
      <c r="C44" s="1553"/>
      <c r="D44" s="1485" t="s">
        <v>193</v>
      </c>
      <c r="E44" s="1442"/>
      <c r="F44" s="1487"/>
      <c r="G44" s="1465" t="s">
        <v>18</v>
      </c>
      <c r="H44" s="1501">
        <v>16</v>
      </c>
      <c r="I44" s="1639">
        <v>25.34</v>
      </c>
      <c r="J44" s="1542">
        <f t="shared" si="12"/>
        <v>405.44</v>
      </c>
      <c r="K44" s="1422"/>
      <c r="L44" s="1422"/>
      <c r="M44" s="1422"/>
      <c r="N44" s="323"/>
      <c r="P44" s="575"/>
      <c r="Q44" s="1714"/>
      <c r="R44" s="324"/>
      <c r="S44" s="570"/>
    </row>
    <row r="45" spans="2:19" ht="16.5">
      <c r="B45" s="1464"/>
      <c r="C45" s="1553"/>
      <c r="D45" s="1442"/>
      <c r="E45" s="1442"/>
      <c r="F45" s="1554" t="str">
        <f>+"SUB-TOTAL   "&amp;B40&amp;":  "</f>
        <v xml:space="preserve">SUB-TOTAL   8:  </v>
      </c>
      <c r="G45" s="1537"/>
      <c r="H45" s="1565"/>
      <c r="I45" s="1607"/>
      <c r="J45" s="1619">
        <f>+SUM(J41:J44)</f>
        <v>1381.5</v>
      </c>
      <c r="K45" s="1422"/>
      <c r="L45" s="1422"/>
      <c r="M45" s="1422"/>
      <c r="N45" s="323"/>
      <c r="P45" s="575"/>
      <c r="Q45" s="1714"/>
      <c r="S45" s="570"/>
    </row>
    <row r="46" spans="2:19" ht="16.5">
      <c r="B46" s="1534">
        <f>1+B40</f>
        <v>9</v>
      </c>
      <c r="C46" s="1553"/>
      <c r="D46" s="1484" t="s">
        <v>17</v>
      </c>
      <c r="E46" s="1442"/>
      <c r="F46" s="1487"/>
      <c r="G46" s="1465"/>
      <c r="H46" s="1501"/>
      <c r="I46" s="1566"/>
      <c r="J46" s="1542"/>
      <c r="K46" s="1422"/>
      <c r="L46" s="1422"/>
      <c r="M46" s="1422"/>
      <c r="N46" s="323"/>
      <c r="P46" s="575"/>
      <c r="Q46" s="1714"/>
      <c r="S46" s="570"/>
    </row>
    <row r="47" spans="2:19" ht="16.5">
      <c r="B47" s="1535">
        <f>B46+0.01</f>
        <v>9.01</v>
      </c>
      <c r="C47" s="1553"/>
      <c r="D47" s="1485" t="s">
        <v>336</v>
      </c>
      <c r="E47" s="1442"/>
      <c r="F47" s="1487"/>
      <c r="G47" s="1465" t="s">
        <v>187</v>
      </c>
      <c r="H47" s="1501">
        <v>717.5</v>
      </c>
      <c r="I47" s="1639">
        <v>12.8</v>
      </c>
      <c r="J47" s="1542">
        <f t="shared" ref="J47" si="13">+ROUND(I47*H47,2)</f>
        <v>9184</v>
      </c>
      <c r="K47" s="1422"/>
      <c r="L47" s="1422"/>
      <c r="M47" s="1422"/>
      <c r="N47" s="323"/>
      <c r="P47" s="575"/>
      <c r="Q47" s="1714"/>
      <c r="S47" s="570"/>
    </row>
    <row r="48" spans="2:19" ht="16.5">
      <c r="B48" s="1534"/>
      <c r="C48" s="1553"/>
      <c r="D48" s="1442"/>
      <c r="E48" s="1442"/>
      <c r="F48" s="1554" t="str">
        <f>+"SUB-TOTAL   "&amp;B46&amp;":  "</f>
        <v xml:space="preserve">SUB-TOTAL   9:  </v>
      </c>
      <c r="G48" s="1537"/>
      <c r="H48" s="1565"/>
      <c r="I48" s="1607"/>
      <c r="J48" s="1619">
        <f>+SUM(J47:J47)</f>
        <v>9184</v>
      </c>
      <c r="K48" s="1422"/>
      <c r="L48" s="1422"/>
      <c r="M48" s="1422"/>
      <c r="N48" s="323"/>
      <c r="P48" s="575"/>
      <c r="Q48" s="1714"/>
      <c r="S48" s="570"/>
    </row>
    <row r="49" spans="2:19" ht="16.5">
      <c r="B49" s="1534">
        <f>1+B46</f>
        <v>10</v>
      </c>
      <c r="C49" s="1553"/>
      <c r="D49" s="1484" t="s">
        <v>276</v>
      </c>
      <c r="E49" s="1442"/>
      <c r="F49" s="1487"/>
      <c r="G49" s="1465"/>
      <c r="H49" s="1501"/>
      <c r="I49" s="1566"/>
      <c r="J49" s="1542"/>
      <c r="K49" s="1422"/>
      <c r="L49" s="1422"/>
      <c r="M49" s="1422"/>
      <c r="N49" s="323"/>
      <c r="P49" s="575"/>
      <c r="Q49" s="1714"/>
      <c r="S49" s="570"/>
    </row>
    <row r="50" spans="2:19" ht="16.5">
      <c r="B50" s="1535">
        <f t="shared" ref="B50:B64" si="14">+B49+0.01</f>
        <v>10.01</v>
      </c>
      <c r="C50" s="1553"/>
      <c r="D50" s="1485" t="s">
        <v>370</v>
      </c>
      <c r="E50" s="1869"/>
      <c r="F50" s="1870"/>
      <c r="G50" s="1465" t="s">
        <v>18</v>
      </c>
      <c r="H50" s="1501">
        <v>13</v>
      </c>
      <c r="I50" s="1639">
        <v>3.86</v>
      </c>
      <c r="J50" s="1542">
        <f t="shared" ref="J50:J64" si="15">+ROUND(I50*H50,2)</f>
        <v>50.18</v>
      </c>
      <c r="K50" s="1422"/>
      <c r="L50" s="1422"/>
      <c r="M50" s="1422"/>
      <c r="N50" s="323"/>
      <c r="P50" s="575"/>
      <c r="Q50" s="1714"/>
      <c r="S50" s="570"/>
    </row>
    <row r="51" spans="2:19" ht="16.5">
      <c r="B51" s="1535">
        <f t="shared" si="14"/>
        <v>10.02</v>
      </c>
      <c r="C51" s="1553"/>
      <c r="D51" s="1485" t="s">
        <v>315</v>
      </c>
      <c r="E51" s="1485"/>
      <c r="F51" s="1486"/>
      <c r="G51" s="1465" t="s">
        <v>18</v>
      </c>
      <c r="H51" s="1501">
        <v>13</v>
      </c>
      <c r="I51" s="1639">
        <v>6.25</v>
      </c>
      <c r="J51" s="1542">
        <f t="shared" si="15"/>
        <v>81.25</v>
      </c>
      <c r="K51" s="1422"/>
      <c r="L51" s="1422"/>
      <c r="M51" s="1422"/>
      <c r="N51" s="323"/>
      <c r="P51" s="575"/>
      <c r="Q51" s="1714"/>
      <c r="R51" s="324"/>
      <c r="S51" s="570"/>
    </row>
    <row r="52" spans="2:19" ht="16.5">
      <c r="B52" s="1535">
        <f t="shared" si="14"/>
        <v>10.029999999999999</v>
      </c>
      <c r="C52" s="1553"/>
      <c r="D52" s="1485" t="s">
        <v>308</v>
      </c>
      <c r="E52" s="1485"/>
      <c r="F52" s="1486"/>
      <c r="G52" s="1465" t="s">
        <v>18</v>
      </c>
      <c r="H52" s="1501">
        <v>32</v>
      </c>
      <c r="I52" s="1639">
        <v>8.61</v>
      </c>
      <c r="J52" s="1542">
        <f t="shared" si="15"/>
        <v>275.52</v>
      </c>
      <c r="K52" s="1422"/>
      <c r="L52" s="1422"/>
      <c r="M52" s="1422"/>
      <c r="N52" s="323"/>
      <c r="P52" s="575"/>
      <c r="Q52" s="1714"/>
      <c r="R52" s="324"/>
      <c r="S52" s="570"/>
    </row>
    <row r="53" spans="2:19" ht="16.5">
      <c r="B53" s="1535">
        <f t="shared" si="14"/>
        <v>10.039999999999999</v>
      </c>
      <c r="C53" s="1553"/>
      <c r="D53" s="1485" t="s">
        <v>11</v>
      </c>
      <c r="E53" s="1485"/>
      <c r="F53" s="1486"/>
      <c r="G53" s="1465" t="s">
        <v>18</v>
      </c>
      <c r="H53" s="1501">
        <v>26</v>
      </c>
      <c r="I53" s="1639">
        <v>9.14</v>
      </c>
      <c r="J53" s="1542">
        <f t="shared" si="15"/>
        <v>237.64</v>
      </c>
      <c r="K53" s="1422"/>
      <c r="L53" s="1422"/>
      <c r="M53" s="1422"/>
      <c r="N53" s="323"/>
      <c r="P53" s="575"/>
      <c r="Q53" s="1714"/>
      <c r="R53" s="324"/>
      <c r="S53" s="570"/>
    </row>
    <row r="54" spans="2:19" ht="16.5">
      <c r="B54" s="1535">
        <f t="shared" si="14"/>
        <v>10.049999999999999</v>
      </c>
      <c r="C54" s="1553"/>
      <c r="D54" s="1485" t="s">
        <v>292</v>
      </c>
      <c r="E54" s="1485"/>
      <c r="F54" s="1486"/>
      <c r="G54" s="1465" t="s">
        <v>18</v>
      </c>
      <c r="H54" s="1501">
        <v>13</v>
      </c>
      <c r="I54" s="1639">
        <v>9.82</v>
      </c>
      <c r="J54" s="1542">
        <f t="shared" si="15"/>
        <v>127.66</v>
      </c>
      <c r="K54" s="1422"/>
      <c r="L54" s="1422"/>
      <c r="M54" s="1422"/>
      <c r="N54" s="323"/>
      <c r="P54" s="575"/>
      <c r="Q54" s="1714"/>
      <c r="S54" s="570"/>
    </row>
    <row r="55" spans="2:19" ht="16.5">
      <c r="B55" s="1535">
        <f t="shared" si="14"/>
        <v>10.059999999999999</v>
      </c>
      <c r="C55" s="1553"/>
      <c r="D55" s="1485" t="s">
        <v>313</v>
      </c>
      <c r="E55" s="1485"/>
      <c r="F55" s="1486"/>
      <c r="G55" s="1465" t="s">
        <v>18</v>
      </c>
      <c r="H55" s="1501">
        <v>16</v>
      </c>
      <c r="I55" s="1639">
        <v>13.11</v>
      </c>
      <c r="J55" s="1542">
        <f t="shared" si="15"/>
        <v>209.76</v>
      </c>
      <c r="K55" s="1422"/>
      <c r="L55" s="1422"/>
      <c r="M55" s="1422"/>
      <c r="N55" s="323"/>
      <c r="P55" s="575"/>
      <c r="Q55" s="1714"/>
      <c r="S55" s="570"/>
    </row>
    <row r="56" spans="2:19" ht="16.5">
      <c r="B56" s="1535">
        <f t="shared" si="14"/>
        <v>10.069999999999999</v>
      </c>
      <c r="C56" s="1553"/>
      <c r="D56" s="1485" t="s">
        <v>312</v>
      </c>
      <c r="E56" s="1442"/>
      <c r="F56" s="1487"/>
      <c r="G56" s="1465" t="s">
        <v>18</v>
      </c>
      <c r="H56" s="1501">
        <v>50</v>
      </c>
      <c r="I56" s="1639">
        <v>18.18</v>
      </c>
      <c r="J56" s="1542">
        <f t="shared" si="15"/>
        <v>909</v>
      </c>
      <c r="K56" s="1422"/>
      <c r="L56" s="1422"/>
      <c r="M56" s="1422"/>
      <c r="N56" s="323"/>
      <c r="P56" s="575"/>
      <c r="Q56" s="1714"/>
      <c r="S56" s="570"/>
    </row>
    <row r="57" spans="2:19" ht="16.5">
      <c r="B57" s="1535">
        <f t="shared" si="14"/>
        <v>10.079999999999998</v>
      </c>
      <c r="C57" s="1553"/>
      <c r="D57" s="1485" t="s">
        <v>338</v>
      </c>
      <c r="E57" s="1442"/>
      <c r="F57" s="1487"/>
      <c r="G57" s="1465" t="s">
        <v>18</v>
      </c>
      <c r="H57" s="1501">
        <v>2</v>
      </c>
      <c r="I57" s="1639">
        <v>2.74</v>
      </c>
      <c r="J57" s="1542">
        <f t="shared" si="15"/>
        <v>5.48</v>
      </c>
      <c r="K57" s="1422"/>
      <c r="L57" s="1422"/>
      <c r="M57" s="1422"/>
      <c r="N57" s="323"/>
      <c r="P57" s="575"/>
      <c r="Q57" s="1714"/>
      <c r="S57" s="570"/>
    </row>
    <row r="58" spans="2:19" ht="16.5">
      <c r="B58" s="1535">
        <f t="shared" si="14"/>
        <v>10.089999999999998</v>
      </c>
      <c r="C58" s="1553"/>
      <c r="D58" s="1485" t="s">
        <v>151</v>
      </c>
      <c r="E58" s="1485"/>
      <c r="F58" s="1486"/>
      <c r="G58" s="1465" t="s">
        <v>18</v>
      </c>
      <c r="H58" s="1501">
        <v>13</v>
      </c>
      <c r="I58" s="1639">
        <v>22.46</v>
      </c>
      <c r="J58" s="1542">
        <f t="shared" si="15"/>
        <v>291.98</v>
      </c>
      <c r="K58" s="1422"/>
      <c r="L58" s="1422"/>
      <c r="M58" s="1422"/>
      <c r="N58" s="323"/>
      <c r="P58" s="575"/>
      <c r="Q58" s="1714"/>
      <c r="S58" s="570"/>
    </row>
    <row r="59" spans="2:19" ht="16.5">
      <c r="B59" s="1535">
        <f t="shared" si="14"/>
        <v>10.099999999999998</v>
      </c>
      <c r="C59" s="1553"/>
      <c r="D59" s="1485" t="s">
        <v>264</v>
      </c>
      <c r="E59" s="1485"/>
      <c r="F59" s="1486"/>
      <c r="G59" s="1465" t="s">
        <v>18</v>
      </c>
      <c r="H59" s="1501">
        <v>107</v>
      </c>
      <c r="I59" s="1639">
        <v>1.67</v>
      </c>
      <c r="J59" s="1542">
        <f t="shared" si="15"/>
        <v>178.69</v>
      </c>
      <c r="K59" s="1422"/>
      <c r="L59" s="1422"/>
      <c r="M59" s="1422"/>
      <c r="N59" s="323"/>
      <c r="P59" s="575"/>
      <c r="Q59" s="1714"/>
      <c r="R59" s="324"/>
      <c r="S59" s="570"/>
    </row>
    <row r="60" spans="2:19" ht="16.5">
      <c r="B60" s="1535">
        <f t="shared" si="14"/>
        <v>10.109999999999998</v>
      </c>
      <c r="C60" s="1553"/>
      <c r="D60" s="1485" t="s">
        <v>167</v>
      </c>
      <c r="E60" s="1485"/>
      <c r="F60" s="1486"/>
      <c r="G60" s="1465" t="s">
        <v>18</v>
      </c>
      <c r="H60" s="1501">
        <v>211</v>
      </c>
      <c r="I60" s="1639">
        <v>1.67</v>
      </c>
      <c r="J60" s="1542">
        <f t="shared" si="15"/>
        <v>352.37</v>
      </c>
      <c r="K60" s="1422"/>
      <c r="L60" s="1422"/>
      <c r="M60" s="1422"/>
      <c r="N60" s="323"/>
      <c r="P60" s="575"/>
      <c r="Q60" s="1714"/>
      <c r="R60" s="324"/>
      <c r="S60" s="570"/>
    </row>
    <row r="61" spans="2:19" ht="16.5">
      <c r="B61" s="1535">
        <f t="shared" si="14"/>
        <v>10.119999999999997</v>
      </c>
      <c r="C61" s="1553"/>
      <c r="D61" s="1485" t="s">
        <v>294</v>
      </c>
      <c r="E61" s="1442"/>
      <c r="F61" s="1487"/>
      <c r="G61" s="1465" t="s">
        <v>295</v>
      </c>
      <c r="H61" s="1501">
        <v>34</v>
      </c>
      <c r="I61" s="1639">
        <v>23.08</v>
      </c>
      <c r="J61" s="1542">
        <f t="shared" si="15"/>
        <v>784.72</v>
      </c>
      <c r="K61" s="1422"/>
      <c r="L61" s="1422"/>
      <c r="M61" s="1422"/>
      <c r="N61" s="323"/>
      <c r="P61" s="575"/>
      <c r="Q61" s="1714"/>
      <c r="S61" s="570"/>
    </row>
    <row r="62" spans="2:19" ht="16.5">
      <c r="B62" s="1535">
        <f t="shared" si="14"/>
        <v>10.129999999999997</v>
      </c>
      <c r="C62" s="1553"/>
      <c r="D62" s="1485" t="s">
        <v>339</v>
      </c>
      <c r="E62" s="1442"/>
      <c r="F62" s="1487"/>
      <c r="G62" s="1465" t="s">
        <v>18</v>
      </c>
      <c r="H62" s="1501">
        <v>2</v>
      </c>
      <c r="I62" s="1639">
        <v>18.239999999999998</v>
      </c>
      <c r="J62" s="1542">
        <f t="shared" si="15"/>
        <v>36.479999999999997</v>
      </c>
      <c r="K62" s="1422"/>
      <c r="L62" s="1422"/>
      <c r="M62" s="1422"/>
      <c r="N62" s="323"/>
      <c r="P62" s="575"/>
      <c r="Q62" s="1714"/>
      <c r="S62" s="570"/>
    </row>
    <row r="63" spans="2:19" ht="16.5">
      <c r="B63" s="1535">
        <f t="shared" si="14"/>
        <v>10.139999999999997</v>
      </c>
      <c r="C63" s="1553"/>
      <c r="D63" s="1485" t="s">
        <v>340</v>
      </c>
      <c r="E63" s="1442"/>
      <c r="F63" s="1487"/>
      <c r="G63" s="1465" t="s">
        <v>18</v>
      </c>
      <c r="H63" s="1501">
        <v>2</v>
      </c>
      <c r="I63" s="1639">
        <v>16.84</v>
      </c>
      <c r="J63" s="1542">
        <f t="shared" si="15"/>
        <v>33.68</v>
      </c>
      <c r="K63" s="1422"/>
      <c r="L63" s="1422"/>
      <c r="M63" s="1422"/>
      <c r="N63" s="323"/>
      <c r="P63" s="575"/>
      <c r="Q63" s="1714"/>
      <c r="S63" s="570"/>
    </row>
    <row r="64" spans="2:19" ht="16.5">
      <c r="B64" s="1535">
        <f t="shared" si="14"/>
        <v>10.149999999999997</v>
      </c>
      <c r="C64" s="1553"/>
      <c r="D64" s="1485" t="s">
        <v>341</v>
      </c>
      <c r="E64" s="1442"/>
      <c r="F64" s="1487"/>
      <c r="G64" s="1465" t="s">
        <v>18</v>
      </c>
      <c r="H64" s="1501">
        <v>2</v>
      </c>
      <c r="I64" s="1639">
        <v>18.78</v>
      </c>
      <c r="J64" s="1617">
        <f t="shared" si="15"/>
        <v>37.56</v>
      </c>
      <c r="K64" s="1422"/>
      <c r="L64" s="1422"/>
      <c r="M64" s="1422"/>
      <c r="N64" s="323"/>
      <c r="P64" s="575"/>
      <c r="Q64" s="1714"/>
      <c r="S64" s="570"/>
    </row>
    <row r="65" spans="2:19" ht="16.5">
      <c r="B65" s="1464"/>
      <c r="C65" s="1553"/>
      <c r="D65" s="1442"/>
      <c r="E65" s="1442"/>
      <c r="F65" s="1554" t="str">
        <f>+"SUB-TOTAL   "&amp;B49&amp;":  "</f>
        <v xml:space="preserve">SUB-TOTAL   10:  </v>
      </c>
      <c r="G65" s="1537"/>
      <c r="H65" s="1565"/>
      <c r="I65" s="1607"/>
      <c r="J65" s="1619">
        <f>SUM(J50:J64)</f>
        <v>3611.97</v>
      </c>
      <c r="K65" s="1422"/>
      <c r="L65" s="1422"/>
      <c r="M65" s="1422"/>
      <c r="N65" s="323"/>
      <c r="P65" s="575"/>
      <c r="Q65" s="1714"/>
      <c r="S65" s="570"/>
    </row>
    <row r="66" spans="2:19" ht="16.5">
      <c r="B66" s="1534">
        <f>1+B49</f>
        <v>11</v>
      </c>
      <c r="C66" s="1553"/>
      <c r="D66" s="1484" t="s">
        <v>277</v>
      </c>
      <c r="E66" s="1442"/>
      <c r="F66" s="1487"/>
      <c r="G66" s="1465"/>
      <c r="H66" s="1501"/>
      <c r="I66" s="1566"/>
      <c r="J66" s="1542"/>
      <c r="K66" s="1422"/>
      <c r="L66" s="1422"/>
      <c r="M66" s="1422"/>
      <c r="N66" s="323"/>
      <c r="P66" s="575"/>
      <c r="Q66" s="1714"/>
      <c r="S66" s="570"/>
    </row>
    <row r="67" spans="2:19" ht="16.5">
      <c r="B67" s="1535">
        <f t="shared" ref="B67:B77" si="16">+B66+0.01</f>
        <v>11.01</v>
      </c>
      <c r="C67" s="1553"/>
      <c r="D67" s="1485" t="s">
        <v>371</v>
      </c>
      <c r="E67" s="1442"/>
      <c r="F67" s="1487"/>
      <c r="G67" s="1465" t="s">
        <v>187</v>
      </c>
      <c r="H67" s="1501">
        <v>154</v>
      </c>
      <c r="I67" s="1639">
        <v>4.3099999999999996</v>
      </c>
      <c r="J67" s="1542">
        <f t="shared" ref="J67:J76" si="17">+ROUND(I67*H67,2)</f>
        <v>663.74</v>
      </c>
      <c r="K67" s="1422"/>
      <c r="L67" s="1422"/>
      <c r="M67" s="1422"/>
      <c r="N67" s="323"/>
      <c r="P67" s="575"/>
      <c r="Q67" s="1714"/>
      <c r="R67" s="324"/>
      <c r="S67" s="570"/>
    </row>
    <row r="68" spans="2:19" ht="16.5">
      <c r="B68" s="1535">
        <f t="shared" si="16"/>
        <v>11.02</v>
      </c>
      <c r="C68" s="1553"/>
      <c r="D68" s="1485" t="s">
        <v>153</v>
      </c>
      <c r="E68" s="1869"/>
      <c r="F68" s="1870"/>
      <c r="G68" s="1465" t="s">
        <v>18</v>
      </c>
      <c r="H68" s="1501">
        <v>9</v>
      </c>
      <c r="I68" s="1639">
        <v>46.85</v>
      </c>
      <c r="J68" s="1542">
        <f t="shared" si="17"/>
        <v>421.65</v>
      </c>
      <c r="K68" s="1422"/>
      <c r="L68" s="1422"/>
      <c r="M68" s="1422"/>
      <c r="N68" s="323"/>
      <c r="P68" s="575"/>
      <c r="Q68" s="1714"/>
      <c r="S68" s="570"/>
    </row>
    <row r="69" spans="2:19" ht="16.5">
      <c r="B69" s="1535">
        <f t="shared" si="16"/>
        <v>11.03</v>
      </c>
      <c r="C69" s="1553"/>
      <c r="D69" s="1485" t="s">
        <v>342</v>
      </c>
      <c r="E69" s="1442"/>
      <c r="F69" s="1487"/>
      <c r="G69" s="1465" t="s">
        <v>18</v>
      </c>
      <c r="H69" s="1501">
        <v>38</v>
      </c>
      <c r="I69" s="1639">
        <v>11.69</v>
      </c>
      <c r="J69" s="1542">
        <f t="shared" si="17"/>
        <v>444.22</v>
      </c>
      <c r="K69" s="1422"/>
      <c r="L69" s="1422"/>
      <c r="M69" s="1422"/>
      <c r="N69" s="323"/>
      <c r="P69" s="575"/>
      <c r="Q69" s="1714"/>
      <c r="R69" s="324"/>
      <c r="S69" s="570"/>
    </row>
    <row r="70" spans="2:19" ht="16.5">
      <c r="B70" s="1535">
        <f t="shared" si="16"/>
        <v>11.04</v>
      </c>
      <c r="C70" s="1553"/>
      <c r="D70" s="1485" t="s">
        <v>722</v>
      </c>
      <c r="E70" s="1442"/>
      <c r="F70" s="1487"/>
      <c r="G70" s="1465" t="s">
        <v>187</v>
      </c>
      <c r="H70" s="1501">
        <v>36</v>
      </c>
      <c r="I70" s="1639">
        <v>0.71</v>
      </c>
      <c r="J70" s="1542">
        <f t="shared" si="17"/>
        <v>25.56</v>
      </c>
      <c r="K70" s="1422"/>
      <c r="L70" s="1422"/>
      <c r="M70" s="1422"/>
      <c r="N70" s="323"/>
      <c r="P70" s="575"/>
      <c r="Q70" s="1714"/>
      <c r="R70" s="324"/>
      <c r="S70" s="570"/>
    </row>
    <row r="71" spans="2:19" ht="16.5">
      <c r="B71" s="1535">
        <f t="shared" si="16"/>
        <v>11.049999999999999</v>
      </c>
      <c r="C71" s="1553"/>
      <c r="D71" s="1485" t="s">
        <v>343</v>
      </c>
      <c r="E71" s="1442"/>
      <c r="F71" s="1487"/>
      <c r="G71" s="1465" t="s">
        <v>18</v>
      </c>
      <c r="H71" s="1501">
        <v>9</v>
      </c>
      <c r="I71" s="1639">
        <v>5.46</v>
      </c>
      <c r="J71" s="1542">
        <f t="shared" si="17"/>
        <v>49.14</v>
      </c>
      <c r="K71" s="1422"/>
      <c r="L71" s="1422"/>
      <c r="M71" s="1422"/>
      <c r="N71" s="323"/>
      <c r="P71" s="575"/>
      <c r="Q71" s="1714"/>
      <c r="R71" s="324"/>
      <c r="S71" s="570"/>
    </row>
    <row r="72" spans="2:19" ht="16.5">
      <c r="B72" s="1535">
        <f t="shared" si="16"/>
        <v>11.059999999999999</v>
      </c>
      <c r="C72" s="1553"/>
      <c r="D72" s="1485" t="s">
        <v>317</v>
      </c>
      <c r="E72" s="1442"/>
      <c r="F72" s="1487"/>
      <c r="G72" s="1465" t="s">
        <v>18</v>
      </c>
      <c r="H72" s="1501">
        <v>16</v>
      </c>
      <c r="I72" s="1639">
        <v>15.01</v>
      </c>
      <c r="J72" s="1542">
        <f t="shared" si="17"/>
        <v>240.16</v>
      </c>
      <c r="K72" s="1422"/>
      <c r="L72" s="1422"/>
      <c r="M72" s="1422"/>
      <c r="N72" s="323"/>
      <c r="P72" s="575"/>
      <c r="Q72" s="1714"/>
      <c r="R72" s="324"/>
      <c r="S72" s="570"/>
    </row>
    <row r="73" spans="2:19" ht="16.5">
      <c r="B73" s="1535">
        <f t="shared" si="16"/>
        <v>11.069999999999999</v>
      </c>
      <c r="C73" s="1553"/>
      <c r="D73" s="1485" t="s">
        <v>322</v>
      </c>
      <c r="E73" s="1485"/>
      <c r="F73" s="1486"/>
      <c r="G73" s="1465" t="s">
        <v>18</v>
      </c>
      <c r="H73" s="1501">
        <v>9</v>
      </c>
      <c r="I73" s="1639">
        <v>28.99</v>
      </c>
      <c r="J73" s="1542">
        <f t="shared" si="17"/>
        <v>260.91000000000003</v>
      </c>
      <c r="K73" s="1422"/>
      <c r="L73" s="1422"/>
      <c r="M73" s="1422"/>
      <c r="N73" s="323"/>
      <c r="P73" s="575"/>
      <c r="Q73" s="1714"/>
      <c r="S73" s="570"/>
    </row>
    <row r="74" spans="2:19" ht="16.5">
      <c r="B74" s="1535">
        <f t="shared" si="16"/>
        <v>11.079999999999998</v>
      </c>
      <c r="C74" s="1553"/>
      <c r="D74" s="1485" t="s">
        <v>345</v>
      </c>
      <c r="E74" s="1869"/>
      <c r="F74" s="1870"/>
      <c r="G74" s="1465" t="s">
        <v>18</v>
      </c>
      <c r="H74" s="1501">
        <v>9</v>
      </c>
      <c r="I74" s="1639">
        <v>76.66</v>
      </c>
      <c r="J74" s="1542">
        <f t="shared" si="17"/>
        <v>689.94</v>
      </c>
      <c r="K74" s="1422"/>
      <c r="L74" s="1422"/>
      <c r="M74" s="1422"/>
      <c r="N74" s="323"/>
      <c r="P74" s="575"/>
      <c r="Q74" s="1714"/>
      <c r="S74" s="570"/>
    </row>
    <row r="75" spans="2:19" ht="16.5">
      <c r="B75" s="1535">
        <f t="shared" si="16"/>
        <v>11.089999999999998</v>
      </c>
      <c r="C75" s="1553"/>
      <c r="D75" s="1485" t="s">
        <v>265</v>
      </c>
      <c r="E75" s="1442"/>
      <c r="F75" s="1487"/>
      <c r="G75" s="1465" t="s">
        <v>18</v>
      </c>
      <c r="H75" s="1501">
        <v>9</v>
      </c>
      <c r="I75" s="1639">
        <v>40.94</v>
      </c>
      <c r="J75" s="1542">
        <f t="shared" si="17"/>
        <v>368.46</v>
      </c>
      <c r="K75" s="1422"/>
      <c r="L75" s="1422"/>
      <c r="M75" s="1422"/>
      <c r="N75" s="323"/>
      <c r="P75" s="575"/>
      <c r="Q75" s="1714"/>
      <c r="R75" s="324"/>
      <c r="S75" s="570"/>
    </row>
    <row r="76" spans="2:19" ht="16.5">
      <c r="B76" s="1535">
        <f t="shared" si="16"/>
        <v>11.099999999999998</v>
      </c>
      <c r="C76" s="1553"/>
      <c r="D76" s="1442" t="s">
        <v>12</v>
      </c>
      <c r="E76" s="1442"/>
      <c r="F76" s="1487"/>
      <c r="G76" s="1465" t="s">
        <v>18</v>
      </c>
      <c r="H76" s="1501">
        <v>5</v>
      </c>
      <c r="I76" s="1639">
        <v>11.17</v>
      </c>
      <c r="J76" s="1542">
        <f t="shared" si="17"/>
        <v>55.85</v>
      </c>
      <c r="K76" s="1422"/>
      <c r="L76" s="1422"/>
      <c r="M76" s="1422"/>
      <c r="N76" s="323"/>
      <c r="P76" s="575"/>
      <c r="Q76" s="1714"/>
      <c r="S76" s="570"/>
    </row>
    <row r="77" spans="2:19" ht="16.5">
      <c r="B77" s="1535">
        <f t="shared" si="16"/>
        <v>11.109999999999998</v>
      </c>
      <c r="C77" s="1553"/>
      <c r="D77" s="1485" t="s">
        <v>344</v>
      </c>
      <c r="E77" s="1869"/>
      <c r="F77" s="1870"/>
      <c r="G77" s="1460" t="s">
        <v>18</v>
      </c>
      <c r="H77" s="1461">
        <v>9</v>
      </c>
      <c r="I77" s="1639">
        <v>81.849999999999994</v>
      </c>
      <c r="J77" s="1474">
        <f t="shared" ref="J77" si="18">+ROUND(I77*H77,2)</f>
        <v>736.65</v>
      </c>
      <c r="K77" s="1422"/>
      <c r="L77" s="1422"/>
      <c r="M77" s="1422"/>
      <c r="N77" s="323"/>
      <c r="P77" s="575"/>
      <c r="Q77" s="1714"/>
      <c r="S77" s="570"/>
    </row>
    <row r="78" spans="2:19" ht="16.5">
      <c r="B78" s="1543"/>
      <c r="C78" s="1556"/>
      <c r="D78" s="1522"/>
      <c r="E78" s="1522"/>
      <c r="F78" s="1557" t="str">
        <f>+"SUB-TOTAL   "&amp;B66&amp;":  "</f>
        <v xml:space="preserve">SUB-TOTAL   11:  </v>
      </c>
      <c r="G78" s="1753"/>
      <c r="H78" s="1567"/>
      <c r="I78" s="1611"/>
      <c r="J78" s="1623">
        <f>SUM(J67:J77)</f>
        <v>3956.28</v>
      </c>
      <c r="K78" s="1422"/>
      <c r="L78" s="1422"/>
      <c r="M78" s="1422"/>
      <c r="N78" s="323"/>
      <c r="P78" s="575"/>
      <c r="Q78" s="1714"/>
      <c r="S78" s="570"/>
    </row>
    <row r="79" spans="2:19" ht="16.5">
      <c r="B79" s="1534">
        <f>1+B66</f>
        <v>12</v>
      </c>
      <c r="C79" s="1553"/>
      <c r="D79" s="1484" t="s">
        <v>278</v>
      </c>
      <c r="E79" s="1442"/>
      <c r="F79" s="1487"/>
      <c r="G79" s="1465"/>
      <c r="H79" s="1501"/>
      <c r="I79" s="1566"/>
      <c r="J79" s="1542"/>
      <c r="K79" s="1422"/>
      <c r="L79" s="1422"/>
      <c r="M79" s="1422"/>
      <c r="N79" s="323"/>
      <c r="P79" s="575"/>
      <c r="Q79" s="1714"/>
      <c r="S79" s="570"/>
    </row>
    <row r="80" spans="2:19" ht="16.5">
      <c r="B80" s="1535">
        <f t="shared" ref="B80:B88" si="19">+B79+0.01</f>
        <v>12.01</v>
      </c>
      <c r="C80" s="1553"/>
      <c r="D80" s="1485" t="s">
        <v>154</v>
      </c>
      <c r="E80" s="1485"/>
      <c r="F80" s="1486"/>
      <c r="G80" s="1465" t="s">
        <v>18</v>
      </c>
      <c r="H80" s="1501">
        <v>49</v>
      </c>
      <c r="I80" s="1639">
        <v>66.7</v>
      </c>
      <c r="J80" s="1542">
        <f t="shared" ref="J80:J87" si="20">+ROUND(I80*H80,2)</f>
        <v>3268.3</v>
      </c>
      <c r="K80" s="1422"/>
      <c r="L80" s="1422"/>
      <c r="M80" s="1422"/>
      <c r="N80" s="323"/>
      <c r="P80" s="575"/>
      <c r="Q80" s="1714"/>
      <c r="S80" s="570"/>
    </row>
    <row r="81" spans="2:26" ht="16.5">
      <c r="B81" s="1535">
        <f t="shared" si="19"/>
        <v>12.02</v>
      </c>
      <c r="C81" s="1553"/>
      <c r="D81" s="1485" t="s">
        <v>35</v>
      </c>
      <c r="E81" s="1485"/>
      <c r="F81" s="1486"/>
      <c r="G81" s="1465" t="s">
        <v>18</v>
      </c>
      <c r="H81" s="1501">
        <v>49</v>
      </c>
      <c r="I81" s="1639">
        <v>53.58</v>
      </c>
      <c r="J81" s="1542">
        <f t="shared" si="20"/>
        <v>2625.42</v>
      </c>
      <c r="K81" s="1422"/>
      <c r="L81" s="1422"/>
      <c r="M81" s="1422"/>
      <c r="N81" s="323"/>
      <c r="P81" s="575"/>
      <c r="Q81" s="1714"/>
      <c r="S81" s="570"/>
    </row>
    <row r="82" spans="2:26" ht="16.5">
      <c r="B82" s="1535">
        <f t="shared" si="19"/>
        <v>12.03</v>
      </c>
      <c r="C82" s="1553"/>
      <c r="D82" s="1485" t="s">
        <v>155</v>
      </c>
      <c r="E82" s="1485"/>
      <c r="F82" s="1486"/>
      <c r="G82" s="1465" t="s">
        <v>18</v>
      </c>
      <c r="H82" s="1501">
        <v>72</v>
      </c>
      <c r="I82" s="1639">
        <v>10.54</v>
      </c>
      <c r="J82" s="1542">
        <f t="shared" si="20"/>
        <v>758.88</v>
      </c>
      <c r="K82" s="1422"/>
      <c r="L82" s="1422"/>
      <c r="M82" s="1422"/>
      <c r="N82" s="323"/>
      <c r="P82" s="575"/>
      <c r="Q82" s="1714"/>
      <c r="S82" s="570"/>
    </row>
    <row r="83" spans="2:26" ht="16.5">
      <c r="B83" s="1535">
        <f t="shared" si="19"/>
        <v>12.04</v>
      </c>
      <c r="C83" s="1553"/>
      <c r="D83" s="1485" t="s">
        <v>346</v>
      </c>
      <c r="E83" s="1869"/>
      <c r="F83" s="1870"/>
      <c r="G83" s="1465" t="s">
        <v>18</v>
      </c>
      <c r="H83" s="1501">
        <v>49</v>
      </c>
      <c r="I83" s="1639">
        <v>6.94</v>
      </c>
      <c r="J83" s="1542">
        <f t="shared" si="20"/>
        <v>340.06</v>
      </c>
      <c r="K83" s="1422"/>
      <c r="L83" s="1422"/>
      <c r="M83" s="1422"/>
      <c r="N83" s="323"/>
      <c r="P83" s="575"/>
      <c r="Q83" s="1714"/>
      <c r="S83" s="570"/>
    </row>
    <row r="84" spans="2:26" ht="16.5">
      <c r="B84" s="1535">
        <f t="shared" si="19"/>
        <v>12.049999999999999</v>
      </c>
      <c r="C84" s="1553"/>
      <c r="D84" s="1485" t="s">
        <v>347</v>
      </c>
      <c r="E84" s="1869"/>
      <c r="F84" s="1870"/>
      <c r="G84" s="1465" t="s">
        <v>18</v>
      </c>
      <c r="H84" s="1501">
        <v>150</v>
      </c>
      <c r="I84" s="1639">
        <v>7.4</v>
      </c>
      <c r="J84" s="1542">
        <f t="shared" si="20"/>
        <v>1110</v>
      </c>
      <c r="K84" s="1422"/>
      <c r="L84" s="1422"/>
      <c r="M84" s="1422"/>
      <c r="N84" s="323"/>
      <c r="P84" s="575"/>
      <c r="Q84" s="1714"/>
      <c r="R84" s="1716"/>
      <c r="S84" s="1714"/>
      <c r="T84" s="517"/>
      <c r="U84" s="1699"/>
      <c r="V84" s="1699"/>
      <c r="W84" s="517"/>
      <c r="X84" s="517"/>
      <c r="Y84" s="517"/>
    </row>
    <row r="85" spans="2:26" ht="16.5">
      <c r="B85" s="1535">
        <f t="shared" si="19"/>
        <v>12.059999999999999</v>
      </c>
      <c r="C85" s="1553"/>
      <c r="D85" s="1485" t="s">
        <v>944</v>
      </c>
      <c r="E85" s="1442"/>
      <c r="F85" s="1487"/>
      <c r="G85" s="1465" t="s">
        <v>18</v>
      </c>
      <c r="H85" s="1501">
        <v>140</v>
      </c>
      <c r="I85" s="1639">
        <v>0.47</v>
      </c>
      <c r="J85" s="1542">
        <f t="shared" si="20"/>
        <v>65.8</v>
      </c>
      <c r="K85" s="1422"/>
      <c r="L85" s="1422"/>
      <c r="M85" s="1422"/>
      <c r="N85" s="323"/>
      <c r="P85" s="575"/>
      <c r="Q85" s="1714"/>
      <c r="R85" s="1755"/>
      <c r="S85" s="1755"/>
      <c r="T85" s="1755"/>
      <c r="U85" s="1699"/>
      <c r="V85" s="1699"/>
      <c r="W85" s="517"/>
      <c r="X85" s="517"/>
      <c r="Y85" s="517"/>
    </row>
    <row r="86" spans="2:26" ht="16.5">
      <c r="B86" s="1535">
        <f t="shared" si="19"/>
        <v>12.069999999999999</v>
      </c>
      <c r="C86" s="1553"/>
      <c r="D86" s="1442" t="s">
        <v>848</v>
      </c>
      <c r="E86" s="1442"/>
      <c r="F86" s="1487"/>
      <c r="G86" s="1465" t="s">
        <v>18</v>
      </c>
      <c r="H86" s="1501">
        <v>34</v>
      </c>
      <c r="I86" s="1639">
        <v>2.39</v>
      </c>
      <c r="J86" s="1542">
        <f t="shared" si="20"/>
        <v>81.260000000000005</v>
      </c>
      <c r="K86" s="1422"/>
      <c r="L86" s="1422"/>
      <c r="M86" s="1422"/>
      <c r="N86" s="323"/>
      <c r="P86" s="575"/>
      <c r="Q86" s="1714"/>
      <c r="R86" s="1756"/>
      <c r="S86" s="517"/>
      <c r="T86" s="517"/>
      <c r="U86" s="1699"/>
      <c r="V86" s="1699"/>
      <c r="W86" s="517"/>
      <c r="X86" s="1756"/>
      <c r="Y86" s="517"/>
    </row>
    <row r="87" spans="2:26" ht="16.5">
      <c r="B87" s="1535">
        <f t="shared" si="19"/>
        <v>12.079999999999998</v>
      </c>
      <c r="C87" s="1553"/>
      <c r="D87" s="1442" t="s">
        <v>349</v>
      </c>
      <c r="E87" s="1442"/>
      <c r="F87" s="1487"/>
      <c r="G87" s="1465" t="s">
        <v>18</v>
      </c>
      <c r="H87" s="1501">
        <v>2</v>
      </c>
      <c r="I87" s="1639">
        <v>17.43</v>
      </c>
      <c r="J87" s="1542">
        <f t="shared" si="20"/>
        <v>34.86</v>
      </c>
      <c r="K87" s="1422"/>
      <c r="L87" s="1422"/>
      <c r="M87" s="1422"/>
      <c r="N87" s="323"/>
      <c r="P87" s="575"/>
      <c r="Q87" s="1714"/>
      <c r="S87" s="570"/>
    </row>
    <row r="88" spans="2:26" ht="16.5">
      <c r="B88" s="1535">
        <f t="shared" si="19"/>
        <v>12.089999999999998</v>
      </c>
      <c r="C88" s="1553"/>
      <c r="D88" s="1442" t="s">
        <v>300</v>
      </c>
      <c r="E88" s="1442"/>
      <c r="F88" s="1487"/>
      <c r="G88" s="1460" t="s">
        <v>18</v>
      </c>
      <c r="H88" s="1461">
        <v>34</v>
      </c>
      <c r="I88" s="1639">
        <v>16.25</v>
      </c>
      <c r="J88" s="1474">
        <f t="shared" ref="J88" si="21">+ROUND(I88*H88,2)</f>
        <v>552.5</v>
      </c>
      <c r="K88" s="1422"/>
      <c r="L88" s="1422"/>
      <c r="M88" s="1422"/>
      <c r="N88" s="323"/>
      <c r="P88" s="575"/>
      <c r="Q88" s="1714"/>
      <c r="S88" s="570"/>
    </row>
    <row r="89" spans="2:26" ht="16.5">
      <c r="B89" s="1464"/>
      <c r="C89" s="1553"/>
      <c r="D89" s="1442"/>
      <c r="E89" s="1442"/>
      <c r="F89" s="1554" t="str">
        <f>+"SUB-TOTAL   "&amp;B79&amp;":  "</f>
        <v xml:space="preserve">SUB-TOTAL   12:  </v>
      </c>
      <c r="G89" s="1537"/>
      <c r="H89" s="1565"/>
      <c r="I89" s="1607"/>
      <c r="J89" s="1619">
        <f>SUM(J80:J88)</f>
        <v>8837.0800000000017</v>
      </c>
      <c r="K89" s="1422"/>
      <c r="L89" s="1422"/>
      <c r="M89" s="1422"/>
      <c r="N89" s="323"/>
      <c r="P89" s="575"/>
      <c r="Q89" s="1714"/>
      <c r="S89" s="570"/>
    </row>
    <row r="90" spans="2:26" ht="16.5">
      <c r="B90" s="1534">
        <f>B79+1</f>
        <v>13</v>
      </c>
      <c r="C90" s="1553"/>
      <c r="D90" s="1484" t="s">
        <v>279</v>
      </c>
      <c r="E90" s="1442"/>
      <c r="F90" s="1487"/>
      <c r="G90" s="1465"/>
      <c r="H90" s="1501"/>
      <c r="I90" s="1566"/>
      <c r="J90" s="1542"/>
      <c r="K90" s="1422"/>
      <c r="L90" s="1422"/>
      <c r="M90" s="1422"/>
      <c r="N90" s="323"/>
      <c r="P90" s="575"/>
      <c r="Q90" s="1714"/>
      <c r="S90" s="570"/>
    </row>
    <row r="91" spans="2:26" ht="16.5">
      <c r="B91" s="1535">
        <f>+B90+0.01</f>
        <v>13.01</v>
      </c>
      <c r="C91" s="1553"/>
      <c r="D91" s="1485" t="s">
        <v>156</v>
      </c>
      <c r="E91" s="1442"/>
      <c r="F91" s="1487"/>
      <c r="G91" s="1465" t="s">
        <v>18</v>
      </c>
      <c r="H91" s="1501">
        <v>23</v>
      </c>
      <c r="I91" s="1639">
        <v>377.78</v>
      </c>
      <c r="J91" s="1542">
        <f t="shared" ref="J91:J93" si="22">+ROUND(I91*H91,2)</f>
        <v>8688.94</v>
      </c>
      <c r="K91" s="1422"/>
      <c r="L91" s="1422"/>
      <c r="M91" s="1422"/>
      <c r="N91" s="323"/>
      <c r="P91" s="575"/>
      <c r="Q91" s="1714"/>
      <c r="S91" s="570"/>
    </row>
    <row r="92" spans="2:26" ht="16.5">
      <c r="B92" s="1535">
        <f t="shared" ref="B92:B93" si="23">+B91+0.01</f>
        <v>13.02</v>
      </c>
      <c r="C92" s="1553"/>
      <c r="D92" s="1485" t="s">
        <v>350</v>
      </c>
      <c r="E92" s="1442"/>
      <c r="F92" s="1487"/>
      <c r="G92" s="1465" t="s">
        <v>18</v>
      </c>
      <c r="H92" s="1501">
        <v>23</v>
      </c>
      <c r="I92" s="1639">
        <v>7.19</v>
      </c>
      <c r="J92" s="1542">
        <f t="shared" si="22"/>
        <v>165.37</v>
      </c>
      <c r="K92" s="1422"/>
      <c r="L92" s="1422"/>
      <c r="M92" s="1422"/>
      <c r="N92" s="323"/>
      <c r="P92" s="575"/>
      <c r="Q92" s="1714"/>
      <c r="S92" s="570"/>
    </row>
    <row r="93" spans="2:26" ht="16.5">
      <c r="B93" s="1535">
        <f t="shared" si="23"/>
        <v>13.03</v>
      </c>
      <c r="C93" s="1553"/>
      <c r="D93" s="1485" t="s">
        <v>15</v>
      </c>
      <c r="E93" s="1442"/>
      <c r="F93" s="1487"/>
      <c r="G93" s="1465" t="s">
        <v>18</v>
      </c>
      <c r="H93" s="1501">
        <v>23</v>
      </c>
      <c r="I93" s="1639">
        <v>264.86</v>
      </c>
      <c r="J93" s="1542">
        <f t="shared" si="22"/>
        <v>6091.78</v>
      </c>
      <c r="K93" s="1422"/>
      <c r="L93" s="1422"/>
      <c r="M93" s="1422"/>
      <c r="N93" s="323"/>
      <c r="P93" s="575"/>
      <c r="Q93" s="1714"/>
      <c r="S93" s="570"/>
    </row>
    <row r="94" spans="2:26" ht="16.5">
      <c r="B94" s="1464"/>
      <c r="C94" s="1553"/>
      <c r="D94" s="1442"/>
      <c r="E94" s="1442"/>
      <c r="F94" s="1554" t="str">
        <f>+"SUB-TOTAL   "&amp;B90&amp;":  "</f>
        <v xml:space="preserve">SUB-TOTAL   13:  </v>
      </c>
      <c r="G94" s="1537"/>
      <c r="H94" s="1565"/>
      <c r="I94" s="1607"/>
      <c r="J94" s="1619">
        <f>+SUM(J91:J93)</f>
        <v>14946.09</v>
      </c>
      <c r="K94" s="1422"/>
      <c r="L94" s="1422"/>
      <c r="M94" s="1422"/>
      <c r="N94" s="323"/>
      <c r="P94" s="575"/>
      <c r="Q94" s="1714"/>
      <c r="S94" s="570"/>
    </row>
    <row r="95" spans="2:26" ht="16.5">
      <c r="B95" s="1648">
        <f>1+B90</f>
        <v>14</v>
      </c>
      <c r="C95" s="1649"/>
      <c r="D95" s="1650" t="s">
        <v>542</v>
      </c>
      <c r="E95" s="1651"/>
      <c r="F95" s="1652"/>
      <c r="G95" s="1754"/>
      <c r="H95" s="1659"/>
      <c r="I95" s="1640"/>
      <c r="J95" s="1624"/>
      <c r="K95" s="1422"/>
      <c r="L95" s="1422"/>
      <c r="M95" s="1422"/>
      <c r="N95" s="323"/>
      <c r="O95" s="514"/>
      <c r="P95" s="575"/>
      <c r="Q95" s="1714"/>
      <c r="R95" s="514"/>
      <c r="S95" s="570"/>
      <c r="T95" s="514"/>
      <c r="U95" s="514"/>
      <c r="V95" s="514"/>
      <c r="W95" s="514"/>
      <c r="X95" s="514"/>
      <c r="Y95" s="514"/>
      <c r="Z95" s="514"/>
    </row>
    <row r="96" spans="2:26" ht="16.5">
      <c r="B96" s="1535">
        <f>+B95+0.01</f>
        <v>14.01</v>
      </c>
      <c r="C96" s="1553"/>
      <c r="D96" s="1442" t="s">
        <v>352</v>
      </c>
      <c r="E96" s="1442"/>
      <c r="F96" s="1487"/>
      <c r="G96" s="1465" t="s">
        <v>18</v>
      </c>
      <c r="H96" s="1501">
        <v>13</v>
      </c>
      <c r="I96" s="1639">
        <v>3066.26</v>
      </c>
      <c r="J96" s="1542">
        <f t="shared" ref="J96:J97" si="24">+ROUND(I96*H96,2)</f>
        <v>39861.379999999997</v>
      </c>
      <c r="K96" s="1422"/>
      <c r="L96" s="1422"/>
      <c r="M96" s="1422"/>
      <c r="N96" s="323"/>
      <c r="P96" s="575"/>
      <c r="Q96" s="1714"/>
      <c r="S96" s="570"/>
    </row>
    <row r="97" spans="2:26" ht="16.5">
      <c r="B97" s="1535">
        <f t="shared" ref="B97:B98" si="25">+B96+0.01</f>
        <v>14.02</v>
      </c>
      <c r="C97" s="1553"/>
      <c r="D97" s="1442" t="s">
        <v>732</v>
      </c>
      <c r="E97" s="1442"/>
      <c r="F97" s="1487"/>
      <c r="G97" s="1465" t="s">
        <v>18</v>
      </c>
      <c r="H97" s="1501">
        <v>3</v>
      </c>
      <c r="I97" s="1639">
        <v>2790</v>
      </c>
      <c r="J97" s="1542">
        <f t="shared" si="24"/>
        <v>8370</v>
      </c>
      <c r="K97" s="1422"/>
      <c r="L97" s="1422"/>
      <c r="M97" s="1422"/>
      <c r="N97" s="323"/>
      <c r="P97" s="575"/>
      <c r="Q97" s="1714"/>
      <c r="S97" s="570"/>
    </row>
    <row r="98" spans="2:26" ht="16.5">
      <c r="B98" s="1535">
        <f t="shared" si="25"/>
        <v>14.03</v>
      </c>
      <c r="C98" s="1553"/>
      <c r="D98" s="1442" t="s">
        <v>733</v>
      </c>
      <c r="E98" s="1442"/>
      <c r="F98" s="1487"/>
      <c r="G98" s="1465" t="s">
        <v>18</v>
      </c>
      <c r="H98" s="1501">
        <v>2</v>
      </c>
      <c r="I98" s="1639">
        <v>3538</v>
      </c>
      <c r="J98" s="1542">
        <f>+ROUND(I98*H98,2)</f>
        <v>7076</v>
      </c>
      <c r="K98" s="1422"/>
      <c r="L98" s="1422"/>
      <c r="M98" s="1422"/>
      <c r="N98" s="323"/>
      <c r="P98" s="575"/>
      <c r="Q98" s="1714"/>
      <c r="S98" s="570"/>
    </row>
    <row r="99" spans="2:26" ht="16.5">
      <c r="B99" s="1464"/>
      <c r="C99" s="1553"/>
      <c r="D99" s="1442"/>
      <c r="E99" s="1442"/>
      <c r="F99" s="1554" t="str">
        <f>+"SUB-TOTAL   "&amp;B95&amp;":  "</f>
        <v xml:space="preserve">SUB-TOTAL   14:  </v>
      </c>
      <c r="G99" s="1537"/>
      <c r="H99" s="1565"/>
      <c r="I99" s="1607"/>
      <c r="J99" s="1619">
        <f>+SUM(J95:J98)</f>
        <v>55307.38</v>
      </c>
      <c r="K99" s="1422"/>
      <c r="L99" s="1422"/>
      <c r="M99" s="1422"/>
      <c r="N99" s="323"/>
      <c r="P99" s="575"/>
      <c r="Q99" s="1714"/>
      <c r="S99" s="570"/>
    </row>
    <row r="100" spans="2:26" ht="16.5">
      <c r="B100" s="1648">
        <f>1+B95</f>
        <v>15</v>
      </c>
      <c r="C100" s="1649"/>
      <c r="D100" s="1650" t="s">
        <v>21</v>
      </c>
      <c r="E100" s="1651"/>
      <c r="F100" s="1652"/>
      <c r="G100" s="1754"/>
      <c r="H100" s="1659"/>
      <c r="I100" s="1640"/>
      <c r="J100" s="1624"/>
      <c r="K100" s="1422"/>
      <c r="L100" s="1422"/>
      <c r="M100" s="1422"/>
      <c r="N100" s="323"/>
      <c r="O100" s="514"/>
      <c r="P100" s="575"/>
      <c r="Q100" s="1714"/>
      <c r="R100" s="514"/>
      <c r="S100" s="570"/>
      <c r="T100" s="514"/>
      <c r="U100" s="514"/>
      <c r="V100" s="514"/>
      <c r="W100" s="514"/>
      <c r="X100" s="514"/>
      <c r="Y100" s="514"/>
      <c r="Z100" s="514"/>
    </row>
    <row r="101" spans="2:26" ht="16.5">
      <c r="B101" s="1654">
        <f>0.01+B100</f>
        <v>15.01</v>
      </c>
      <c r="C101" s="1649"/>
      <c r="D101" s="1651" t="s">
        <v>36</v>
      </c>
      <c r="E101" s="1651"/>
      <c r="F101" s="1652"/>
      <c r="G101" s="1754" t="s">
        <v>18</v>
      </c>
      <c r="H101" s="1659">
        <v>16</v>
      </c>
      <c r="I101" s="1639">
        <v>1884.53</v>
      </c>
      <c r="J101" s="1542">
        <f t="shared" ref="J101:J102" si="26">+ROUND(I101*H101,2)</f>
        <v>30152.48</v>
      </c>
      <c r="K101" s="1422"/>
      <c r="L101" s="1422"/>
      <c r="M101" s="1422"/>
      <c r="N101" s="323"/>
      <c r="O101" s="514"/>
      <c r="P101" s="575"/>
      <c r="Q101" s="1714"/>
      <c r="R101" s="514"/>
      <c r="S101" s="570"/>
      <c r="T101" s="514"/>
      <c r="U101" s="514"/>
      <c r="V101" s="514"/>
      <c r="W101" s="514"/>
      <c r="X101" s="514"/>
      <c r="Y101" s="514"/>
      <c r="Z101" s="514"/>
    </row>
    <row r="102" spans="2:26" ht="16.5">
      <c r="B102" s="1654">
        <f t="shared" ref="B102" si="27">0.01+B101</f>
        <v>15.02</v>
      </c>
      <c r="C102" s="1649"/>
      <c r="D102" s="1651" t="s">
        <v>37</v>
      </c>
      <c r="E102" s="1651"/>
      <c r="F102" s="1652"/>
      <c r="G102" s="1754" t="s">
        <v>18</v>
      </c>
      <c r="H102" s="1659">
        <v>2</v>
      </c>
      <c r="I102" s="1639">
        <v>1880.73</v>
      </c>
      <c r="J102" s="1542">
        <f t="shared" si="26"/>
        <v>3761.46</v>
      </c>
      <c r="K102" s="1422"/>
      <c r="L102" s="1422"/>
      <c r="M102" s="1422"/>
      <c r="N102" s="323"/>
      <c r="O102" s="514"/>
      <c r="P102" s="575"/>
      <c r="Q102" s="1714"/>
      <c r="R102" s="514"/>
      <c r="S102" s="570"/>
      <c r="T102" s="514"/>
      <c r="U102" s="514"/>
      <c r="V102" s="514"/>
      <c r="W102" s="514"/>
      <c r="X102" s="514"/>
      <c r="Y102" s="514"/>
      <c r="Z102" s="514"/>
    </row>
    <row r="103" spans="2:26" ht="16.5">
      <c r="B103" s="1464"/>
      <c r="C103" s="1553"/>
      <c r="D103" s="1442"/>
      <c r="E103" s="1442"/>
      <c r="F103" s="1554" t="str">
        <f>+"SUB-TOTAL   "&amp;B100&amp;":  "</f>
        <v xml:space="preserve">SUB-TOTAL   15:  </v>
      </c>
      <c r="G103" s="1537"/>
      <c r="H103" s="1565"/>
      <c r="I103" s="1607"/>
      <c r="J103" s="1619">
        <f>+SUM(J100:J102)</f>
        <v>33913.94</v>
      </c>
      <c r="K103" s="1422"/>
      <c r="L103" s="1422"/>
      <c r="M103" s="1422"/>
      <c r="N103" s="323"/>
      <c r="P103" s="575"/>
      <c r="Q103" s="1714"/>
      <c r="S103" s="570"/>
    </row>
    <row r="104" spans="2:26" ht="16.5">
      <c r="B104" s="1648">
        <f>B100+1</f>
        <v>16</v>
      </c>
      <c r="C104" s="1649"/>
      <c r="D104" s="1650" t="s">
        <v>273</v>
      </c>
      <c r="E104" s="1651"/>
      <c r="F104" s="1652"/>
      <c r="G104" s="1754"/>
      <c r="H104" s="1659"/>
      <c r="I104" s="1640"/>
      <c r="J104" s="1624"/>
      <c r="K104" s="1422"/>
      <c r="L104" s="1422"/>
      <c r="M104" s="1422"/>
      <c r="N104" s="323"/>
      <c r="O104" s="514"/>
      <c r="P104" s="575"/>
      <c r="Q104" s="1714"/>
      <c r="R104" s="514"/>
      <c r="S104" s="570"/>
      <c r="T104" s="514"/>
      <c r="U104" s="514"/>
      <c r="V104" s="514"/>
      <c r="W104" s="514"/>
      <c r="X104" s="514"/>
      <c r="Y104" s="514"/>
      <c r="Z104" s="514"/>
    </row>
    <row r="105" spans="2:26" ht="16.5">
      <c r="B105" s="1535">
        <f t="shared" ref="B105:B106" si="28">+B104+0.01</f>
        <v>16.010000000000002</v>
      </c>
      <c r="C105" s="1649"/>
      <c r="D105" s="1651" t="s">
        <v>353</v>
      </c>
      <c r="E105" s="1651"/>
      <c r="F105" s="1652"/>
      <c r="G105" s="1754" t="s">
        <v>187</v>
      </c>
      <c r="H105" s="1659">
        <v>90</v>
      </c>
      <c r="I105" s="1639">
        <v>9.5299999999999994</v>
      </c>
      <c r="J105" s="1624">
        <f t="shared" ref="J105:J106" si="29">+ROUND(I105*H105,2)</f>
        <v>857.7</v>
      </c>
      <c r="K105" s="1422"/>
      <c r="L105" s="1422"/>
      <c r="M105" s="1422"/>
      <c r="N105" s="323"/>
      <c r="O105" s="514"/>
      <c r="P105" s="575"/>
      <c r="Q105" s="1714"/>
      <c r="R105" s="514"/>
      <c r="S105" s="570"/>
      <c r="T105" s="514"/>
      <c r="U105" s="514"/>
      <c r="V105" s="514"/>
      <c r="W105" s="514"/>
      <c r="X105" s="514"/>
      <c r="Y105" s="514"/>
      <c r="Z105" s="514"/>
    </row>
    <row r="106" spans="2:26" ht="16.5">
      <c r="B106" s="1535">
        <f t="shared" si="28"/>
        <v>16.020000000000003</v>
      </c>
      <c r="C106" s="1649"/>
      <c r="D106" s="1651" t="s">
        <v>354</v>
      </c>
      <c r="E106" s="1651"/>
      <c r="F106" s="1652"/>
      <c r="G106" s="1754" t="s">
        <v>187</v>
      </c>
      <c r="H106" s="1659">
        <v>180</v>
      </c>
      <c r="I106" s="1639">
        <v>14.81</v>
      </c>
      <c r="J106" s="1624">
        <f t="shared" si="29"/>
        <v>2665.8</v>
      </c>
      <c r="K106" s="1422"/>
      <c r="L106" s="1422"/>
      <c r="M106" s="1422"/>
      <c r="N106" s="323"/>
      <c r="O106" s="514"/>
      <c r="P106" s="575"/>
      <c r="Q106" s="1714"/>
      <c r="R106" s="514"/>
      <c r="S106" s="570"/>
      <c r="T106" s="514"/>
      <c r="U106" s="514"/>
      <c r="V106" s="514"/>
      <c r="W106" s="514"/>
      <c r="X106" s="514"/>
      <c r="Y106" s="514"/>
      <c r="Z106" s="514"/>
    </row>
    <row r="107" spans="2:26" ht="16.5">
      <c r="B107" s="1540"/>
      <c r="C107" s="1555"/>
      <c r="D107" s="1508"/>
      <c r="E107" s="1508"/>
      <c r="F107" s="1605" t="str">
        <f>+"SUB-TOTAL   "&amp;B104&amp;":  "</f>
        <v xml:space="preserve">SUB-TOTAL   16:  </v>
      </c>
      <c r="G107" s="1606"/>
      <c r="H107" s="1607"/>
      <c r="I107" s="1607"/>
      <c r="J107" s="1619">
        <f>+SUM(J104:J106)</f>
        <v>3523.5</v>
      </c>
      <c r="K107" s="1422"/>
      <c r="L107" s="1422"/>
      <c r="M107" s="1423"/>
      <c r="N107" s="323"/>
      <c r="P107" s="575"/>
      <c r="Q107" s="328"/>
    </row>
    <row r="108" spans="2:26" ht="23.25" customHeight="1">
      <c r="B108" s="1631"/>
      <c r="C108" s="1632"/>
      <c r="D108" s="1633" t="s">
        <v>202</v>
      </c>
      <c r="E108" s="1634"/>
      <c r="F108" s="1635"/>
      <c r="G108" s="1610"/>
      <c r="H108" s="1611"/>
      <c r="I108" s="1641"/>
      <c r="J108" s="1902">
        <f>+ROUND(SUM(J9:J107)/2,2)</f>
        <v>202256.75</v>
      </c>
      <c r="K108" s="1423"/>
      <c r="L108" s="1423"/>
      <c r="M108" s="1423"/>
      <c r="Q108" s="323"/>
      <c r="R108" s="569"/>
    </row>
    <row r="109" spans="2:26" ht="16.5">
      <c r="B109" s="1638" t="s">
        <v>559</v>
      </c>
      <c r="C109" s="1638"/>
      <c r="D109" s="1638"/>
      <c r="E109" s="1638"/>
      <c r="F109" s="1638"/>
      <c r="G109" s="1636"/>
      <c r="H109" s="1637"/>
      <c r="I109" s="1637"/>
      <c r="J109" s="1638"/>
    </row>
    <row r="110" spans="2:26" ht="16.5">
      <c r="B110" s="1508" t="s">
        <v>558</v>
      </c>
      <c r="C110" s="1508"/>
      <c r="D110" s="1508"/>
      <c r="E110" s="1508"/>
      <c r="F110" s="1508"/>
      <c r="G110" s="1519"/>
      <c r="H110" s="1527"/>
      <c r="I110" s="1527"/>
      <c r="J110" s="1508"/>
    </row>
    <row r="111" spans="2:26" ht="16.5">
      <c r="B111" s="1508" t="s">
        <v>561</v>
      </c>
      <c r="C111" s="1508"/>
      <c r="D111" s="1508"/>
      <c r="E111" s="1508"/>
      <c r="F111" s="1508"/>
      <c r="G111" s="1519"/>
      <c r="H111" s="1527"/>
      <c r="I111" s="1527"/>
      <c r="J111" s="1508"/>
    </row>
    <row r="112" spans="2:26" ht="16.5">
      <c r="B112" s="1508" t="s">
        <v>560</v>
      </c>
      <c r="C112" s="1508"/>
      <c r="D112" s="1508"/>
      <c r="E112" s="1508"/>
      <c r="F112" s="1508"/>
      <c r="G112" s="1519"/>
      <c r="H112" s="1527"/>
      <c r="I112" s="1527"/>
      <c r="J112" s="1508"/>
    </row>
    <row r="114" spans="10:13">
      <c r="J114" s="1717">
        <f>+J107+J103+J99+J94+J89+J78+J65+J48+J45+J39+J36+J32+J26+J21+J12+J18</f>
        <v>202256.75000000003</v>
      </c>
      <c r="K114" s="1708"/>
      <c r="L114" s="1708"/>
      <c r="M114" s="1708"/>
    </row>
    <row r="115" spans="10:13">
      <c r="J115" s="1419" t="b">
        <f>J114=J108</f>
        <v>1</v>
      </c>
      <c r="K115" s="1709"/>
      <c r="L115" s="1709"/>
      <c r="M115" s="1709"/>
    </row>
    <row r="116" spans="10:13">
      <c r="J116" s="1420"/>
      <c r="K116" s="1710"/>
      <c r="L116" s="1710"/>
      <c r="M116" s="1710"/>
    </row>
    <row r="117" spans="10:13">
      <c r="J117" s="1418"/>
      <c r="K117" s="1708"/>
      <c r="L117" s="1708"/>
      <c r="M117" s="1708"/>
    </row>
  </sheetData>
  <mergeCells count="1">
    <mergeCell ref="C7:F7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5" orientation="portrait" r:id="rId1"/>
  <rowBreaks count="1" manualBreakCount="1">
    <brk id="57" min="1" max="9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100"/>
  <sheetViews>
    <sheetView view="pageBreakPreview" zoomScale="90" zoomScaleNormal="100" zoomScaleSheetLayoutView="90" workbookViewId="0">
      <selection activeCell="G15" sqref="G15"/>
    </sheetView>
  </sheetViews>
  <sheetFormatPr baseColWidth="10" defaultColWidth="9.33203125" defaultRowHeight="12.75"/>
  <cols>
    <col min="2" max="2" width="9.5" bestFit="1" customWidth="1"/>
    <col min="3" max="3" width="0" hidden="1" customWidth="1"/>
    <col min="6" max="6" width="74.1640625" customWidth="1"/>
    <col min="8" max="9" width="9.5" bestFit="1" customWidth="1"/>
    <col min="10" max="10" width="14.1640625" customWidth="1"/>
    <col min="12" max="13" width="9.5" bestFit="1" customWidth="1"/>
  </cols>
  <sheetData>
    <row r="1" spans="1:23" ht="18">
      <c r="B1" s="1429" t="s">
        <v>127</v>
      </c>
      <c r="C1" s="1430"/>
      <c r="D1" s="1430"/>
      <c r="E1" s="1431"/>
      <c r="F1" s="1431"/>
      <c r="G1" s="1432"/>
      <c r="H1" s="1432"/>
      <c r="I1" s="303"/>
      <c r="J1" s="303"/>
      <c r="L1" s="303"/>
      <c r="M1" s="303"/>
    </row>
    <row r="2" spans="1:23" ht="18">
      <c r="B2" s="1433" t="s">
        <v>965</v>
      </c>
      <c r="C2" s="1430"/>
      <c r="D2" s="1430"/>
      <c r="E2" s="1431"/>
      <c r="F2" s="1431"/>
      <c r="G2" s="1434"/>
      <c r="H2" s="1434"/>
      <c r="I2" s="303"/>
      <c r="J2" s="303"/>
      <c r="L2" s="303"/>
      <c r="M2" s="303"/>
    </row>
    <row r="3" spans="1:23" ht="18">
      <c r="B3" s="1435" t="s">
        <v>9</v>
      </c>
      <c r="C3" s="1430"/>
      <c r="D3" s="1430"/>
      <c r="E3" s="1910" t="s">
        <v>10</v>
      </c>
      <c r="F3" s="1437" t="s">
        <v>544</v>
      </c>
      <c r="G3" s="1434"/>
      <c r="H3" s="1434"/>
      <c r="I3" s="303"/>
      <c r="J3" s="303"/>
      <c r="L3" s="303"/>
      <c r="M3" s="303"/>
    </row>
    <row r="4" spans="1:23" ht="18">
      <c r="B4" s="1433" t="s">
        <v>129</v>
      </c>
      <c r="C4" s="303"/>
      <c r="D4" s="303"/>
      <c r="E4" s="1911" t="s">
        <v>10</v>
      </c>
      <c r="F4" s="1438" t="s">
        <v>131</v>
      </c>
      <c r="G4" s="1434"/>
      <c r="H4" s="1434"/>
      <c r="I4" s="303"/>
      <c r="J4" s="303"/>
      <c r="L4" s="303"/>
      <c r="M4" s="303"/>
    </row>
    <row r="5" spans="1:23" ht="18">
      <c r="B5" s="304" t="s">
        <v>964</v>
      </c>
      <c r="C5" s="303"/>
      <c r="D5" s="303"/>
      <c r="E5" s="304"/>
      <c r="F5" s="303"/>
      <c r="G5" s="1434"/>
      <c r="H5" s="1434"/>
      <c r="I5" s="303"/>
      <c r="J5" s="303"/>
      <c r="L5" s="303"/>
      <c r="M5" s="303"/>
    </row>
    <row r="6" spans="1:23" ht="15" hidden="1">
      <c r="B6" s="515"/>
      <c r="C6" s="516"/>
      <c r="D6" s="516"/>
      <c r="E6" s="516"/>
      <c r="F6" s="515"/>
      <c r="G6" s="517"/>
      <c r="H6" s="306"/>
      <c r="I6" s="306"/>
      <c r="J6" s="306"/>
      <c r="K6" s="507"/>
      <c r="L6" s="306"/>
      <c r="M6" s="306"/>
      <c r="N6" s="507"/>
    </row>
    <row r="7" spans="1:23" ht="40.5" customHeight="1">
      <c r="A7" s="508"/>
      <c r="B7" s="1528" t="s">
        <v>959</v>
      </c>
      <c r="C7" s="2056" t="s">
        <v>958</v>
      </c>
      <c r="D7" s="2057"/>
      <c r="E7" s="2057"/>
      <c r="F7" s="2058"/>
      <c r="G7" s="1529" t="s">
        <v>376</v>
      </c>
      <c r="H7" s="1530" t="s">
        <v>960</v>
      </c>
      <c r="I7" s="1530" t="s">
        <v>961</v>
      </c>
      <c r="J7" s="1530" t="s">
        <v>1004</v>
      </c>
      <c r="K7" s="1421"/>
      <c r="L7" s="1530" t="s">
        <v>961</v>
      </c>
      <c r="M7" s="1905">
        <v>0.9</v>
      </c>
      <c r="N7" s="327"/>
      <c r="P7" s="325"/>
    </row>
    <row r="8" spans="1:23" ht="16.5">
      <c r="A8" s="322"/>
      <c r="B8" s="1614"/>
      <c r="C8" s="1627"/>
      <c r="D8" s="1628"/>
      <c r="E8" s="1628"/>
      <c r="F8" s="1629"/>
      <c r="G8" s="1537"/>
      <c r="H8" s="1565"/>
      <c r="I8" s="1565"/>
      <c r="J8" s="1537"/>
      <c r="K8" s="327"/>
      <c r="L8" s="1565"/>
      <c r="M8" s="1565"/>
      <c r="N8" s="322"/>
      <c r="O8" s="325"/>
      <c r="P8" s="322"/>
      <c r="Q8" s="322"/>
      <c r="R8" s="322"/>
      <c r="S8" s="322"/>
      <c r="T8" s="322"/>
      <c r="U8" s="322"/>
      <c r="V8" s="322"/>
      <c r="W8" s="322"/>
    </row>
    <row r="9" spans="1:23" ht="18.75" customHeight="1">
      <c r="A9" s="322"/>
      <c r="B9" s="1615">
        <v>1</v>
      </c>
      <c r="C9" s="1555"/>
      <c r="D9" s="1575" t="s">
        <v>408</v>
      </c>
      <c r="E9" s="1508"/>
      <c r="F9" s="1579"/>
      <c r="G9" s="1541"/>
      <c r="H9" s="1566"/>
      <c r="I9" s="1501"/>
      <c r="J9" s="1542"/>
      <c r="K9" s="325"/>
      <c r="L9" s="1501"/>
      <c r="M9" s="1501"/>
      <c r="N9" s="579"/>
      <c r="O9" s="326"/>
      <c r="P9" s="325"/>
      <c r="Q9" s="325"/>
      <c r="R9" s="325"/>
      <c r="S9" s="325"/>
      <c r="T9" s="322"/>
      <c r="U9" s="322"/>
      <c r="V9" s="322"/>
      <c r="W9" s="322"/>
    </row>
    <row r="10" spans="1:23" ht="18.75" customHeight="1">
      <c r="A10" s="322"/>
      <c r="B10" s="1616">
        <f>+B9+0.01</f>
        <v>1.01</v>
      </c>
      <c r="C10" s="1555"/>
      <c r="D10" s="1508" t="s">
        <v>563</v>
      </c>
      <c r="E10" s="1508"/>
      <c r="F10" s="1579"/>
      <c r="G10" s="1541" t="s">
        <v>18</v>
      </c>
      <c r="H10" s="1566">
        <v>3</v>
      </c>
      <c r="I10" s="1501">
        <v>247.05</v>
      </c>
      <c r="J10" s="1542">
        <f t="shared" ref="J10:J39" si="0">+ROUND(I10*H10,2)</f>
        <v>741.15</v>
      </c>
      <c r="K10" s="325"/>
      <c r="L10" s="1501">
        <v>274.5</v>
      </c>
      <c r="M10" s="1501">
        <f>+ROUND(L10*$M$7,2)</f>
        <v>247.05</v>
      </c>
      <c r="N10" s="579"/>
      <c r="O10" s="326"/>
      <c r="P10" s="322"/>
      <c r="Q10" s="322"/>
      <c r="R10" s="322"/>
      <c r="S10" s="322"/>
      <c r="T10" s="322"/>
      <c r="U10" s="322"/>
      <c r="V10" s="322"/>
      <c r="W10" s="322"/>
    </row>
    <row r="11" spans="1:23" ht="18.75" customHeight="1">
      <c r="A11" s="322"/>
      <c r="B11" s="1616">
        <f t="shared" ref="B11:B39" si="1">+B10+0.01</f>
        <v>1.02</v>
      </c>
      <c r="C11" s="1555"/>
      <c r="D11" s="1508" t="s">
        <v>564</v>
      </c>
      <c r="E11" s="1508"/>
      <c r="F11" s="1579"/>
      <c r="G11" s="1541" t="s">
        <v>18</v>
      </c>
      <c r="H11" s="1566">
        <v>11</v>
      </c>
      <c r="I11" s="1501">
        <v>270.58999999999997</v>
      </c>
      <c r="J11" s="1542">
        <f t="shared" si="0"/>
        <v>2976.49</v>
      </c>
      <c r="K11" s="325"/>
      <c r="L11" s="1501">
        <v>300.65999999999997</v>
      </c>
      <c r="M11" s="1501">
        <f t="shared" ref="M11:M39" si="2">+ROUND(L11*$M$7,2)</f>
        <v>270.58999999999997</v>
      </c>
      <c r="N11" s="579"/>
      <c r="O11" s="326"/>
      <c r="P11" s="322"/>
      <c r="Q11" s="322"/>
      <c r="R11" s="322"/>
      <c r="S11" s="322"/>
      <c r="T11" s="322"/>
      <c r="U11" s="322"/>
      <c r="V11" s="322"/>
      <c r="W11" s="322"/>
    </row>
    <row r="12" spans="1:23" ht="18.75" customHeight="1">
      <c r="A12" s="322"/>
      <c r="B12" s="1616">
        <f t="shared" si="1"/>
        <v>1.03</v>
      </c>
      <c r="C12" s="1555"/>
      <c r="D12" s="1508" t="s">
        <v>562</v>
      </c>
      <c r="E12" s="1508"/>
      <c r="F12" s="1579"/>
      <c r="G12" s="1541" t="s">
        <v>18</v>
      </c>
      <c r="H12" s="1566">
        <v>10</v>
      </c>
      <c r="I12" s="1501">
        <v>301.45999999999998</v>
      </c>
      <c r="J12" s="1542">
        <f t="shared" si="0"/>
        <v>3014.6</v>
      </c>
      <c r="K12" s="325"/>
      <c r="L12" s="1501">
        <v>334.95</v>
      </c>
      <c r="M12" s="1501">
        <f t="shared" si="2"/>
        <v>301.45999999999998</v>
      </c>
      <c r="N12" s="579"/>
      <c r="O12" s="326"/>
      <c r="P12" s="322"/>
      <c r="Q12" s="322"/>
      <c r="R12" s="322"/>
      <c r="S12" s="322"/>
      <c r="T12" s="322"/>
      <c r="U12" s="322"/>
      <c r="V12" s="322"/>
      <c r="W12" s="322"/>
    </row>
    <row r="13" spans="1:23" ht="18.75" customHeight="1">
      <c r="A13" s="322"/>
      <c r="B13" s="1616">
        <f t="shared" si="1"/>
        <v>1.04</v>
      </c>
      <c r="C13" s="1555"/>
      <c r="D13" s="1508" t="s">
        <v>842</v>
      </c>
      <c r="E13" s="1508"/>
      <c r="F13" s="1579"/>
      <c r="G13" s="1541" t="s">
        <v>18</v>
      </c>
      <c r="H13" s="1566">
        <v>10</v>
      </c>
      <c r="I13" s="1501">
        <v>338.24</v>
      </c>
      <c r="J13" s="1542">
        <f t="shared" si="0"/>
        <v>3382.4</v>
      </c>
      <c r="K13" s="325"/>
      <c r="L13" s="1501">
        <v>375.82000000000005</v>
      </c>
      <c r="M13" s="1501">
        <f t="shared" si="2"/>
        <v>338.24</v>
      </c>
      <c r="N13" s="579"/>
      <c r="O13" s="326"/>
      <c r="P13" s="322"/>
      <c r="Q13" s="322"/>
      <c r="R13" s="322"/>
      <c r="S13" s="322"/>
      <c r="T13" s="322"/>
      <c r="U13" s="322"/>
      <c r="V13" s="322"/>
      <c r="W13" s="322"/>
    </row>
    <row r="14" spans="1:23" ht="18.75" customHeight="1">
      <c r="A14" s="322"/>
      <c r="B14" s="1616">
        <f t="shared" si="1"/>
        <v>1.05</v>
      </c>
      <c r="C14" s="1555"/>
      <c r="D14" s="1508" t="s">
        <v>884</v>
      </c>
      <c r="E14" s="1873"/>
      <c r="F14" s="1874"/>
      <c r="G14" s="1541" t="s">
        <v>18</v>
      </c>
      <c r="H14" s="1566">
        <v>2</v>
      </c>
      <c r="I14" s="1501">
        <v>272.39</v>
      </c>
      <c r="J14" s="1542">
        <f t="shared" si="0"/>
        <v>544.78</v>
      </c>
      <c r="K14" s="325"/>
      <c r="L14" s="1501">
        <v>302.65999999999997</v>
      </c>
      <c r="M14" s="1501">
        <f t="shared" si="2"/>
        <v>272.39</v>
      </c>
      <c r="N14" s="579"/>
      <c r="O14" s="326"/>
      <c r="P14" s="322"/>
      <c r="Q14" s="322"/>
      <c r="R14" s="322"/>
      <c r="S14" s="322"/>
      <c r="T14" s="322"/>
      <c r="U14" s="322"/>
      <c r="V14" s="322"/>
      <c r="W14" s="322"/>
    </row>
    <row r="15" spans="1:23" ht="18.75" customHeight="1">
      <c r="A15" s="322"/>
      <c r="B15" s="1616">
        <f t="shared" si="1"/>
        <v>1.06</v>
      </c>
      <c r="C15" s="1555"/>
      <c r="D15" s="1508" t="s">
        <v>419</v>
      </c>
      <c r="E15" s="1873"/>
      <c r="F15" s="1874"/>
      <c r="G15" s="1541" t="s">
        <v>18</v>
      </c>
      <c r="H15" s="1566">
        <v>11</v>
      </c>
      <c r="I15" s="1501">
        <v>5.43</v>
      </c>
      <c r="J15" s="1542">
        <f t="shared" si="0"/>
        <v>59.73</v>
      </c>
      <c r="K15" s="325"/>
      <c r="L15" s="1501">
        <v>6.03</v>
      </c>
      <c r="M15" s="1501">
        <f t="shared" si="2"/>
        <v>5.43</v>
      </c>
      <c r="N15" s="579"/>
      <c r="O15" s="326"/>
      <c r="P15" s="322"/>
      <c r="Q15" s="322"/>
      <c r="R15" s="322"/>
      <c r="S15" s="322"/>
      <c r="T15" s="322"/>
      <c r="U15" s="322"/>
      <c r="V15" s="322"/>
      <c r="W15" s="322"/>
    </row>
    <row r="16" spans="1:23" ht="18.75" customHeight="1">
      <c r="A16" s="322"/>
      <c r="B16" s="1616">
        <f t="shared" si="1"/>
        <v>1.07</v>
      </c>
      <c r="C16" s="1555"/>
      <c r="D16" s="1508" t="s">
        <v>875</v>
      </c>
      <c r="E16" s="1873"/>
      <c r="F16" s="1874"/>
      <c r="G16" s="1541" t="s">
        <v>18</v>
      </c>
      <c r="H16" s="1566">
        <v>2</v>
      </c>
      <c r="I16" s="1501">
        <v>7.06</v>
      </c>
      <c r="J16" s="1542">
        <f t="shared" si="0"/>
        <v>14.12</v>
      </c>
      <c r="K16" s="325"/>
      <c r="L16" s="1501">
        <v>7.84</v>
      </c>
      <c r="M16" s="1501">
        <f t="shared" si="2"/>
        <v>7.06</v>
      </c>
      <c r="N16" s="579"/>
      <c r="O16" s="326"/>
      <c r="P16" s="322"/>
      <c r="Q16" s="322"/>
      <c r="R16" s="322"/>
      <c r="S16" s="322"/>
      <c r="T16" s="322"/>
      <c r="U16" s="322"/>
      <c r="V16" s="322"/>
      <c r="W16" s="322"/>
    </row>
    <row r="17" spans="1:23" ht="18.75" customHeight="1">
      <c r="A17" s="322"/>
      <c r="B17" s="1616">
        <f t="shared" si="1"/>
        <v>1.08</v>
      </c>
      <c r="C17" s="1555"/>
      <c r="D17" s="1508" t="s">
        <v>420</v>
      </c>
      <c r="E17" s="1873"/>
      <c r="F17" s="1874"/>
      <c r="G17" s="1541" t="s">
        <v>18</v>
      </c>
      <c r="H17" s="1566">
        <v>14</v>
      </c>
      <c r="I17" s="1501">
        <v>10.62</v>
      </c>
      <c r="J17" s="1542">
        <f t="shared" si="0"/>
        <v>148.68</v>
      </c>
      <c r="K17" s="325"/>
      <c r="L17" s="1501">
        <v>11.799999999999999</v>
      </c>
      <c r="M17" s="1501">
        <f t="shared" si="2"/>
        <v>10.62</v>
      </c>
      <c r="N17" s="579"/>
      <c r="O17" s="326"/>
      <c r="P17" s="322"/>
      <c r="Q17" s="322"/>
      <c r="R17" s="322"/>
      <c r="S17" s="322"/>
      <c r="T17" s="322"/>
      <c r="U17" s="322"/>
      <c r="V17" s="322"/>
      <c r="W17" s="322"/>
    </row>
    <row r="18" spans="1:23" ht="18.75" customHeight="1">
      <c r="A18" s="322"/>
      <c r="B18" s="1616">
        <f t="shared" si="1"/>
        <v>1.0900000000000001</v>
      </c>
      <c r="C18" s="1555"/>
      <c r="D18" s="1508" t="s">
        <v>876</v>
      </c>
      <c r="E18" s="1873"/>
      <c r="F18" s="1874"/>
      <c r="G18" s="1541" t="s">
        <v>18</v>
      </c>
      <c r="H18" s="1566">
        <v>2</v>
      </c>
      <c r="I18" s="1501">
        <v>13.11</v>
      </c>
      <c r="J18" s="1542">
        <f t="shared" si="0"/>
        <v>26.22</v>
      </c>
      <c r="K18" s="325"/>
      <c r="L18" s="1501">
        <v>14.57</v>
      </c>
      <c r="M18" s="1501">
        <f t="shared" si="2"/>
        <v>13.11</v>
      </c>
      <c r="N18" s="579"/>
      <c r="O18" s="326"/>
      <c r="P18" s="322"/>
      <c r="Q18" s="322"/>
      <c r="R18" s="322"/>
      <c r="S18" s="322"/>
      <c r="T18" s="322"/>
      <c r="U18" s="322"/>
      <c r="V18" s="322"/>
      <c r="W18" s="322"/>
    </row>
    <row r="19" spans="1:23" ht="18.75" customHeight="1">
      <c r="A19" s="322"/>
      <c r="B19" s="1616">
        <f t="shared" si="1"/>
        <v>1.1000000000000001</v>
      </c>
      <c r="C19" s="1555"/>
      <c r="D19" s="1508" t="s">
        <v>565</v>
      </c>
      <c r="E19" s="1508"/>
      <c r="F19" s="1579"/>
      <c r="G19" s="1541" t="s">
        <v>18</v>
      </c>
      <c r="H19" s="1566">
        <v>40</v>
      </c>
      <c r="I19" s="1501">
        <v>13.1</v>
      </c>
      <c r="J19" s="1542">
        <f t="shared" si="0"/>
        <v>524</v>
      </c>
      <c r="K19" s="325"/>
      <c r="L19" s="1501">
        <v>14.56</v>
      </c>
      <c r="M19" s="1501">
        <f t="shared" si="2"/>
        <v>13.1</v>
      </c>
      <c r="N19" s="579"/>
      <c r="O19" s="326"/>
      <c r="P19" s="322"/>
      <c r="Q19" s="322"/>
      <c r="R19" s="322"/>
      <c r="S19" s="322"/>
      <c r="T19" s="322"/>
      <c r="U19" s="322"/>
      <c r="V19" s="322"/>
      <c r="W19" s="322"/>
    </row>
    <row r="20" spans="1:23" ht="18.75" customHeight="1">
      <c r="A20" s="322"/>
      <c r="B20" s="1616">
        <f t="shared" si="1"/>
        <v>1.1100000000000001</v>
      </c>
      <c r="C20" s="1555"/>
      <c r="D20" s="1508" t="s">
        <v>471</v>
      </c>
      <c r="E20" s="1873"/>
      <c r="F20" s="1874"/>
      <c r="G20" s="1541" t="s">
        <v>18</v>
      </c>
      <c r="H20" s="1566">
        <v>25</v>
      </c>
      <c r="I20" s="1501">
        <v>5.43</v>
      </c>
      <c r="J20" s="1542">
        <f t="shared" si="0"/>
        <v>135.75</v>
      </c>
      <c r="K20" s="325"/>
      <c r="L20" s="1501">
        <v>6.0299999999999994</v>
      </c>
      <c r="M20" s="1501">
        <f t="shared" si="2"/>
        <v>5.43</v>
      </c>
      <c r="N20" s="579"/>
      <c r="O20" s="326"/>
      <c r="P20" s="322"/>
      <c r="Q20" s="322"/>
      <c r="R20" s="322"/>
      <c r="S20" s="322"/>
      <c r="T20" s="322"/>
      <c r="U20" s="322"/>
      <c r="V20" s="322"/>
      <c r="W20" s="322"/>
    </row>
    <row r="21" spans="1:23" ht="18.75" customHeight="1">
      <c r="A21" s="322"/>
      <c r="B21" s="1616">
        <f t="shared" si="1"/>
        <v>1.1200000000000001</v>
      </c>
      <c r="C21" s="1555"/>
      <c r="D21" s="1508" t="s">
        <v>421</v>
      </c>
      <c r="E21" s="1873"/>
      <c r="F21" s="1874"/>
      <c r="G21" s="1541" t="s">
        <v>191</v>
      </c>
      <c r="H21" s="1566">
        <v>3.46</v>
      </c>
      <c r="I21" s="1501">
        <v>64.56</v>
      </c>
      <c r="J21" s="1542">
        <f t="shared" si="0"/>
        <v>223.38</v>
      </c>
      <c r="K21" s="325"/>
      <c r="L21" s="1501">
        <v>71.73</v>
      </c>
      <c r="M21" s="1501">
        <f t="shared" si="2"/>
        <v>64.56</v>
      </c>
      <c r="N21" s="579"/>
      <c r="O21" s="326"/>
      <c r="P21" s="322"/>
      <c r="Q21" s="322"/>
      <c r="R21" s="322"/>
      <c r="S21" s="322"/>
      <c r="T21" s="322"/>
      <c r="U21" s="322"/>
      <c r="V21" s="322"/>
      <c r="W21" s="322"/>
    </row>
    <row r="22" spans="1:23" ht="18.75" customHeight="1">
      <c r="A22" s="322"/>
      <c r="B22" s="1616">
        <f t="shared" si="1"/>
        <v>1.1300000000000001</v>
      </c>
      <c r="C22" s="1555"/>
      <c r="D22" s="1508" t="s">
        <v>878</v>
      </c>
      <c r="E22" s="1873"/>
      <c r="F22" s="1874"/>
      <c r="G22" s="1541" t="s">
        <v>191</v>
      </c>
      <c r="H22" s="1566">
        <v>0.05</v>
      </c>
      <c r="I22" s="1501">
        <v>70.48</v>
      </c>
      <c r="J22" s="1542">
        <f t="shared" si="0"/>
        <v>3.52</v>
      </c>
      <c r="K22" s="325"/>
      <c r="L22" s="1501">
        <v>78.31</v>
      </c>
      <c r="M22" s="1501">
        <f t="shared" si="2"/>
        <v>70.48</v>
      </c>
      <c r="N22" s="579"/>
      <c r="O22" s="326"/>
      <c r="P22" s="322"/>
      <c r="Q22" s="322"/>
      <c r="R22" s="322"/>
      <c r="S22" s="322"/>
      <c r="T22" s="322"/>
      <c r="U22" s="322"/>
      <c r="V22" s="322"/>
      <c r="W22" s="322"/>
    </row>
    <row r="23" spans="1:23" ht="18.75" customHeight="1">
      <c r="A23" s="322"/>
      <c r="B23" s="1616">
        <f t="shared" si="1"/>
        <v>1.1400000000000001</v>
      </c>
      <c r="C23" s="1555"/>
      <c r="D23" s="1508" t="s">
        <v>472</v>
      </c>
      <c r="E23" s="1873"/>
      <c r="F23" s="1874"/>
      <c r="G23" s="1541" t="s">
        <v>18</v>
      </c>
      <c r="H23" s="1566">
        <v>21</v>
      </c>
      <c r="I23" s="1501">
        <v>26.2</v>
      </c>
      <c r="J23" s="1542">
        <f t="shared" si="0"/>
        <v>550.20000000000005</v>
      </c>
      <c r="K23" s="325"/>
      <c r="L23" s="1501">
        <v>29.11</v>
      </c>
      <c r="M23" s="1501">
        <f t="shared" si="2"/>
        <v>26.2</v>
      </c>
      <c r="N23" s="579"/>
      <c r="O23" s="326"/>
      <c r="P23" s="322"/>
      <c r="Q23" s="322"/>
      <c r="R23" s="322"/>
      <c r="S23" s="322"/>
      <c r="T23" s="322"/>
      <c r="U23" s="322"/>
      <c r="V23" s="322"/>
      <c r="W23" s="322"/>
    </row>
    <row r="24" spans="1:23" ht="18.75" customHeight="1">
      <c r="A24" s="322"/>
      <c r="B24" s="1616">
        <f t="shared" si="1"/>
        <v>1.1500000000000001</v>
      </c>
      <c r="C24" s="1555"/>
      <c r="D24" s="1508" t="s">
        <v>880</v>
      </c>
      <c r="E24" s="1873"/>
      <c r="F24" s="1874"/>
      <c r="G24" s="1541" t="s">
        <v>18</v>
      </c>
      <c r="H24" s="1566">
        <v>2</v>
      </c>
      <c r="I24" s="1501">
        <v>28.35</v>
      </c>
      <c r="J24" s="1542">
        <f t="shared" si="0"/>
        <v>56.7</v>
      </c>
      <c r="K24" s="325"/>
      <c r="L24" s="1501">
        <v>31.5</v>
      </c>
      <c r="M24" s="1501">
        <f t="shared" si="2"/>
        <v>28.35</v>
      </c>
      <c r="N24" s="579"/>
      <c r="O24" s="326"/>
      <c r="P24" s="322"/>
      <c r="Q24" s="322"/>
      <c r="R24" s="322"/>
      <c r="S24" s="322"/>
      <c r="T24" s="322"/>
      <c r="U24" s="322"/>
      <c r="V24" s="322"/>
      <c r="W24" s="322"/>
    </row>
    <row r="25" spans="1:23" ht="18.75" customHeight="1">
      <c r="A25" s="322"/>
      <c r="B25" s="1616">
        <f t="shared" si="1"/>
        <v>1.1600000000000001</v>
      </c>
      <c r="C25" s="1555"/>
      <c r="D25" s="1508" t="s">
        <v>902</v>
      </c>
      <c r="E25" s="1873"/>
      <c r="F25" s="1874"/>
      <c r="G25" s="1541" t="s">
        <v>18</v>
      </c>
      <c r="H25" s="1566">
        <v>21</v>
      </c>
      <c r="I25" s="1501">
        <v>10.27</v>
      </c>
      <c r="J25" s="1542">
        <f t="shared" si="0"/>
        <v>215.67</v>
      </c>
      <c r="K25" s="325"/>
      <c r="L25" s="1501">
        <v>11.409999999999998</v>
      </c>
      <c r="M25" s="1501">
        <f t="shared" si="2"/>
        <v>10.27</v>
      </c>
      <c r="N25" s="579"/>
      <c r="O25" s="326"/>
      <c r="P25" s="322"/>
      <c r="Q25" s="322"/>
      <c r="R25" s="322"/>
      <c r="S25" s="322"/>
      <c r="T25" s="322"/>
      <c r="U25" s="322"/>
      <c r="V25" s="322"/>
      <c r="W25" s="322"/>
    </row>
    <row r="26" spans="1:23" ht="18.75" customHeight="1">
      <c r="A26" s="322"/>
      <c r="B26" s="1616">
        <f t="shared" si="1"/>
        <v>1.1700000000000002</v>
      </c>
      <c r="C26" s="1555"/>
      <c r="D26" s="1508" t="s">
        <v>903</v>
      </c>
      <c r="E26" s="1873"/>
      <c r="F26" s="1874"/>
      <c r="G26" s="1541" t="s">
        <v>18</v>
      </c>
      <c r="H26" s="1566">
        <v>2</v>
      </c>
      <c r="I26" s="1501">
        <v>13.53</v>
      </c>
      <c r="J26" s="1542">
        <f t="shared" si="0"/>
        <v>27.06</v>
      </c>
      <c r="K26" s="325"/>
      <c r="L26" s="1501">
        <v>15.03</v>
      </c>
      <c r="M26" s="1501">
        <f t="shared" si="2"/>
        <v>13.53</v>
      </c>
      <c r="N26" s="579"/>
      <c r="O26" s="326"/>
      <c r="P26" s="322"/>
      <c r="Q26" s="322"/>
      <c r="R26" s="322"/>
      <c r="S26" s="322"/>
      <c r="T26" s="322"/>
      <c r="U26" s="322"/>
      <c r="V26" s="322"/>
      <c r="W26" s="322"/>
    </row>
    <row r="27" spans="1:23" ht="18.75" customHeight="1">
      <c r="A27" s="322"/>
      <c r="B27" s="1616">
        <f t="shared" si="1"/>
        <v>1.1800000000000002</v>
      </c>
      <c r="C27" s="1555"/>
      <c r="D27" s="1508" t="s">
        <v>423</v>
      </c>
      <c r="E27" s="1873"/>
      <c r="F27" s="1874"/>
      <c r="G27" s="1541" t="s">
        <v>18</v>
      </c>
      <c r="H27" s="1566">
        <v>9</v>
      </c>
      <c r="I27" s="1501">
        <v>62.87</v>
      </c>
      <c r="J27" s="1542">
        <f t="shared" si="0"/>
        <v>565.83000000000004</v>
      </c>
      <c r="K27" s="325"/>
      <c r="L27" s="1501">
        <v>69.86</v>
      </c>
      <c r="M27" s="1501">
        <f t="shared" si="2"/>
        <v>62.87</v>
      </c>
      <c r="N27" s="579"/>
      <c r="O27" s="326"/>
      <c r="P27" s="322"/>
      <c r="Q27" s="322"/>
      <c r="R27" s="322"/>
      <c r="S27" s="322"/>
      <c r="T27" s="322"/>
      <c r="U27" s="322"/>
      <c r="V27" s="322"/>
      <c r="W27" s="322"/>
    </row>
    <row r="28" spans="1:23" ht="18.75" customHeight="1">
      <c r="A28" s="322"/>
      <c r="B28" s="1616">
        <f t="shared" si="1"/>
        <v>1.1900000000000002</v>
      </c>
      <c r="C28" s="1555"/>
      <c r="D28" s="1508" t="s">
        <v>424</v>
      </c>
      <c r="E28" s="1873"/>
      <c r="F28" s="1874"/>
      <c r="G28" s="1541" t="s">
        <v>18</v>
      </c>
      <c r="H28" s="1566">
        <v>43</v>
      </c>
      <c r="I28" s="1501">
        <v>41.81</v>
      </c>
      <c r="J28" s="1542">
        <f t="shared" si="0"/>
        <v>1797.83</v>
      </c>
      <c r="K28" s="325"/>
      <c r="L28" s="1501">
        <v>46.459999999999994</v>
      </c>
      <c r="M28" s="1501">
        <f t="shared" si="2"/>
        <v>41.81</v>
      </c>
      <c r="N28" s="579"/>
      <c r="O28" s="326"/>
      <c r="P28" s="322"/>
      <c r="Q28" s="322"/>
      <c r="R28" s="322"/>
      <c r="S28" s="322"/>
      <c r="T28" s="322"/>
      <c r="U28" s="322"/>
      <c r="V28" s="322"/>
      <c r="W28" s="322"/>
    </row>
    <row r="29" spans="1:23" ht="18.75" customHeight="1">
      <c r="A29" s="322"/>
      <c r="B29" s="1616">
        <f t="shared" si="1"/>
        <v>1.2000000000000002</v>
      </c>
      <c r="C29" s="1555"/>
      <c r="D29" s="1508" t="s">
        <v>882</v>
      </c>
      <c r="E29" s="1873"/>
      <c r="F29" s="1874"/>
      <c r="G29" s="1541" t="s">
        <v>18</v>
      </c>
      <c r="H29" s="1566">
        <v>6</v>
      </c>
      <c r="I29" s="1501">
        <v>54.11</v>
      </c>
      <c r="J29" s="1542">
        <f t="shared" si="0"/>
        <v>324.66000000000003</v>
      </c>
      <c r="K29" s="325"/>
      <c r="L29" s="1501">
        <v>60.120000000000005</v>
      </c>
      <c r="M29" s="1501">
        <f t="shared" si="2"/>
        <v>54.11</v>
      </c>
      <c r="N29" s="579"/>
      <c r="O29" s="326"/>
      <c r="P29" s="322"/>
      <c r="Q29" s="322"/>
      <c r="R29" s="322"/>
      <c r="S29" s="322"/>
      <c r="T29" s="322"/>
      <c r="U29" s="322"/>
      <c r="V29" s="322"/>
      <c r="W29" s="322"/>
    </row>
    <row r="30" spans="1:23" ht="18.75" customHeight="1">
      <c r="A30" s="322"/>
      <c r="B30" s="1616">
        <f t="shared" si="1"/>
        <v>1.2100000000000002</v>
      </c>
      <c r="C30" s="1555"/>
      <c r="D30" s="1508" t="s">
        <v>834</v>
      </c>
      <c r="E30" s="1873"/>
      <c r="F30" s="1874"/>
      <c r="G30" s="1541" t="s">
        <v>191</v>
      </c>
      <c r="H30" s="1566">
        <v>0.67999999999999994</v>
      </c>
      <c r="I30" s="1501">
        <v>70.349999999999994</v>
      </c>
      <c r="J30" s="1542">
        <f t="shared" si="0"/>
        <v>47.84</v>
      </c>
      <c r="K30" s="325"/>
      <c r="L30" s="1501">
        <v>78.17</v>
      </c>
      <c r="M30" s="1501">
        <f t="shared" si="2"/>
        <v>70.349999999999994</v>
      </c>
      <c r="N30" s="579"/>
      <c r="O30" s="326"/>
      <c r="P30" s="322"/>
      <c r="Q30" s="322"/>
      <c r="R30" s="322"/>
      <c r="S30" s="322"/>
      <c r="T30" s="322"/>
      <c r="U30" s="322"/>
      <c r="V30" s="322"/>
      <c r="W30" s="322"/>
    </row>
    <row r="31" spans="1:23" ht="18.75" customHeight="1">
      <c r="A31" s="322"/>
      <c r="B31" s="1616">
        <f t="shared" si="1"/>
        <v>1.2200000000000002</v>
      </c>
      <c r="C31" s="1555"/>
      <c r="D31" s="1508" t="s">
        <v>887</v>
      </c>
      <c r="E31" s="1873"/>
      <c r="F31" s="1874"/>
      <c r="G31" s="1541" t="s">
        <v>191</v>
      </c>
      <c r="H31" s="1566">
        <v>0.04</v>
      </c>
      <c r="I31" s="1501">
        <v>91.14</v>
      </c>
      <c r="J31" s="1542">
        <f t="shared" si="0"/>
        <v>3.65</v>
      </c>
      <c r="K31" s="325"/>
      <c r="L31" s="1501">
        <v>101.27</v>
      </c>
      <c r="M31" s="1501">
        <f t="shared" si="2"/>
        <v>91.14</v>
      </c>
      <c r="N31" s="579"/>
      <c r="O31" s="326"/>
      <c r="P31" s="322"/>
      <c r="Q31" s="322"/>
      <c r="R31" s="322"/>
      <c r="S31" s="322"/>
      <c r="T31" s="322"/>
      <c r="U31" s="322"/>
      <c r="V31" s="322"/>
      <c r="W31" s="322"/>
    </row>
    <row r="32" spans="1:23" ht="18.75" customHeight="1">
      <c r="A32" s="322"/>
      <c r="B32" s="1616">
        <f t="shared" si="1"/>
        <v>1.2300000000000002</v>
      </c>
      <c r="C32" s="1555"/>
      <c r="D32" s="1508" t="s">
        <v>425</v>
      </c>
      <c r="E32" s="1873"/>
      <c r="F32" s="1874"/>
      <c r="G32" s="1541" t="s">
        <v>19</v>
      </c>
      <c r="H32" s="1566">
        <v>1</v>
      </c>
      <c r="I32" s="1501">
        <v>1571.83</v>
      </c>
      <c r="J32" s="1542">
        <f t="shared" si="0"/>
        <v>1571.83</v>
      </c>
      <c r="K32" s="325"/>
      <c r="L32" s="1501">
        <v>1746.4799999999998</v>
      </c>
      <c r="M32" s="1501">
        <f t="shared" si="2"/>
        <v>1571.83</v>
      </c>
      <c r="N32" s="579"/>
      <c r="O32" s="326"/>
      <c r="P32" s="322"/>
      <c r="Q32" s="322"/>
      <c r="R32" s="322"/>
      <c r="S32" s="322"/>
      <c r="T32" s="322"/>
      <c r="U32" s="322"/>
      <c r="V32" s="322"/>
      <c r="W32" s="322"/>
    </row>
    <row r="33" spans="1:23" ht="18.75" customHeight="1">
      <c r="A33" s="322"/>
      <c r="B33" s="1616">
        <f t="shared" si="1"/>
        <v>1.2400000000000002</v>
      </c>
      <c r="C33" s="1555"/>
      <c r="D33" s="1508" t="s">
        <v>883</v>
      </c>
      <c r="E33" s="1873"/>
      <c r="F33" s="1874"/>
      <c r="G33" s="1541" t="s">
        <v>19</v>
      </c>
      <c r="H33" s="1566">
        <v>1</v>
      </c>
      <c r="I33" s="1501">
        <v>2275.69</v>
      </c>
      <c r="J33" s="1542">
        <f t="shared" si="0"/>
        <v>2275.69</v>
      </c>
      <c r="K33" s="325"/>
      <c r="L33" s="1501">
        <v>2528.54</v>
      </c>
      <c r="M33" s="1501">
        <f t="shared" si="2"/>
        <v>2275.69</v>
      </c>
      <c r="N33" s="579"/>
      <c r="O33" s="326"/>
      <c r="P33" s="322"/>
      <c r="Q33" s="322"/>
      <c r="R33" s="322"/>
      <c r="S33" s="322"/>
      <c r="T33" s="322"/>
      <c r="U33" s="322"/>
      <c r="V33" s="322"/>
      <c r="W33" s="322"/>
    </row>
    <row r="34" spans="1:23" ht="18.75" customHeight="1">
      <c r="A34" s="322"/>
      <c r="B34" s="1616">
        <f t="shared" si="1"/>
        <v>1.2500000000000002</v>
      </c>
      <c r="C34" s="1555"/>
      <c r="D34" s="1508" t="s">
        <v>835</v>
      </c>
      <c r="E34" s="1873"/>
      <c r="F34" s="1874"/>
      <c r="G34" s="1541" t="s">
        <v>18</v>
      </c>
      <c r="H34" s="1566">
        <v>11</v>
      </c>
      <c r="I34" s="1501">
        <v>104.79</v>
      </c>
      <c r="J34" s="1542">
        <f t="shared" si="0"/>
        <v>1152.69</v>
      </c>
      <c r="K34" s="325"/>
      <c r="L34" s="1501">
        <v>116.43</v>
      </c>
      <c r="M34" s="1501">
        <f t="shared" si="2"/>
        <v>104.79</v>
      </c>
      <c r="N34" s="579"/>
      <c r="O34" s="326"/>
      <c r="P34" s="322"/>
      <c r="Q34" s="322"/>
      <c r="R34" s="322"/>
      <c r="S34" s="322"/>
      <c r="T34" s="322"/>
      <c r="U34" s="322"/>
      <c r="V34" s="322"/>
      <c r="W34" s="322"/>
    </row>
    <row r="35" spans="1:23" ht="18.75" customHeight="1">
      <c r="A35" s="322"/>
      <c r="B35" s="1616">
        <f t="shared" si="1"/>
        <v>1.2600000000000002</v>
      </c>
      <c r="C35" s="1555"/>
      <c r="D35" s="1508" t="s">
        <v>888</v>
      </c>
      <c r="E35" s="1873"/>
      <c r="F35" s="1874"/>
      <c r="G35" s="1541" t="s">
        <v>18</v>
      </c>
      <c r="H35" s="1566">
        <v>2</v>
      </c>
      <c r="I35" s="1501">
        <v>136.87</v>
      </c>
      <c r="J35" s="1542">
        <f t="shared" si="0"/>
        <v>273.74</v>
      </c>
      <c r="K35" s="325"/>
      <c r="L35" s="1501">
        <v>152.08000000000001</v>
      </c>
      <c r="M35" s="1501">
        <f t="shared" si="2"/>
        <v>136.87</v>
      </c>
      <c r="N35" s="579"/>
      <c r="O35" s="326"/>
      <c r="P35" s="322"/>
      <c r="Q35" s="322"/>
      <c r="R35" s="322"/>
      <c r="S35" s="322"/>
      <c r="T35" s="322"/>
      <c r="U35" s="322"/>
      <c r="V35" s="322"/>
      <c r="W35" s="322"/>
    </row>
    <row r="36" spans="1:23" ht="18.75" customHeight="1">
      <c r="A36" s="322"/>
      <c r="B36" s="1616">
        <f t="shared" si="1"/>
        <v>1.2700000000000002</v>
      </c>
      <c r="C36" s="1555"/>
      <c r="D36" s="1508" t="s">
        <v>928</v>
      </c>
      <c r="E36" s="1873"/>
      <c r="F36" s="1874"/>
      <c r="G36" s="1541" t="s">
        <v>18</v>
      </c>
      <c r="H36" s="1566">
        <v>3</v>
      </c>
      <c r="I36" s="1501">
        <v>120.59</v>
      </c>
      <c r="J36" s="1542">
        <f t="shared" si="0"/>
        <v>361.77</v>
      </c>
      <c r="K36" s="325"/>
      <c r="L36" s="1501">
        <v>133.98999999999998</v>
      </c>
      <c r="M36" s="1501">
        <f t="shared" si="2"/>
        <v>120.59</v>
      </c>
      <c r="N36" s="579"/>
      <c r="O36" s="326"/>
      <c r="P36" s="322"/>
      <c r="Q36" s="322"/>
      <c r="R36" s="322"/>
      <c r="S36" s="322"/>
      <c r="T36" s="322"/>
      <c r="U36" s="322"/>
      <c r="V36" s="322"/>
      <c r="W36" s="322"/>
    </row>
    <row r="37" spans="1:23" ht="18.75" customHeight="1">
      <c r="A37" s="322"/>
      <c r="B37" s="1616">
        <f t="shared" si="1"/>
        <v>1.2800000000000002</v>
      </c>
      <c r="C37" s="1555"/>
      <c r="D37" s="1508" t="s">
        <v>929</v>
      </c>
      <c r="E37" s="1873"/>
      <c r="F37" s="1874"/>
      <c r="G37" s="1541" t="s">
        <v>18</v>
      </c>
      <c r="H37" s="1566">
        <v>2</v>
      </c>
      <c r="I37" s="1501">
        <v>157.19</v>
      </c>
      <c r="J37" s="1542">
        <f t="shared" si="0"/>
        <v>314.38</v>
      </c>
      <c r="K37" s="325"/>
      <c r="L37" s="1501">
        <v>174.65</v>
      </c>
      <c r="M37" s="1501">
        <f t="shared" si="2"/>
        <v>157.19</v>
      </c>
      <c r="N37" s="579"/>
      <c r="O37" s="326"/>
      <c r="P37" s="322"/>
      <c r="Q37" s="322"/>
      <c r="R37" s="322"/>
      <c r="S37" s="322"/>
      <c r="T37" s="322"/>
      <c r="U37" s="322"/>
      <c r="V37" s="322"/>
      <c r="W37" s="322"/>
    </row>
    <row r="38" spans="1:23" ht="18.75" customHeight="1">
      <c r="A38" s="322"/>
      <c r="B38" s="1616">
        <f t="shared" si="1"/>
        <v>1.2900000000000003</v>
      </c>
      <c r="C38" s="1555"/>
      <c r="D38" s="1508" t="s">
        <v>587</v>
      </c>
      <c r="E38" s="1873"/>
      <c r="F38" s="1874"/>
      <c r="G38" s="1541" t="s">
        <v>18</v>
      </c>
      <c r="H38" s="1566">
        <v>45</v>
      </c>
      <c r="I38" s="1501">
        <v>13.3</v>
      </c>
      <c r="J38" s="1542">
        <f t="shared" si="0"/>
        <v>598.5</v>
      </c>
      <c r="K38" s="325"/>
      <c r="L38" s="1501">
        <v>14.78</v>
      </c>
      <c r="M38" s="1501">
        <f t="shared" si="2"/>
        <v>13.3</v>
      </c>
      <c r="N38" s="579"/>
      <c r="O38" s="326"/>
      <c r="P38" s="322"/>
      <c r="Q38" s="322"/>
      <c r="R38" s="322"/>
      <c r="S38" s="322"/>
      <c r="T38" s="322"/>
      <c r="U38" s="322"/>
      <c r="V38" s="322"/>
      <c r="W38" s="322"/>
    </row>
    <row r="39" spans="1:23" ht="18.75" customHeight="1">
      <c r="A39" s="322"/>
      <c r="B39" s="1616">
        <f t="shared" si="1"/>
        <v>1.3000000000000003</v>
      </c>
      <c r="C39" s="1555"/>
      <c r="D39" s="1508" t="s">
        <v>836</v>
      </c>
      <c r="E39" s="1873"/>
      <c r="F39" s="1874"/>
      <c r="G39" s="1626" t="s">
        <v>18</v>
      </c>
      <c r="H39" s="1646">
        <v>5</v>
      </c>
      <c r="I39" s="1501">
        <v>99.31</v>
      </c>
      <c r="J39" s="1617">
        <f t="shared" si="0"/>
        <v>496.55</v>
      </c>
      <c r="K39" s="325"/>
      <c r="L39" s="1657">
        <v>110.34</v>
      </c>
      <c r="M39" s="1501">
        <f t="shared" si="2"/>
        <v>99.31</v>
      </c>
      <c r="N39" s="579"/>
      <c r="O39" s="326"/>
      <c r="P39" s="322"/>
      <c r="Q39" s="322"/>
      <c r="R39" s="322"/>
      <c r="S39" s="322"/>
      <c r="T39" s="322"/>
      <c r="U39" s="322"/>
      <c r="V39" s="322"/>
      <c r="W39" s="322"/>
    </row>
    <row r="40" spans="1:23" ht="18.75" customHeight="1">
      <c r="B40" s="1540"/>
      <c r="C40" s="1555"/>
      <c r="D40" s="1508"/>
      <c r="E40" s="1508"/>
      <c r="F40" s="1605" t="str">
        <f>+"SUB-TOTAL   "&amp;B9&amp;":  "</f>
        <v xml:space="preserve">SUB-TOTAL   1:  </v>
      </c>
      <c r="G40" s="1541"/>
      <c r="H40" s="1566"/>
      <c r="I40" s="1501"/>
      <c r="J40" s="1625">
        <f>SUM(J10:J39)</f>
        <v>22429.41</v>
      </c>
      <c r="L40" s="1501"/>
      <c r="M40" s="1501"/>
      <c r="N40" s="579"/>
      <c r="O40" s="326"/>
    </row>
    <row r="41" spans="1:23" ht="18.75" customHeight="1">
      <c r="B41" s="1615">
        <v>2</v>
      </c>
      <c r="C41" s="1555"/>
      <c r="D41" s="1575" t="s">
        <v>162</v>
      </c>
      <c r="E41" s="1508"/>
      <c r="F41" s="1579"/>
      <c r="G41" s="1541"/>
      <c r="H41" s="1566"/>
      <c r="I41" s="1501"/>
      <c r="J41" s="1542"/>
      <c r="L41" s="1501"/>
      <c r="M41" s="1501"/>
      <c r="N41" s="579"/>
      <c r="O41" s="326"/>
      <c r="P41" s="325"/>
      <c r="Q41" s="325"/>
      <c r="R41" s="325"/>
      <c r="S41" s="325"/>
    </row>
    <row r="42" spans="1:23" ht="18.75" customHeight="1">
      <c r="A42" s="322"/>
      <c r="B42" s="1616">
        <f t="shared" ref="B42:B52" si="3">+B41+0.01</f>
        <v>2.0099999999999998</v>
      </c>
      <c r="C42" s="1555"/>
      <c r="D42" s="1508" t="s">
        <v>426</v>
      </c>
      <c r="E42" s="1508"/>
      <c r="F42" s="1579"/>
      <c r="G42" s="1541" t="s">
        <v>962</v>
      </c>
      <c r="H42" s="1566">
        <v>29.790000000000006</v>
      </c>
      <c r="I42" s="1501">
        <v>61.15</v>
      </c>
      <c r="J42" s="1542">
        <f t="shared" ref="J42:J51" si="4">+ROUND(I42*H42,2)</f>
        <v>1821.66</v>
      </c>
      <c r="K42" s="325"/>
      <c r="L42" s="1501">
        <v>67.94</v>
      </c>
      <c r="M42" s="1501">
        <f t="shared" ref="M42:M52" si="5">+ROUND(L42*$M$7,2)</f>
        <v>61.15</v>
      </c>
      <c r="N42" s="579"/>
      <c r="O42" s="326"/>
      <c r="P42" s="322"/>
      <c r="Q42" s="322"/>
      <c r="R42" s="322"/>
      <c r="S42" s="322"/>
      <c r="T42" s="322"/>
      <c r="U42" s="322"/>
      <c r="V42" s="322"/>
      <c r="W42" s="322"/>
    </row>
    <row r="43" spans="1:23" ht="18.75" customHeight="1">
      <c r="A43" s="322"/>
      <c r="B43" s="1616">
        <f t="shared" si="3"/>
        <v>2.0199999999999996</v>
      </c>
      <c r="C43" s="1555"/>
      <c r="D43" s="1508" t="s">
        <v>427</v>
      </c>
      <c r="E43" s="1508"/>
      <c r="F43" s="1579"/>
      <c r="G43" s="1541" t="s">
        <v>962</v>
      </c>
      <c r="H43" s="1566">
        <v>7.14</v>
      </c>
      <c r="I43" s="1501">
        <v>208.14</v>
      </c>
      <c r="J43" s="1542">
        <f t="shared" si="4"/>
        <v>1486.12</v>
      </c>
      <c r="K43" s="325"/>
      <c r="L43" s="1501">
        <v>231.26999999999998</v>
      </c>
      <c r="M43" s="1501">
        <f t="shared" si="5"/>
        <v>208.14</v>
      </c>
      <c r="N43" s="579"/>
      <c r="O43" s="326"/>
      <c r="P43" s="322"/>
      <c r="Q43" s="322"/>
      <c r="R43" s="322"/>
      <c r="S43" s="322"/>
      <c r="T43" s="322"/>
      <c r="U43" s="322"/>
      <c r="V43" s="322"/>
      <c r="W43" s="322"/>
    </row>
    <row r="44" spans="1:23" ht="18.75" customHeight="1">
      <c r="A44" s="322"/>
      <c r="B44" s="1616">
        <f t="shared" si="3"/>
        <v>2.0299999999999994</v>
      </c>
      <c r="C44" s="1555"/>
      <c r="D44" s="1508" t="s">
        <v>429</v>
      </c>
      <c r="E44" s="1508"/>
      <c r="F44" s="1579"/>
      <c r="G44" s="1541" t="s">
        <v>18</v>
      </c>
      <c r="H44" s="1566">
        <v>3</v>
      </c>
      <c r="I44" s="1501">
        <v>123.37</v>
      </c>
      <c r="J44" s="1542">
        <f t="shared" si="4"/>
        <v>370.11</v>
      </c>
      <c r="K44" s="325"/>
      <c r="L44" s="1501">
        <v>137.07999999999998</v>
      </c>
      <c r="M44" s="1501">
        <f t="shared" si="5"/>
        <v>123.37</v>
      </c>
      <c r="N44" s="579"/>
      <c r="O44" s="326"/>
      <c r="P44" s="322"/>
      <c r="Q44" s="322"/>
      <c r="R44" s="322"/>
      <c r="S44" s="322"/>
      <c r="T44" s="322"/>
      <c r="U44" s="322"/>
      <c r="V44" s="322"/>
      <c r="W44" s="322"/>
    </row>
    <row r="45" spans="1:23" ht="18.75" customHeight="1">
      <c r="A45" s="322"/>
      <c r="B45" s="1616">
        <f t="shared" si="3"/>
        <v>2.0399999999999991</v>
      </c>
      <c r="C45" s="1555"/>
      <c r="D45" s="1508" t="s">
        <v>566</v>
      </c>
      <c r="E45" s="1508"/>
      <c r="F45" s="1579"/>
      <c r="G45" s="1541" t="s">
        <v>18</v>
      </c>
      <c r="H45" s="1566">
        <v>11</v>
      </c>
      <c r="I45" s="1501">
        <v>128.47</v>
      </c>
      <c r="J45" s="1542">
        <f t="shared" si="4"/>
        <v>1413.17</v>
      </c>
      <c r="K45" s="325"/>
      <c r="L45" s="1501">
        <v>142.74</v>
      </c>
      <c r="M45" s="1501">
        <f t="shared" si="5"/>
        <v>128.47</v>
      </c>
      <c r="N45" s="579"/>
      <c r="O45" s="326"/>
      <c r="P45" s="322"/>
      <c r="Q45" s="322"/>
      <c r="R45" s="322"/>
      <c r="S45" s="322"/>
      <c r="T45" s="322"/>
      <c r="U45" s="322"/>
      <c r="V45" s="322"/>
      <c r="W45" s="322"/>
    </row>
    <row r="46" spans="1:23" ht="18.75" customHeight="1">
      <c r="A46" s="322"/>
      <c r="B46" s="1616">
        <f t="shared" si="3"/>
        <v>2.0499999999999989</v>
      </c>
      <c r="C46" s="1555"/>
      <c r="D46" s="1508" t="s">
        <v>428</v>
      </c>
      <c r="E46" s="1508"/>
      <c r="F46" s="1579"/>
      <c r="G46" s="1541" t="s">
        <v>18</v>
      </c>
      <c r="H46" s="1566">
        <v>10</v>
      </c>
      <c r="I46" s="1501">
        <v>154.07</v>
      </c>
      <c r="J46" s="1542">
        <f t="shared" si="4"/>
        <v>1540.7</v>
      </c>
      <c r="K46" s="325"/>
      <c r="L46" s="1501">
        <v>171.19</v>
      </c>
      <c r="M46" s="1501">
        <f t="shared" si="5"/>
        <v>154.07</v>
      </c>
      <c r="N46" s="579"/>
      <c r="O46" s="326"/>
      <c r="P46" s="322"/>
      <c r="Q46" s="322"/>
      <c r="R46" s="322"/>
      <c r="S46" s="322"/>
      <c r="T46" s="322"/>
      <c r="U46" s="322"/>
      <c r="V46" s="322"/>
      <c r="W46" s="322"/>
    </row>
    <row r="47" spans="1:23" ht="18.75" customHeight="1">
      <c r="A47" s="322"/>
      <c r="B47" s="1616">
        <f t="shared" si="3"/>
        <v>2.0599999999999987</v>
      </c>
      <c r="C47" s="1555"/>
      <c r="D47" s="1508" t="s">
        <v>437</v>
      </c>
      <c r="E47" s="1508"/>
      <c r="F47" s="1579"/>
      <c r="G47" s="1541" t="s">
        <v>18</v>
      </c>
      <c r="H47" s="1566">
        <v>10</v>
      </c>
      <c r="I47" s="1501">
        <v>194.85</v>
      </c>
      <c r="J47" s="1542">
        <f t="shared" si="4"/>
        <v>1948.5</v>
      </c>
      <c r="K47" s="325"/>
      <c r="L47" s="1501">
        <v>216.5</v>
      </c>
      <c r="M47" s="1501">
        <f t="shared" si="5"/>
        <v>194.85</v>
      </c>
      <c r="N47" s="579"/>
      <c r="O47" s="326"/>
      <c r="P47" s="322"/>
      <c r="Q47" s="322"/>
      <c r="R47" s="322"/>
      <c r="S47" s="322"/>
      <c r="T47" s="322"/>
      <c r="U47" s="322"/>
      <c r="V47" s="322"/>
      <c r="W47" s="322"/>
    </row>
    <row r="48" spans="1:23" ht="18.75" customHeight="1">
      <c r="A48" s="322"/>
      <c r="B48" s="1616">
        <f t="shared" si="3"/>
        <v>2.0699999999999985</v>
      </c>
      <c r="C48" s="1555"/>
      <c r="D48" s="1508" t="s">
        <v>852</v>
      </c>
      <c r="E48" s="1508"/>
      <c r="F48" s="1579"/>
      <c r="G48" s="1541" t="s">
        <v>18</v>
      </c>
      <c r="H48" s="1566">
        <v>2</v>
      </c>
      <c r="I48" s="1501">
        <v>105.19</v>
      </c>
      <c r="J48" s="1542">
        <f t="shared" si="4"/>
        <v>210.38</v>
      </c>
      <c r="K48" s="325"/>
      <c r="L48" s="1501">
        <v>116.88</v>
      </c>
      <c r="M48" s="1501">
        <f t="shared" si="5"/>
        <v>105.19</v>
      </c>
      <c r="N48" s="579"/>
      <c r="O48" s="326"/>
      <c r="P48" s="322"/>
      <c r="Q48" s="322"/>
      <c r="R48" s="322"/>
      <c r="S48" s="322"/>
      <c r="T48" s="322"/>
      <c r="U48" s="322"/>
      <c r="V48" s="322"/>
      <c r="W48" s="322"/>
    </row>
    <row r="49" spans="1:23" ht="18.75" customHeight="1">
      <c r="A49" s="322"/>
      <c r="B49" s="1616">
        <f t="shared" si="3"/>
        <v>2.0799999999999983</v>
      </c>
      <c r="C49" s="1555"/>
      <c r="D49" s="1508" t="s">
        <v>588</v>
      </c>
      <c r="E49" s="1508"/>
      <c r="F49" s="1579"/>
      <c r="G49" s="1541" t="s">
        <v>962</v>
      </c>
      <c r="H49" s="1566">
        <v>12.320000000000004</v>
      </c>
      <c r="I49" s="1501">
        <v>109.4</v>
      </c>
      <c r="J49" s="1542">
        <f t="shared" si="4"/>
        <v>1347.81</v>
      </c>
      <c r="K49" s="325"/>
      <c r="L49" s="1501">
        <v>121.56</v>
      </c>
      <c r="M49" s="1501">
        <f t="shared" si="5"/>
        <v>109.4</v>
      </c>
      <c r="N49" s="579"/>
      <c r="O49" s="326"/>
      <c r="P49" s="322"/>
      <c r="Q49" s="322"/>
      <c r="R49" s="322"/>
      <c r="S49" s="322"/>
      <c r="T49" s="322"/>
      <c r="U49" s="322"/>
      <c r="V49" s="322"/>
      <c r="W49" s="322"/>
    </row>
    <row r="50" spans="1:23" ht="18.75" customHeight="1">
      <c r="A50" s="322"/>
      <c r="B50" s="1616">
        <f t="shared" si="3"/>
        <v>2.0899999999999981</v>
      </c>
      <c r="C50" s="1555"/>
      <c r="D50" s="1508" t="s">
        <v>438</v>
      </c>
      <c r="E50" s="1508"/>
      <c r="F50" s="1579"/>
      <c r="G50" s="1541" t="s">
        <v>18</v>
      </c>
      <c r="H50" s="1566">
        <v>13</v>
      </c>
      <c r="I50" s="1501">
        <v>279.45</v>
      </c>
      <c r="J50" s="1542">
        <f t="shared" si="4"/>
        <v>3632.85</v>
      </c>
      <c r="K50" s="325"/>
      <c r="L50" s="1501">
        <v>310.5</v>
      </c>
      <c r="M50" s="1501">
        <f t="shared" si="5"/>
        <v>279.45</v>
      </c>
      <c r="N50" s="579"/>
      <c r="O50" s="326"/>
      <c r="P50" s="322"/>
      <c r="Q50" s="322"/>
      <c r="R50" s="322"/>
      <c r="S50" s="322"/>
      <c r="T50" s="322"/>
      <c r="U50" s="322"/>
      <c r="V50" s="322"/>
      <c r="W50" s="322"/>
    </row>
    <row r="51" spans="1:23" ht="18.75" customHeight="1">
      <c r="A51" s="322"/>
      <c r="B51" s="1616">
        <f t="shared" si="3"/>
        <v>2.0999999999999979</v>
      </c>
      <c r="C51" s="1555"/>
      <c r="D51" s="1508" t="s">
        <v>567</v>
      </c>
      <c r="E51" s="1508"/>
      <c r="F51" s="1579"/>
      <c r="G51" s="1541" t="s">
        <v>18</v>
      </c>
      <c r="H51" s="1566">
        <v>7</v>
      </c>
      <c r="I51" s="1501">
        <v>270.54000000000002</v>
      </c>
      <c r="J51" s="1542">
        <f t="shared" si="4"/>
        <v>1893.78</v>
      </c>
      <c r="K51" s="325"/>
      <c r="L51" s="1501">
        <v>300.60000000000002</v>
      </c>
      <c r="M51" s="1501">
        <f t="shared" si="5"/>
        <v>270.54000000000002</v>
      </c>
      <c r="N51" s="579"/>
      <c r="O51" s="326"/>
      <c r="P51" s="322"/>
      <c r="Q51" s="322"/>
      <c r="R51" s="322"/>
      <c r="S51" s="322"/>
      <c r="T51" s="322"/>
      <c r="U51" s="322"/>
      <c r="V51" s="322"/>
      <c r="W51" s="322"/>
    </row>
    <row r="52" spans="1:23" ht="18.75" customHeight="1">
      <c r="A52" s="322"/>
      <c r="B52" s="1616">
        <f t="shared" si="3"/>
        <v>2.1099999999999977</v>
      </c>
      <c r="C52" s="1555"/>
      <c r="D52" s="1508" t="s">
        <v>930</v>
      </c>
      <c r="E52" s="1508"/>
      <c r="F52" s="1579"/>
      <c r="G52" s="1541" t="s">
        <v>18</v>
      </c>
      <c r="H52" s="1566">
        <v>20</v>
      </c>
      <c r="I52" s="1501">
        <v>25.38</v>
      </c>
      <c r="J52" s="1542">
        <f>+ROUND(I52*H52,2)</f>
        <v>507.6</v>
      </c>
      <c r="K52" s="325"/>
      <c r="L52" s="1501">
        <v>28.2</v>
      </c>
      <c r="M52" s="1501">
        <f t="shared" si="5"/>
        <v>25.38</v>
      </c>
      <c r="N52" s="579"/>
      <c r="O52" s="326"/>
      <c r="P52" s="322"/>
      <c r="Q52" s="322"/>
      <c r="R52" s="322"/>
      <c r="S52" s="322"/>
      <c r="T52" s="322"/>
      <c r="U52" s="322"/>
      <c r="V52" s="322"/>
      <c r="W52" s="322"/>
    </row>
    <row r="53" spans="1:23" ht="18.75" customHeight="1">
      <c r="B53" s="1622"/>
      <c r="C53" s="1630"/>
      <c r="D53" s="1608"/>
      <c r="E53" s="1608"/>
      <c r="F53" s="1609" t="str">
        <f>+"SUB-TOTAL   "&amp;B41&amp;":  "</f>
        <v xml:space="preserve">SUB-TOTAL   2:  </v>
      </c>
      <c r="G53" s="1610"/>
      <c r="H53" s="1611"/>
      <c r="I53" s="1567"/>
      <c r="J53" s="1623">
        <f>+SUM(J42:J52)</f>
        <v>16172.679999999998</v>
      </c>
      <c r="L53" s="1567"/>
      <c r="M53" s="1567"/>
      <c r="N53" s="579"/>
      <c r="O53" s="326"/>
    </row>
    <row r="54" spans="1:23" ht="18.75" customHeight="1">
      <c r="B54" s="1615">
        <v>3</v>
      </c>
      <c r="C54" s="1555"/>
      <c r="D54" s="1575" t="s">
        <v>205</v>
      </c>
      <c r="E54" s="1508"/>
      <c r="F54" s="1579"/>
      <c r="G54" s="1541"/>
      <c r="H54" s="1566"/>
      <c r="I54" s="1501"/>
      <c r="J54" s="1542"/>
      <c r="L54" s="1501"/>
      <c r="M54" s="1501"/>
      <c r="N54" s="579"/>
      <c r="O54" s="326"/>
    </row>
    <row r="55" spans="1:23" ht="18.75" customHeight="1">
      <c r="A55" s="322"/>
      <c r="B55" s="1616">
        <f t="shared" ref="B55:B60" si="6">+B54+0.01</f>
        <v>3.01</v>
      </c>
      <c r="C55" s="1555"/>
      <c r="D55" s="1508" t="s">
        <v>426</v>
      </c>
      <c r="E55" s="1508"/>
      <c r="F55" s="1579"/>
      <c r="G55" s="1541" t="s">
        <v>962</v>
      </c>
      <c r="H55" s="1566">
        <v>7.8400000000000007</v>
      </c>
      <c r="I55" s="1501">
        <v>61.15</v>
      </c>
      <c r="J55" s="1542">
        <f t="shared" ref="J55:J60" si="7">+ROUND(I55*H55,2)</f>
        <v>479.42</v>
      </c>
      <c r="K55" s="325"/>
      <c r="L55" s="1501">
        <v>67.94</v>
      </c>
      <c r="M55" s="1501">
        <f t="shared" ref="M55:M60" si="8">+ROUND(L55*$M$7,2)</f>
        <v>61.15</v>
      </c>
      <c r="N55" s="579"/>
      <c r="O55" s="326"/>
      <c r="P55" s="322"/>
      <c r="Q55" s="322"/>
      <c r="R55" s="322"/>
      <c r="S55" s="322"/>
      <c r="T55" s="322"/>
      <c r="U55" s="322"/>
      <c r="V55" s="322"/>
      <c r="W55" s="322"/>
    </row>
    <row r="56" spans="1:23" ht="18.75" customHeight="1">
      <c r="A56" s="322"/>
      <c r="B56" s="1616">
        <f t="shared" si="6"/>
        <v>3.0199999999999996</v>
      </c>
      <c r="C56" s="1555"/>
      <c r="D56" s="1508" t="s">
        <v>427</v>
      </c>
      <c r="E56" s="1508"/>
      <c r="F56" s="1579"/>
      <c r="G56" s="1541" t="s">
        <v>962</v>
      </c>
      <c r="H56" s="1566">
        <v>2.2400000000000002</v>
      </c>
      <c r="I56" s="1501">
        <v>208.14</v>
      </c>
      <c r="J56" s="1542">
        <f t="shared" si="7"/>
        <v>466.23</v>
      </c>
      <c r="K56" s="325"/>
      <c r="L56" s="1501">
        <v>231.26999999999998</v>
      </c>
      <c r="M56" s="1501">
        <f t="shared" si="8"/>
        <v>208.14</v>
      </c>
      <c r="N56" s="579"/>
      <c r="O56" s="326"/>
      <c r="P56" s="322"/>
      <c r="Q56" s="322"/>
      <c r="R56" s="322"/>
      <c r="S56" s="322"/>
      <c r="T56" s="322"/>
      <c r="U56" s="322"/>
      <c r="V56" s="322"/>
      <c r="W56" s="322"/>
    </row>
    <row r="57" spans="1:23" ht="18.75" customHeight="1">
      <c r="A57" s="322"/>
      <c r="B57" s="1616">
        <f t="shared" si="6"/>
        <v>3.0299999999999994</v>
      </c>
      <c r="C57" s="1555"/>
      <c r="D57" s="1508" t="s">
        <v>738</v>
      </c>
      <c r="E57" s="1508"/>
      <c r="F57" s="1579"/>
      <c r="G57" s="1541" t="s">
        <v>18</v>
      </c>
      <c r="H57" s="1566">
        <v>4</v>
      </c>
      <c r="I57" s="1501">
        <v>87.45</v>
      </c>
      <c r="J57" s="1542">
        <f t="shared" si="7"/>
        <v>349.8</v>
      </c>
      <c r="K57" s="325"/>
      <c r="L57" s="1501">
        <v>97.17</v>
      </c>
      <c r="M57" s="1501">
        <f t="shared" si="8"/>
        <v>87.45</v>
      </c>
      <c r="N57" s="579"/>
      <c r="O57" s="326"/>
      <c r="P57" s="322"/>
      <c r="Q57" s="322"/>
      <c r="R57" s="322"/>
      <c r="S57" s="322"/>
      <c r="T57" s="322"/>
      <c r="U57" s="322"/>
      <c r="V57" s="322"/>
      <c r="W57" s="322"/>
    </row>
    <row r="58" spans="1:23" ht="18.75" customHeight="1">
      <c r="A58" s="322"/>
      <c r="B58" s="1616">
        <f t="shared" si="6"/>
        <v>3.0399999999999991</v>
      </c>
      <c r="C58" s="1555"/>
      <c r="D58" s="1508" t="s">
        <v>739</v>
      </c>
      <c r="E58" s="1508"/>
      <c r="F58" s="1579"/>
      <c r="G58" s="1541" t="s">
        <v>18</v>
      </c>
      <c r="H58" s="1566">
        <v>5</v>
      </c>
      <c r="I58" s="1501">
        <v>103.71</v>
      </c>
      <c r="J58" s="1542">
        <f t="shared" si="7"/>
        <v>518.54999999999995</v>
      </c>
      <c r="K58" s="325"/>
      <c r="L58" s="1501">
        <v>115.23000000000002</v>
      </c>
      <c r="M58" s="1501">
        <f t="shared" si="8"/>
        <v>103.71</v>
      </c>
      <c r="N58" s="579"/>
      <c r="O58" s="326"/>
      <c r="P58" s="322"/>
      <c r="Q58" s="322"/>
      <c r="R58" s="322"/>
      <c r="S58" s="322"/>
      <c r="T58" s="322"/>
      <c r="U58" s="322"/>
      <c r="V58" s="322"/>
      <c r="W58" s="322"/>
    </row>
    <row r="59" spans="1:23" ht="18.75" customHeight="1">
      <c r="A59" s="322"/>
      <c r="B59" s="1616">
        <f t="shared" si="6"/>
        <v>3.0499999999999989</v>
      </c>
      <c r="C59" s="1555"/>
      <c r="D59" s="1508" t="s">
        <v>431</v>
      </c>
      <c r="E59" s="1508"/>
      <c r="F59" s="1579"/>
      <c r="G59" s="1541" t="s">
        <v>962</v>
      </c>
      <c r="H59" s="1566">
        <v>7.7000000000000011</v>
      </c>
      <c r="I59" s="1501">
        <v>90.22</v>
      </c>
      <c r="J59" s="1542">
        <f t="shared" si="7"/>
        <v>694.69</v>
      </c>
      <c r="K59" s="325"/>
      <c r="L59" s="1501">
        <v>100.24</v>
      </c>
      <c r="M59" s="1501">
        <f t="shared" si="8"/>
        <v>90.22</v>
      </c>
      <c r="N59" s="579"/>
      <c r="O59" s="326"/>
      <c r="P59" s="322"/>
      <c r="Q59" s="322"/>
      <c r="R59" s="322"/>
      <c r="S59" s="322"/>
      <c r="T59" s="322"/>
      <c r="U59" s="322"/>
      <c r="V59" s="322"/>
      <c r="W59" s="322"/>
    </row>
    <row r="60" spans="1:23" ht="18.75" customHeight="1">
      <c r="A60" s="322"/>
      <c r="B60" s="1616">
        <f t="shared" si="6"/>
        <v>3.0599999999999987</v>
      </c>
      <c r="C60" s="1555"/>
      <c r="D60" s="1508" t="s">
        <v>432</v>
      </c>
      <c r="E60" s="1508"/>
      <c r="F60" s="1579"/>
      <c r="G60" s="1541" t="s">
        <v>962</v>
      </c>
      <c r="H60" s="1566">
        <v>2.2000000000000002</v>
      </c>
      <c r="I60" s="1501">
        <v>96.57</v>
      </c>
      <c r="J60" s="1542">
        <f t="shared" si="7"/>
        <v>212.45</v>
      </c>
      <c r="K60" s="325"/>
      <c r="L60" s="1501">
        <v>107.3</v>
      </c>
      <c r="M60" s="1501">
        <f t="shared" si="8"/>
        <v>96.57</v>
      </c>
      <c r="N60" s="579"/>
      <c r="O60" s="326"/>
      <c r="P60" s="322"/>
      <c r="Q60" s="322"/>
      <c r="R60" s="322"/>
      <c r="S60" s="322"/>
      <c r="T60" s="322"/>
      <c r="U60" s="322"/>
      <c r="V60" s="322"/>
      <c r="W60" s="322"/>
    </row>
    <row r="61" spans="1:23" ht="18.75" customHeight="1">
      <c r="B61" s="1540"/>
      <c r="C61" s="1555"/>
      <c r="D61" s="1508"/>
      <c r="E61" s="1508"/>
      <c r="F61" s="1605" t="str">
        <f>+"SUB-TOTAL   "&amp;B54&amp;":  "</f>
        <v xml:space="preserve">SUB-TOTAL   3:  </v>
      </c>
      <c r="G61" s="1606"/>
      <c r="H61" s="1607"/>
      <c r="I61" s="1565"/>
      <c r="J61" s="1619">
        <f>+SUM(J55:J60)</f>
        <v>2721.14</v>
      </c>
      <c r="L61" s="1565"/>
      <c r="M61" s="1565"/>
      <c r="N61" s="579"/>
      <c r="O61" s="326"/>
    </row>
    <row r="62" spans="1:23" ht="18.75" customHeight="1">
      <c r="B62" s="1615">
        <v>4</v>
      </c>
      <c r="C62" s="1555"/>
      <c r="D62" s="1575" t="s">
        <v>206</v>
      </c>
      <c r="E62" s="1508"/>
      <c r="F62" s="1579"/>
      <c r="G62" s="1541"/>
      <c r="H62" s="1566"/>
      <c r="I62" s="1501"/>
      <c r="J62" s="1542"/>
      <c r="L62" s="1501"/>
      <c r="M62" s="1501"/>
      <c r="N62" s="579"/>
      <c r="O62" s="326"/>
    </row>
    <row r="63" spans="1:23" ht="18.75" customHeight="1">
      <c r="A63" s="322"/>
      <c r="B63" s="1616">
        <f>+B62+0.01</f>
        <v>4.01</v>
      </c>
      <c r="C63" s="1555"/>
      <c r="D63" s="1508" t="s">
        <v>904</v>
      </c>
      <c r="E63" s="1508"/>
      <c r="F63" s="1579"/>
      <c r="G63" s="1541" t="s">
        <v>295</v>
      </c>
      <c r="H63" s="1566">
        <v>13</v>
      </c>
      <c r="I63" s="1501">
        <v>61.22</v>
      </c>
      <c r="J63" s="1542">
        <f t="shared" ref="J63:J72" si="9">+ROUND(I63*H63,2)</f>
        <v>795.86</v>
      </c>
      <c r="K63" s="325"/>
      <c r="L63" s="1501">
        <v>68.02</v>
      </c>
      <c r="M63" s="1501">
        <f t="shared" ref="M63:M72" si="10">+ROUND(L63*$M$7,2)</f>
        <v>61.22</v>
      </c>
      <c r="N63" s="579"/>
      <c r="O63" s="326"/>
      <c r="P63" s="322"/>
      <c r="Q63" s="322"/>
      <c r="R63" s="322"/>
      <c r="S63" s="322"/>
      <c r="T63" s="322"/>
      <c r="U63" s="322"/>
      <c r="V63" s="322"/>
      <c r="W63" s="322"/>
    </row>
    <row r="64" spans="1:23" ht="18.75" customHeight="1">
      <c r="A64" s="322"/>
      <c r="B64" s="1616">
        <f t="shared" ref="B64:B72" si="11">+B63+0.01</f>
        <v>4.0199999999999996</v>
      </c>
      <c r="C64" s="1555"/>
      <c r="D64" s="1508" t="s">
        <v>907</v>
      </c>
      <c r="E64" s="1508"/>
      <c r="F64" s="1579"/>
      <c r="G64" s="1541" t="s">
        <v>295</v>
      </c>
      <c r="H64" s="1566">
        <v>3</v>
      </c>
      <c r="I64" s="1501">
        <v>80.37</v>
      </c>
      <c r="J64" s="1542">
        <f t="shared" si="9"/>
        <v>241.11</v>
      </c>
      <c r="K64" s="325"/>
      <c r="L64" s="1501">
        <v>89.299999999999983</v>
      </c>
      <c r="M64" s="1501">
        <f t="shared" si="10"/>
        <v>80.37</v>
      </c>
      <c r="N64" s="579"/>
      <c r="O64" s="326"/>
      <c r="P64" s="322"/>
      <c r="Q64" s="322"/>
      <c r="R64" s="322"/>
      <c r="S64" s="322"/>
      <c r="T64" s="322"/>
      <c r="U64" s="322"/>
      <c r="V64" s="322"/>
      <c r="W64" s="322"/>
    </row>
    <row r="65" spans="1:23" ht="18.75" customHeight="1">
      <c r="A65" s="322"/>
      <c r="B65" s="1616">
        <f t="shared" si="11"/>
        <v>4.0299999999999994</v>
      </c>
      <c r="C65" s="1555"/>
      <c r="D65" s="1508" t="s">
        <v>935</v>
      </c>
      <c r="E65" s="1508"/>
      <c r="F65" s="1579"/>
      <c r="G65" s="1541" t="s">
        <v>295</v>
      </c>
      <c r="H65" s="1566">
        <v>1</v>
      </c>
      <c r="I65" s="1501">
        <v>69.13</v>
      </c>
      <c r="J65" s="1542">
        <f t="shared" si="9"/>
        <v>69.13</v>
      </c>
      <c r="K65" s="325"/>
      <c r="L65" s="1501">
        <v>76.81</v>
      </c>
      <c r="M65" s="1501">
        <f t="shared" si="10"/>
        <v>69.13</v>
      </c>
      <c r="N65" s="579"/>
      <c r="O65" s="326"/>
      <c r="P65" s="322"/>
      <c r="Q65" s="322"/>
      <c r="R65" s="322"/>
      <c r="S65" s="322"/>
      <c r="T65" s="322"/>
      <c r="U65" s="322"/>
      <c r="V65" s="322"/>
      <c r="W65" s="322"/>
    </row>
    <row r="66" spans="1:23" ht="18.75" customHeight="1">
      <c r="A66" s="322"/>
      <c r="B66" s="1616">
        <f t="shared" si="11"/>
        <v>4.0399999999999991</v>
      </c>
      <c r="C66" s="1555"/>
      <c r="D66" s="1508" t="s">
        <v>909</v>
      </c>
      <c r="E66" s="1508"/>
      <c r="F66" s="1579"/>
      <c r="G66" s="1541" t="s">
        <v>295</v>
      </c>
      <c r="H66" s="1566">
        <v>6</v>
      </c>
      <c r="I66" s="1501">
        <v>31.21</v>
      </c>
      <c r="J66" s="1542">
        <f t="shared" si="9"/>
        <v>187.26</v>
      </c>
      <c r="K66" s="325"/>
      <c r="L66" s="1501">
        <v>34.679999999999993</v>
      </c>
      <c r="M66" s="1501">
        <f t="shared" si="10"/>
        <v>31.21</v>
      </c>
      <c r="N66" s="579"/>
      <c r="O66" s="326"/>
      <c r="P66" s="322"/>
      <c r="Q66" s="322"/>
      <c r="R66" s="322"/>
      <c r="S66" s="322"/>
      <c r="T66" s="322"/>
      <c r="U66" s="322"/>
      <c r="V66" s="322"/>
      <c r="W66" s="322"/>
    </row>
    <row r="67" spans="1:23" ht="18.75" customHeight="1">
      <c r="A67" s="322"/>
      <c r="B67" s="1616">
        <f t="shared" si="11"/>
        <v>4.0499999999999989</v>
      </c>
      <c r="C67" s="1555"/>
      <c r="D67" s="1508" t="s">
        <v>936</v>
      </c>
      <c r="E67" s="1508"/>
      <c r="F67" s="1579"/>
      <c r="G67" s="1541" t="s">
        <v>295</v>
      </c>
      <c r="H67" s="1566">
        <v>5</v>
      </c>
      <c r="I67" s="1501">
        <v>37.549999999999997</v>
      </c>
      <c r="J67" s="1542">
        <f t="shared" si="9"/>
        <v>187.75</v>
      </c>
      <c r="K67" s="325"/>
      <c r="L67" s="1501">
        <v>41.72</v>
      </c>
      <c r="M67" s="1501">
        <f t="shared" si="10"/>
        <v>37.549999999999997</v>
      </c>
      <c r="N67" s="579"/>
      <c r="O67" s="326"/>
      <c r="P67" s="322"/>
      <c r="Q67" s="322"/>
      <c r="R67" s="322"/>
      <c r="S67" s="322"/>
      <c r="T67" s="322"/>
      <c r="U67" s="322"/>
      <c r="V67" s="322"/>
      <c r="W67" s="322"/>
    </row>
    <row r="68" spans="1:23" ht="18.75" customHeight="1">
      <c r="A68" s="322"/>
      <c r="B68" s="1616">
        <f t="shared" si="11"/>
        <v>4.0599999999999987</v>
      </c>
      <c r="C68" s="1555"/>
      <c r="D68" s="1508" t="s">
        <v>937</v>
      </c>
      <c r="E68" s="1508"/>
      <c r="F68" s="1579"/>
      <c r="G68" s="1541" t="s">
        <v>295</v>
      </c>
      <c r="H68" s="1566">
        <v>6</v>
      </c>
      <c r="I68" s="1501">
        <v>110.21</v>
      </c>
      <c r="J68" s="1542">
        <f t="shared" si="9"/>
        <v>661.26</v>
      </c>
      <c r="K68" s="325"/>
      <c r="L68" s="1501">
        <v>122.46000000000001</v>
      </c>
      <c r="M68" s="1501">
        <f t="shared" si="10"/>
        <v>110.21</v>
      </c>
      <c r="N68" s="579"/>
      <c r="O68" s="326"/>
      <c r="P68" s="322"/>
      <c r="Q68" s="322"/>
      <c r="R68" s="322"/>
      <c r="S68" s="322"/>
      <c r="T68" s="322"/>
      <c r="U68" s="322"/>
      <c r="V68" s="322"/>
      <c r="W68" s="322"/>
    </row>
    <row r="69" spans="1:23" ht="18.75" customHeight="1">
      <c r="A69" s="322"/>
      <c r="B69" s="1616">
        <f t="shared" si="11"/>
        <v>4.0699999999999985</v>
      </c>
      <c r="C69" s="1555"/>
      <c r="D69" s="1508" t="s">
        <v>938</v>
      </c>
      <c r="E69" s="1508"/>
      <c r="F69" s="1579"/>
      <c r="G69" s="1541" t="s">
        <v>295</v>
      </c>
      <c r="H69" s="1566">
        <v>1</v>
      </c>
      <c r="I69" s="1501">
        <v>102.97</v>
      </c>
      <c r="J69" s="1542">
        <f t="shared" si="9"/>
        <v>102.97</v>
      </c>
      <c r="K69" s="325"/>
      <c r="L69" s="1501">
        <v>114.41</v>
      </c>
      <c r="M69" s="1501">
        <f t="shared" si="10"/>
        <v>102.97</v>
      </c>
      <c r="N69" s="579"/>
      <c r="O69" s="326"/>
      <c r="P69" s="322"/>
      <c r="Q69" s="322"/>
      <c r="R69" s="322"/>
      <c r="S69" s="322"/>
      <c r="T69" s="322"/>
      <c r="U69" s="322"/>
      <c r="V69" s="322"/>
      <c r="W69" s="322"/>
    </row>
    <row r="70" spans="1:23" ht="18.75" customHeight="1">
      <c r="A70" s="322"/>
      <c r="B70" s="1616">
        <f t="shared" si="11"/>
        <v>4.0799999999999983</v>
      </c>
      <c r="C70" s="1555"/>
      <c r="D70" s="1508" t="s">
        <v>912</v>
      </c>
      <c r="E70" s="1508"/>
      <c r="F70" s="1579"/>
      <c r="G70" s="1541" t="s">
        <v>295</v>
      </c>
      <c r="H70" s="1566">
        <v>13</v>
      </c>
      <c r="I70" s="1501">
        <v>50.37</v>
      </c>
      <c r="J70" s="1542">
        <f t="shared" si="9"/>
        <v>654.80999999999995</v>
      </c>
      <c r="K70" s="325"/>
      <c r="L70" s="1501">
        <v>55.97</v>
      </c>
      <c r="M70" s="1501">
        <f t="shared" si="10"/>
        <v>50.37</v>
      </c>
      <c r="N70" s="579"/>
      <c r="O70" s="326"/>
      <c r="P70" s="322"/>
      <c r="Q70" s="322"/>
      <c r="R70" s="322"/>
      <c r="S70" s="322"/>
      <c r="T70" s="322"/>
      <c r="U70" s="322"/>
      <c r="V70" s="322"/>
      <c r="W70" s="322"/>
    </row>
    <row r="71" spans="1:23" ht="18.75" customHeight="1">
      <c r="A71" s="322"/>
      <c r="B71" s="1616">
        <f t="shared" si="11"/>
        <v>4.0899999999999981</v>
      </c>
      <c r="C71" s="1555"/>
      <c r="D71" s="1508" t="s">
        <v>939</v>
      </c>
      <c r="E71" s="1508"/>
      <c r="F71" s="1579"/>
      <c r="G71" s="1541" t="s">
        <v>295</v>
      </c>
      <c r="H71" s="1566">
        <v>13</v>
      </c>
      <c r="I71" s="1501">
        <v>295.25</v>
      </c>
      <c r="J71" s="1542">
        <f t="shared" si="9"/>
        <v>3838.25</v>
      </c>
      <c r="K71" s="325"/>
      <c r="L71" s="1501">
        <v>328.06</v>
      </c>
      <c r="M71" s="1501">
        <f t="shared" si="10"/>
        <v>295.25</v>
      </c>
      <c r="N71" s="579"/>
      <c r="O71" s="326"/>
      <c r="P71" s="322"/>
      <c r="Q71" s="322"/>
      <c r="R71" s="322"/>
      <c r="S71" s="322"/>
      <c r="T71" s="322"/>
      <c r="U71" s="322"/>
      <c r="V71" s="322"/>
      <c r="W71" s="322"/>
    </row>
    <row r="72" spans="1:23" ht="18.75" customHeight="1">
      <c r="A72" s="322"/>
      <c r="B72" s="1616">
        <f t="shared" si="11"/>
        <v>4.0999999999999979</v>
      </c>
      <c r="C72" s="1555"/>
      <c r="D72" s="1508" t="s">
        <v>940</v>
      </c>
      <c r="E72" s="1508"/>
      <c r="F72" s="1579"/>
      <c r="G72" s="1541" t="s">
        <v>295</v>
      </c>
      <c r="H72" s="1566">
        <v>5</v>
      </c>
      <c r="I72" s="1501">
        <v>306.70999999999998</v>
      </c>
      <c r="J72" s="1542">
        <f t="shared" si="9"/>
        <v>1533.55</v>
      </c>
      <c r="K72" s="325"/>
      <c r="L72" s="1501">
        <v>340.78999999999996</v>
      </c>
      <c r="M72" s="1501">
        <f t="shared" si="10"/>
        <v>306.70999999999998</v>
      </c>
      <c r="N72" s="579"/>
      <c r="O72" s="326"/>
      <c r="P72" s="322"/>
      <c r="Q72" s="322"/>
      <c r="R72" s="322"/>
      <c r="S72" s="322"/>
      <c r="T72" s="322"/>
      <c r="U72" s="322"/>
      <c r="V72" s="322"/>
      <c r="W72" s="322"/>
    </row>
    <row r="73" spans="1:23" ht="18.75" customHeight="1">
      <c r="B73" s="1540"/>
      <c r="C73" s="1555"/>
      <c r="D73" s="1508"/>
      <c r="E73" s="1508"/>
      <c r="F73" s="1605" t="str">
        <f>+"SUB-TOTAL   "&amp;B62&amp;":  "</f>
        <v xml:space="preserve">SUB-TOTAL   4:  </v>
      </c>
      <c r="G73" s="1606"/>
      <c r="H73" s="1607"/>
      <c r="I73" s="1565"/>
      <c r="J73" s="1619">
        <f>+SUM(J63:J72)</f>
        <v>8271.9499999999989</v>
      </c>
      <c r="L73" s="1565"/>
      <c r="M73" s="1565"/>
      <c r="N73" s="579"/>
      <c r="O73" s="326"/>
    </row>
    <row r="74" spans="1:23" ht="18.75" customHeight="1">
      <c r="B74" s="1615">
        <v>5</v>
      </c>
      <c r="C74" s="1555"/>
      <c r="D74" s="1575" t="s">
        <v>282</v>
      </c>
      <c r="E74" s="1508"/>
      <c r="F74" s="1579"/>
      <c r="G74" s="1541"/>
      <c r="H74" s="1566"/>
      <c r="I74" s="1501"/>
      <c r="J74" s="1542"/>
      <c r="L74" s="1501"/>
      <c r="M74" s="1501"/>
      <c r="N74" s="579"/>
      <c r="O74" s="326"/>
    </row>
    <row r="75" spans="1:23" ht="18.75" customHeight="1">
      <c r="A75" s="322"/>
      <c r="B75" s="1616">
        <f>+B74+0.01</f>
        <v>5.01</v>
      </c>
      <c r="C75" s="1555"/>
      <c r="D75" s="1508" t="s">
        <v>433</v>
      </c>
      <c r="E75" s="1873"/>
      <c r="F75" s="1874"/>
      <c r="G75" s="1541" t="s">
        <v>191</v>
      </c>
      <c r="H75" s="1566">
        <v>3.51</v>
      </c>
      <c r="I75" s="1501">
        <v>1416.22</v>
      </c>
      <c r="J75" s="1542">
        <f t="shared" ref="J75" si="12">+ROUND(I75*H75,2)</f>
        <v>4970.93</v>
      </c>
      <c r="K75" s="325"/>
      <c r="L75" s="1501">
        <v>1573.58</v>
      </c>
      <c r="M75" s="1501">
        <f>+ROUND(L75*$M$7,2)</f>
        <v>1416.22</v>
      </c>
      <c r="N75" s="579"/>
      <c r="O75" s="326"/>
      <c r="P75" s="322"/>
      <c r="Q75" s="322"/>
      <c r="R75" s="322"/>
      <c r="S75" s="322"/>
      <c r="T75" s="322"/>
      <c r="U75" s="322"/>
      <c r="V75" s="322"/>
      <c r="W75" s="322"/>
    </row>
    <row r="76" spans="1:23" ht="18.75" customHeight="1">
      <c r="B76" s="1540"/>
      <c r="C76" s="1555"/>
      <c r="D76" s="1508"/>
      <c r="E76" s="1508"/>
      <c r="F76" s="1605" t="str">
        <f>+"SUB-TOTAL   "&amp;B74&amp;":  "</f>
        <v xml:space="preserve">SUB-TOTAL   5:  </v>
      </c>
      <c r="G76" s="1606"/>
      <c r="H76" s="1607"/>
      <c r="I76" s="1565"/>
      <c r="J76" s="1619">
        <f>+SUM(J75:J75)</f>
        <v>4970.93</v>
      </c>
      <c r="L76" s="1565"/>
      <c r="M76" s="1565"/>
      <c r="N76" s="579"/>
      <c r="O76" s="326"/>
    </row>
    <row r="77" spans="1:23" ht="18.75" customHeight="1">
      <c r="B77" s="1615">
        <f>1+B74</f>
        <v>6</v>
      </c>
      <c r="C77" s="1555"/>
      <c r="D77" s="1575" t="s">
        <v>283</v>
      </c>
      <c r="E77" s="1508"/>
      <c r="F77" s="1579"/>
      <c r="G77" s="1541"/>
      <c r="H77" s="1566"/>
      <c r="I77" s="1501"/>
      <c r="J77" s="1542"/>
      <c r="L77" s="1501"/>
      <c r="M77" s="1501"/>
      <c r="N77" s="579"/>
      <c r="O77" s="326"/>
    </row>
    <row r="78" spans="1:23" ht="18.75" customHeight="1">
      <c r="A78" s="322"/>
      <c r="B78" s="1616">
        <f t="shared" ref="B78:B84" si="13">+B77+0.01</f>
        <v>6.01</v>
      </c>
      <c r="C78" s="1555"/>
      <c r="D78" s="1508" t="s">
        <v>426</v>
      </c>
      <c r="E78" s="1508"/>
      <c r="F78" s="1579"/>
      <c r="G78" s="1541" t="s">
        <v>962</v>
      </c>
      <c r="H78" s="1566">
        <v>101.09000000000005</v>
      </c>
      <c r="I78" s="1501">
        <v>61.15</v>
      </c>
      <c r="J78" s="1542">
        <f t="shared" ref="J78:J84" si="14">+ROUND(I78*H78,2)</f>
        <v>6181.65</v>
      </c>
      <c r="K78" s="325"/>
      <c r="L78" s="1501">
        <v>67.94</v>
      </c>
      <c r="M78" s="1501">
        <f t="shared" ref="M78:M84" si="15">+ROUND(L78*$M$7,2)</f>
        <v>61.15</v>
      </c>
      <c r="N78" s="579"/>
      <c r="O78" s="326"/>
      <c r="P78" s="322"/>
      <c r="Q78" s="322"/>
      <c r="R78" s="322"/>
      <c r="S78" s="322"/>
      <c r="T78" s="322"/>
      <c r="U78" s="322"/>
      <c r="V78" s="322"/>
      <c r="W78" s="322"/>
    </row>
    <row r="79" spans="1:23" ht="18.75" customHeight="1">
      <c r="A79" s="322"/>
      <c r="B79" s="1616">
        <f t="shared" si="13"/>
        <v>6.02</v>
      </c>
      <c r="C79" s="1555"/>
      <c r="D79" s="1508" t="s">
        <v>427</v>
      </c>
      <c r="E79" s="1508"/>
      <c r="F79" s="1579"/>
      <c r="G79" s="1541" t="s">
        <v>962</v>
      </c>
      <c r="H79" s="1566">
        <v>14.31</v>
      </c>
      <c r="I79" s="1501">
        <v>208.14</v>
      </c>
      <c r="J79" s="1542">
        <f t="shared" si="14"/>
        <v>2978.48</v>
      </c>
      <c r="K79" s="325"/>
      <c r="L79" s="1501">
        <v>231.26999999999998</v>
      </c>
      <c r="M79" s="1501">
        <f t="shared" si="15"/>
        <v>208.14</v>
      </c>
      <c r="N79" s="579"/>
      <c r="O79" s="326"/>
      <c r="P79" s="322"/>
      <c r="Q79" s="322"/>
      <c r="R79" s="322"/>
      <c r="S79" s="322"/>
      <c r="T79" s="322"/>
      <c r="U79" s="322"/>
      <c r="V79" s="322"/>
      <c r="W79" s="322"/>
    </row>
    <row r="80" spans="1:23" ht="18.75" customHeight="1">
      <c r="A80" s="322"/>
      <c r="B80" s="1616">
        <f t="shared" si="13"/>
        <v>6.0299999999999994</v>
      </c>
      <c r="C80" s="1555"/>
      <c r="D80" s="1508" t="s">
        <v>473</v>
      </c>
      <c r="E80" s="1508"/>
      <c r="F80" s="1579"/>
      <c r="G80" s="1541" t="s">
        <v>18</v>
      </c>
      <c r="H80" s="1566">
        <v>18</v>
      </c>
      <c r="I80" s="1501">
        <v>39.47</v>
      </c>
      <c r="J80" s="1542">
        <f t="shared" si="14"/>
        <v>710.46</v>
      </c>
      <c r="K80" s="325"/>
      <c r="L80" s="1501">
        <v>43.86</v>
      </c>
      <c r="M80" s="1501">
        <f t="shared" si="15"/>
        <v>39.47</v>
      </c>
      <c r="N80" s="579"/>
      <c r="O80" s="326"/>
      <c r="P80" s="322"/>
      <c r="Q80" s="322"/>
      <c r="R80" s="322"/>
      <c r="S80" s="322"/>
      <c r="T80" s="322"/>
      <c r="U80" s="322"/>
      <c r="V80" s="322"/>
      <c r="W80" s="322"/>
    </row>
    <row r="81" spans="1:23" ht="18.75" customHeight="1">
      <c r="A81" s="322"/>
      <c r="B81" s="1616">
        <f t="shared" si="13"/>
        <v>6.0399999999999991</v>
      </c>
      <c r="C81" s="1555"/>
      <c r="D81" s="1508" t="s">
        <v>941</v>
      </c>
      <c r="E81" s="1873"/>
      <c r="F81" s="1874"/>
      <c r="G81" s="1541" t="s">
        <v>18</v>
      </c>
      <c r="H81" s="1566">
        <v>5</v>
      </c>
      <c r="I81" s="1501">
        <v>99.81</v>
      </c>
      <c r="J81" s="1542">
        <f t="shared" si="14"/>
        <v>499.05</v>
      </c>
      <c r="K81" s="325"/>
      <c r="L81" s="1501">
        <v>110.9</v>
      </c>
      <c r="M81" s="1501">
        <f t="shared" si="15"/>
        <v>99.81</v>
      </c>
      <c r="N81" s="579"/>
      <c r="O81" s="326"/>
      <c r="P81" s="322"/>
      <c r="Q81" s="322"/>
      <c r="R81" s="322"/>
      <c r="S81" s="322"/>
      <c r="T81" s="322"/>
      <c r="U81" s="322"/>
      <c r="V81" s="322"/>
      <c r="W81" s="322"/>
    </row>
    <row r="82" spans="1:23" ht="18.75" customHeight="1">
      <c r="A82" s="322"/>
      <c r="B82" s="1616">
        <f t="shared" si="13"/>
        <v>6.0499999999999989</v>
      </c>
      <c r="C82" s="1555"/>
      <c r="D82" s="1508" t="s">
        <v>942</v>
      </c>
      <c r="E82" s="1873"/>
      <c r="F82" s="1874"/>
      <c r="G82" s="1541" t="s">
        <v>18</v>
      </c>
      <c r="H82" s="1566">
        <v>11</v>
      </c>
      <c r="I82" s="1501">
        <v>143.37</v>
      </c>
      <c r="J82" s="1542">
        <f t="shared" si="14"/>
        <v>1577.07</v>
      </c>
      <c r="K82" s="325"/>
      <c r="L82" s="1501">
        <v>159.29999999999998</v>
      </c>
      <c r="M82" s="1501">
        <f t="shared" si="15"/>
        <v>143.37</v>
      </c>
      <c r="N82" s="579"/>
      <c r="O82" s="326"/>
      <c r="P82" s="322"/>
      <c r="Q82" s="322"/>
      <c r="R82" s="322"/>
      <c r="S82" s="322"/>
      <c r="T82" s="322"/>
      <c r="U82" s="322"/>
      <c r="V82" s="322"/>
      <c r="W82" s="322"/>
    </row>
    <row r="83" spans="1:23" ht="18.75" customHeight="1">
      <c r="A83" s="322"/>
      <c r="B83" s="1616">
        <f t="shared" si="13"/>
        <v>6.0599999999999987</v>
      </c>
      <c r="C83" s="1555"/>
      <c r="D83" s="1508" t="s">
        <v>943</v>
      </c>
      <c r="E83" s="1873"/>
      <c r="F83" s="1874"/>
      <c r="G83" s="1541" t="s">
        <v>18</v>
      </c>
      <c r="H83" s="1566">
        <v>2</v>
      </c>
      <c r="I83" s="1501">
        <v>165.54</v>
      </c>
      <c r="J83" s="1542">
        <f t="shared" si="14"/>
        <v>331.08</v>
      </c>
      <c r="K83" s="325"/>
      <c r="L83" s="1501">
        <v>183.93</v>
      </c>
      <c r="M83" s="1501">
        <f t="shared" si="15"/>
        <v>165.54</v>
      </c>
      <c r="N83" s="579"/>
      <c r="O83" s="326"/>
      <c r="P83" s="322"/>
      <c r="Q83" s="322"/>
      <c r="R83" s="322"/>
      <c r="S83" s="322"/>
      <c r="T83" s="322"/>
      <c r="U83" s="322"/>
      <c r="V83" s="322"/>
      <c r="W83" s="322"/>
    </row>
    <row r="84" spans="1:23" ht="18.75" customHeight="1">
      <c r="A84" s="322"/>
      <c r="B84" s="1616">
        <f t="shared" si="13"/>
        <v>6.0699999999999985</v>
      </c>
      <c r="C84" s="1555"/>
      <c r="D84" s="1508" t="s">
        <v>439</v>
      </c>
      <c r="E84" s="1508"/>
      <c r="F84" s="1579"/>
      <c r="G84" s="1541" t="s">
        <v>962</v>
      </c>
      <c r="H84" s="1566">
        <v>113.37000000000003</v>
      </c>
      <c r="I84" s="1501">
        <v>68.819999999999993</v>
      </c>
      <c r="J84" s="1542">
        <f t="shared" si="14"/>
        <v>7802.12</v>
      </c>
      <c r="K84" s="325"/>
      <c r="L84" s="1501">
        <v>76.47</v>
      </c>
      <c r="M84" s="1501">
        <f t="shared" si="15"/>
        <v>68.819999999999993</v>
      </c>
      <c r="N84" s="579"/>
      <c r="O84" s="326"/>
      <c r="P84" s="322"/>
      <c r="Q84" s="322"/>
      <c r="R84" s="322"/>
      <c r="S84" s="322"/>
      <c r="T84" s="322"/>
      <c r="U84" s="322"/>
      <c r="V84" s="322"/>
      <c r="W84" s="322"/>
    </row>
    <row r="85" spans="1:23" ht="18.75" customHeight="1">
      <c r="B85" s="1540"/>
      <c r="C85" s="1555"/>
      <c r="D85" s="1508"/>
      <c r="E85" s="1508"/>
      <c r="F85" s="1605" t="str">
        <f>+"SUB-TOTAL   "&amp;B77&amp;":  "</f>
        <v xml:space="preserve">SUB-TOTAL   6:  </v>
      </c>
      <c r="G85" s="1606"/>
      <c r="H85" s="1607"/>
      <c r="I85" s="1565"/>
      <c r="J85" s="1619">
        <f>SUM(J78:J84)</f>
        <v>20079.91</v>
      </c>
      <c r="L85" s="1565"/>
      <c r="M85" s="1565"/>
      <c r="N85" s="579"/>
      <c r="O85" s="326"/>
    </row>
    <row r="86" spans="1:23" ht="18.75" customHeight="1">
      <c r="B86" s="1615">
        <f>1+B77</f>
        <v>7</v>
      </c>
      <c r="C86" s="1555"/>
      <c r="D86" s="1575" t="s">
        <v>0</v>
      </c>
      <c r="E86" s="1508"/>
      <c r="F86" s="1579"/>
      <c r="G86" s="1541"/>
      <c r="H86" s="1566"/>
      <c r="I86" s="1501"/>
      <c r="J86" s="1542"/>
      <c r="L86" s="1501"/>
      <c r="M86" s="1501"/>
      <c r="N86" s="579"/>
      <c r="O86" s="326"/>
    </row>
    <row r="87" spans="1:23" ht="18.75" customHeight="1">
      <c r="A87" s="322"/>
      <c r="B87" s="1616">
        <f t="shared" ref="B87:B88" si="16">+B86+0.01</f>
        <v>7.01</v>
      </c>
      <c r="C87" s="1555"/>
      <c r="D87" s="1508" t="s">
        <v>440</v>
      </c>
      <c r="E87" s="1508"/>
      <c r="F87" s="1579"/>
      <c r="G87" s="1541" t="s">
        <v>148</v>
      </c>
      <c r="H87" s="1566">
        <v>18</v>
      </c>
      <c r="I87" s="1501">
        <v>350.5</v>
      </c>
      <c r="J87" s="1542">
        <f t="shared" ref="J87:J88" si="17">+ROUND(I87*H87,2)</f>
        <v>6309</v>
      </c>
      <c r="K87" s="325"/>
      <c r="L87" s="1501">
        <v>447.21999999999997</v>
      </c>
      <c r="M87" s="1501">
        <f t="shared" ref="M87:M88" si="18">+ROUND(L87*$M$7,2)</f>
        <v>402.5</v>
      </c>
      <c r="N87" s="579"/>
      <c r="O87" s="326"/>
      <c r="P87" s="322"/>
      <c r="Q87" s="322"/>
      <c r="R87" s="322"/>
      <c r="S87" s="322"/>
      <c r="T87" s="322"/>
      <c r="U87" s="322"/>
      <c r="V87" s="322"/>
      <c r="W87" s="322"/>
    </row>
    <row r="88" spans="1:23" ht="18.75" customHeight="1">
      <c r="A88" s="322"/>
      <c r="B88" s="1616">
        <f t="shared" si="16"/>
        <v>7.02</v>
      </c>
      <c r="C88" s="1555"/>
      <c r="D88" s="1508" t="s">
        <v>441</v>
      </c>
      <c r="E88" s="1867"/>
      <c r="F88" s="1868"/>
      <c r="G88" s="1465" t="s">
        <v>148</v>
      </c>
      <c r="H88" s="1566">
        <v>18</v>
      </c>
      <c r="I88" s="1501">
        <v>250.25</v>
      </c>
      <c r="J88" s="1542">
        <f t="shared" si="17"/>
        <v>4504.5</v>
      </c>
      <c r="K88" s="325"/>
      <c r="L88" s="1501">
        <v>332.5</v>
      </c>
      <c r="M88" s="1501">
        <f t="shared" si="18"/>
        <v>299.25</v>
      </c>
      <c r="N88" s="579"/>
      <c r="O88" s="326"/>
      <c r="P88" s="322"/>
      <c r="Q88" s="322"/>
      <c r="R88" s="322"/>
      <c r="S88" s="322"/>
      <c r="T88" s="322"/>
      <c r="U88" s="322"/>
      <c r="V88" s="322"/>
      <c r="W88" s="322"/>
    </row>
    <row r="89" spans="1:23" ht="18.75" customHeight="1">
      <c r="B89" s="1540"/>
      <c r="C89" s="1555"/>
      <c r="D89" s="1508"/>
      <c r="E89" s="1508"/>
      <c r="F89" s="1605" t="str">
        <f>+"SUB-TOTAL   "&amp;B86&amp;":  "</f>
        <v xml:space="preserve">SUB-TOTAL   7:  </v>
      </c>
      <c r="G89" s="1606"/>
      <c r="H89" s="1618"/>
      <c r="I89" s="1618"/>
      <c r="J89" s="1619">
        <f>+SUM(J87:J88)</f>
        <v>10813.5</v>
      </c>
      <c r="L89" s="1618"/>
      <c r="M89" s="1618"/>
      <c r="N89" s="579"/>
    </row>
    <row r="90" spans="1:23" ht="18.75" customHeight="1">
      <c r="B90" s="1631"/>
      <c r="C90" s="1632"/>
      <c r="D90" s="1633" t="s">
        <v>384</v>
      </c>
      <c r="E90" s="1634"/>
      <c r="F90" s="1634"/>
      <c r="G90" s="1643"/>
      <c r="H90" s="1644"/>
      <c r="I90" s="1645"/>
      <c r="J90" s="1623">
        <f>+ROUND(SUM(J9:J89)/2,2)</f>
        <v>85459.520000000004</v>
      </c>
      <c r="K90" s="327"/>
      <c r="L90" s="1645"/>
      <c r="M90" s="1645"/>
    </row>
    <row r="91" spans="1:23" ht="16.5">
      <c r="B91" s="1508"/>
      <c r="C91" s="1508"/>
      <c r="D91" s="1508"/>
      <c r="E91" s="1508"/>
      <c r="F91" s="1508"/>
      <c r="G91" s="1519"/>
      <c r="H91" s="1527"/>
      <c r="I91" s="1527"/>
      <c r="J91" s="1508"/>
      <c r="K91" s="327"/>
      <c r="L91" s="1527"/>
      <c r="M91" s="1527"/>
    </row>
    <row r="92" spans="1:23" ht="16.5">
      <c r="B92" s="1508" t="s">
        <v>559</v>
      </c>
      <c r="C92" s="1508"/>
      <c r="D92" s="1508"/>
      <c r="E92" s="1508"/>
      <c r="F92" s="1508"/>
      <c r="G92" s="1519"/>
      <c r="H92" s="1527"/>
      <c r="I92" s="1527"/>
      <c r="J92" s="1444"/>
      <c r="L92" s="1527"/>
      <c r="M92" s="1527"/>
    </row>
    <row r="93" spans="1:23" ht="16.5">
      <c r="B93" s="1508" t="s">
        <v>558</v>
      </c>
      <c r="C93" s="1508"/>
      <c r="D93" s="1508"/>
      <c r="E93" s="1508"/>
      <c r="F93" s="1508"/>
      <c r="G93" s="1519"/>
      <c r="H93" s="1527"/>
      <c r="I93" s="1527"/>
      <c r="J93" s="1508"/>
      <c r="L93" s="1527"/>
      <c r="M93" s="1527"/>
    </row>
    <row r="94" spans="1:23" ht="16.5">
      <c r="B94" s="1508" t="s">
        <v>561</v>
      </c>
      <c r="C94" s="1508"/>
      <c r="D94" s="1508"/>
      <c r="E94" s="1508"/>
      <c r="F94" s="1508"/>
      <c r="G94" s="1519"/>
      <c r="H94" s="1527"/>
      <c r="I94" s="1527"/>
      <c r="J94" s="1508"/>
      <c r="L94" s="1527"/>
      <c r="M94" s="1527"/>
    </row>
    <row r="95" spans="1:23" ht="16.5">
      <c r="B95" s="1508" t="s">
        <v>560</v>
      </c>
      <c r="C95" s="1508"/>
      <c r="D95" s="1508"/>
      <c r="E95" s="1508"/>
      <c r="F95" s="1508"/>
      <c r="G95" s="1519"/>
      <c r="H95" s="1527"/>
      <c r="I95" s="1527"/>
      <c r="J95" s="1508"/>
      <c r="L95" s="1527"/>
      <c r="M95" s="1527"/>
    </row>
    <row r="97" spans="10:14">
      <c r="J97" s="1717">
        <f>+J89+J85+J76+J73+J61+J53+J40</f>
        <v>85459.51999999999</v>
      </c>
    </row>
    <row r="98" spans="10:14">
      <c r="J98" s="1419" t="b">
        <f>J97=J90</f>
        <v>1</v>
      </c>
      <c r="N98" s="326"/>
    </row>
    <row r="99" spans="10:14">
      <c r="J99" s="1420"/>
    </row>
    <row r="100" spans="10:14">
      <c r="J100" s="1418"/>
    </row>
  </sheetData>
  <mergeCells count="1">
    <mergeCell ref="C7:F7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5" orientation="portrait" r:id="rId1"/>
  <rowBreaks count="1" manualBreakCount="1">
    <brk id="53" min="1" max="9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17"/>
  <sheetViews>
    <sheetView view="pageBreakPreview" topLeftCell="A47" zoomScale="90" zoomScaleNormal="100" zoomScaleSheetLayoutView="90" workbookViewId="0">
      <selection activeCell="G15" sqref="G15"/>
    </sheetView>
  </sheetViews>
  <sheetFormatPr baseColWidth="10" defaultColWidth="9.33203125" defaultRowHeight="12.75"/>
  <cols>
    <col min="3" max="3" width="0" hidden="1" customWidth="1"/>
    <col min="6" max="6" width="75.1640625" customWidth="1"/>
    <col min="10" max="10" width="13.83203125" customWidth="1"/>
  </cols>
  <sheetData>
    <row r="1" spans="1:24" ht="18">
      <c r="B1" s="1429" t="s">
        <v>127</v>
      </c>
      <c r="C1" s="1430"/>
      <c r="D1" s="1430"/>
      <c r="E1" s="1431"/>
      <c r="F1" s="1431"/>
      <c r="G1" s="1432"/>
      <c r="H1" s="1432"/>
      <c r="I1" s="303"/>
      <c r="J1" s="303"/>
      <c r="L1" s="1731"/>
      <c r="M1" s="1731"/>
    </row>
    <row r="2" spans="1:24" ht="18">
      <c r="B2" s="1433" t="s">
        <v>970</v>
      </c>
      <c r="C2" s="1430"/>
      <c r="D2" s="1430"/>
      <c r="E2" s="1431"/>
      <c r="F2" s="1431"/>
      <c r="G2" s="1434"/>
      <c r="H2" s="1434"/>
      <c r="I2" s="303"/>
      <c r="J2" s="303"/>
      <c r="L2" s="1731"/>
      <c r="M2" s="1731"/>
    </row>
    <row r="3" spans="1:24" ht="18">
      <c r="B3" s="1435" t="s">
        <v>9</v>
      </c>
      <c r="C3" s="1430"/>
      <c r="D3" s="1430"/>
      <c r="E3" s="1436" t="s">
        <v>10</v>
      </c>
      <c r="F3" s="1437" t="s">
        <v>544</v>
      </c>
      <c r="G3" s="1434"/>
      <c r="H3" s="1434"/>
      <c r="I3" s="303"/>
      <c r="J3" s="303"/>
      <c r="L3" s="1731"/>
      <c r="M3" s="1731"/>
    </row>
    <row r="4" spans="1:24" ht="18">
      <c r="B4" s="1433" t="s">
        <v>129</v>
      </c>
      <c r="C4" s="303"/>
      <c r="D4" s="303"/>
      <c r="E4" s="304" t="s">
        <v>10</v>
      </c>
      <c r="F4" s="1438" t="s">
        <v>131</v>
      </c>
      <c r="G4" s="1434"/>
      <c r="H4" s="1434"/>
      <c r="I4" s="303"/>
      <c r="J4" s="303"/>
      <c r="L4" s="1731"/>
      <c r="M4" s="1731"/>
    </row>
    <row r="5" spans="1:24" ht="18">
      <c r="B5" s="304" t="s">
        <v>286</v>
      </c>
      <c r="C5" s="303"/>
      <c r="D5" s="303"/>
      <c r="E5" s="304"/>
      <c r="F5" s="303"/>
      <c r="G5" s="1434"/>
      <c r="H5" s="1434"/>
      <c r="I5" s="303"/>
      <c r="J5" s="303"/>
      <c r="L5" s="1731"/>
      <c r="M5" s="1731"/>
    </row>
    <row r="6" spans="1:24" ht="15" hidden="1">
      <c r="B6" s="515"/>
      <c r="C6" s="516"/>
      <c r="D6" s="516"/>
      <c r="E6" s="516"/>
      <c r="F6" s="515"/>
      <c r="G6" s="517"/>
      <c r="H6" s="306"/>
      <c r="I6" s="306"/>
      <c r="J6" s="306"/>
      <c r="K6" s="507"/>
      <c r="L6" s="1732"/>
      <c r="M6" s="1732"/>
      <c r="N6" s="507"/>
    </row>
    <row r="7" spans="1:24" ht="38.25" customHeight="1">
      <c r="A7" s="508"/>
      <c r="B7" s="1453" t="s">
        <v>959</v>
      </c>
      <c r="C7" s="2056" t="s">
        <v>958</v>
      </c>
      <c r="D7" s="2057"/>
      <c r="E7" s="2057"/>
      <c r="F7" s="2058"/>
      <c r="G7" s="1454" t="s">
        <v>376</v>
      </c>
      <c r="H7" s="1455" t="s">
        <v>960</v>
      </c>
      <c r="I7" s="1455" t="s">
        <v>961</v>
      </c>
      <c r="J7" s="1455" t="s">
        <v>1004</v>
      </c>
      <c r="K7" s="1421"/>
      <c r="L7" s="1733"/>
      <c r="M7" s="1733"/>
      <c r="N7" s="327"/>
      <c r="P7" s="325"/>
      <c r="X7" s="322"/>
    </row>
    <row r="8" spans="1:24" ht="16.5">
      <c r="B8" s="1614"/>
      <c r="C8" s="1627"/>
      <c r="D8" s="1628"/>
      <c r="E8" s="1628"/>
      <c r="F8" s="1629"/>
      <c r="G8" s="1537"/>
      <c r="H8" s="1565"/>
      <c r="I8" s="1565"/>
      <c r="J8" s="1537"/>
      <c r="K8" s="325"/>
      <c r="L8" s="1734"/>
      <c r="M8" s="1734"/>
      <c r="N8" s="325"/>
    </row>
    <row r="9" spans="1:24" ht="16.5">
      <c r="B9" s="1534">
        <v>1</v>
      </c>
      <c r="C9" s="1553"/>
      <c r="D9" s="1484" t="s">
        <v>323</v>
      </c>
      <c r="E9" s="1442"/>
      <c r="F9" s="1487"/>
      <c r="G9" s="1465"/>
      <c r="H9" s="1501"/>
      <c r="I9" s="1501"/>
      <c r="J9" s="1535"/>
      <c r="K9" s="325"/>
      <c r="L9" s="1734"/>
      <c r="M9" s="1734"/>
      <c r="N9" s="325"/>
      <c r="U9" s="1726"/>
      <c r="V9" s="1726"/>
      <c r="W9" s="1726"/>
      <c r="X9" s="1093"/>
    </row>
    <row r="10" spans="1:24" ht="16.5">
      <c r="B10" s="1535">
        <f>+B9+0.01</f>
        <v>1.01</v>
      </c>
      <c r="C10" s="1553"/>
      <c r="D10" s="1485" t="str">
        <f>+'SUMINISTRO RP'!D10</f>
        <v>Cruceta de madera tratada de 90 mm x 115 mm x 1,20 m</v>
      </c>
      <c r="E10" s="1442"/>
      <c r="F10" s="1487"/>
      <c r="G10" s="1465" t="str">
        <f>+'SUMINISTRO RP'!G10</f>
        <v>u</v>
      </c>
      <c r="H10" s="1501">
        <f>+'SUMINISTRO RP'!H10</f>
        <v>13</v>
      </c>
      <c r="I10" s="1656">
        <v>5.72</v>
      </c>
      <c r="J10" s="1536">
        <f t="shared" ref="J10:J11" si="0">+ROUND(I10*H10,2)</f>
        <v>74.36</v>
      </c>
      <c r="K10" s="616"/>
      <c r="L10" s="1735"/>
      <c r="M10" s="1735"/>
      <c r="N10" s="326"/>
      <c r="O10" s="616"/>
      <c r="P10" s="1166"/>
      <c r="Q10" s="1723" t="s">
        <v>979</v>
      </c>
      <c r="R10" s="1723"/>
      <c r="U10" s="1406"/>
      <c r="W10" s="1407"/>
    </row>
    <row r="11" spans="1:24" ht="16.5">
      <c r="B11" s="1535">
        <f>+B10+0.01</f>
        <v>1.02</v>
      </c>
      <c r="C11" s="1553"/>
      <c r="D11" s="1485" t="str">
        <f>+'SUMINISTRO RP'!D11</f>
        <v>Listón de madera tratada 50 x 19 mm sección, 2,7 m longitud (incluye clavos de fijación)</v>
      </c>
      <c r="E11" s="1442"/>
      <c r="F11" s="1487"/>
      <c r="G11" s="1547" t="str">
        <f>+'SUMINISTRO RP'!G11</f>
        <v>u</v>
      </c>
      <c r="H11" s="1657">
        <f>+'SUMINISTRO RP'!H11</f>
        <v>2</v>
      </c>
      <c r="I11" s="1656">
        <v>2.86</v>
      </c>
      <c r="J11" s="1536">
        <f t="shared" si="0"/>
        <v>5.72</v>
      </c>
      <c r="K11" s="616"/>
      <c r="L11" s="1735"/>
      <c r="M11" s="1735"/>
      <c r="N11" s="326"/>
      <c r="O11" s="616"/>
      <c r="P11" s="1723" t="s">
        <v>872</v>
      </c>
      <c r="Q11" s="1723">
        <v>44440</v>
      </c>
      <c r="R11" s="1723">
        <v>44682</v>
      </c>
      <c r="S11" s="1723" t="s">
        <v>980</v>
      </c>
      <c r="U11" s="1406"/>
      <c r="W11" s="1407"/>
    </row>
    <row r="12" spans="1:24" ht="16.5">
      <c r="B12" s="1464"/>
      <c r="C12" s="1553"/>
      <c r="D12" s="1442"/>
      <c r="E12" s="1442"/>
      <c r="F12" s="1554" t="str">
        <f>+"SUB-TOTAL   "&amp;B9&amp;":  "</f>
        <v xml:space="preserve">SUB-TOTAL   1:  </v>
      </c>
      <c r="G12" s="1465"/>
      <c r="H12" s="1501"/>
      <c r="I12" s="1565"/>
      <c r="J12" s="1539">
        <f>SUM(J10:J11)</f>
        <v>80.08</v>
      </c>
      <c r="K12" s="616"/>
      <c r="L12" s="1735"/>
      <c r="M12" s="1735"/>
      <c r="N12" s="326"/>
      <c r="O12" s="616"/>
      <c r="P12" s="1176">
        <v>32</v>
      </c>
      <c r="Q12" s="1176">
        <v>507.42</v>
      </c>
      <c r="R12" s="1176">
        <v>513.36</v>
      </c>
      <c r="S12" s="1724">
        <f>+R12/Q12</f>
        <v>1.0117062788222775</v>
      </c>
      <c r="T12" s="570"/>
      <c r="X12" s="1362"/>
    </row>
    <row r="13" spans="1:24" ht="16.5">
      <c r="B13" s="1534">
        <f>1+B9</f>
        <v>2</v>
      </c>
      <c r="C13" s="1553"/>
      <c r="D13" s="1484" t="s">
        <v>296</v>
      </c>
      <c r="E13" s="1442"/>
      <c r="F13" s="1487"/>
      <c r="G13" s="1465"/>
      <c r="H13" s="1501"/>
      <c r="I13" s="1501"/>
      <c r="J13" s="1536"/>
      <c r="K13" s="616"/>
      <c r="L13" s="1735"/>
      <c r="M13" s="1735"/>
      <c r="N13" s="326"/>
      <c r="O13" s="616"/>
      <c r="P13" s="616"/>
      <c r="Q13" s="616"/>
      <c r="R13" s="616"/>
      <c r="S13" s="324"/>
      <c r="T13" s="570"/>
      <c r="X13" s="1362"/>
    </row>
    <row r="14" spans="1:24" ht="16.5">
      <c r="B14" s="1535">
        <f>+B13+0.01</f>
        <v>2.0099999999999998</v>
      </c>
      <c r="C14" s="1553"/>
      <c r="D14" s="1485" t="str">
        <f>+'SUMINISTRO RP'!D14</f>
        <v>Poste de C.A.C. de 12 m/200 daN (Incluye perilla)</v>
      </c>
      <c r="E14" s="1442"/>
      <c r="F14" s="1487"/>
      <c r="G14" s="1465" t="str">
        <f>+'SUMINISTRO RP'!G14</f>
        <v>u</v>
      </c>
      <c r="H14" s="1501">
        <f>+'SUMINISTRO RP'!H14</f>
        <v>3</v>
      </c>
      <c r="I14" s="1502">
        <v>149.76</v>
      </c>
      <c r="J14" s="1536">
        <f t="shared" ref="J14:J17" si="1">+ROUND(I14*H14,2)</f>
        <v>449.28</v>
      </c>
      <c r="K14" s="616"/>
      <c r="L14" s="1735"/>
      <c r="M14" s="1735"/>
      <c r="N14" s="326"/>
      <c r="O14" s="616"/>
      <c r="P14" s="616"/>
      <c r="Q14" s="616"/>
      <c r="R14" s="616"/>
      <c r="S14" s="1385"/>
      <c r="T14" s="570"/>
      <c r="U14" s="1406"/>
      <c r="W14" s="1407"/>
      <c r="X14" s="1362"/>
    </row>
    <row r="15" spans="1:24" ht="16.5">
      <c r="B15" s="1535">
        <f t="shared" ref="B15:B17" si="2">+B14+0.01</f>
        <v>2.0199999999999996</v>
      </c>
      <c r="C15" s="1553"/>
      <c r="D15" s="1485" t="str">
        <f>+'SUMINISTRO RP'!D15</f>
        <v>Poste de C.A.C. de 12 m/300 daN (Incluye perilla)</v>
      </c>
      <c r="E15" s="1442"/>
      <c r="F15" s="1487"/>
      <c r="G15" s="1465" t="str">
        <f>+'SUMINISTRO RP'!G15</f>
        <v>u</v>
      </c>
      <c r="H15" s="1501">
        <f>+'SUMINISTRO RP'!H15</f>
        <v>11</v>
      </c>
      <c r="I15" s="1502">
        <v>156.56</v>
      </c>
      <c r="J15" s="1536">
        <f t="shared" si="1"/>
        <v>1722.16</v>
      </c>
      <c r="K15" s="616"/>
      <c r="L15" s="1735"/>
      <c r="M15" s="1735"/>
      <c r="N15" s="326"/>
      <c r="O15" s="616"/>
      <c r="P15" s="616"/>
      <c r="Q15" s="616"/>
      <c r="R15" s="616"/>
      <c r="S15" s="1385"/>
      <c r="T15" s="570"/>
      <c r="U15" s="1406"/>
      <c r="W15" s="1407"/>
      <c r="X15" s="1362"/>
    </row>
    <row r="16" spans="1:24" ht="16.5">
      <c r="B16" s="1535">
        <f t="shared" si="2"/>
        <v>2.0299999999999994</v>
      </c>
      <c r="C16" s="1553"/>
      <c r="D16" s="1485" t="str">
        <f>+'SUMINISTRO RP'!D16</f>
        <v>Poste de C.A.C. de 13 m/300 daN (Incluye perilla)</v>
      </c>
      <c r="E16" s="1442"/>
      <c r="F16" s="1487"/>
      <c r="G16" s="1465" t="str">
        <f>+'SUMINISTRO RP'!G16</f>
        <v>u</v>
      </c>
      <c r="H16" s="1501">
        <f>+'SUMINISTRO RP'!H16</f>
        <v>10</v>
      </c>
      <c r="I16" s="1502">
        <v>178.72</v>
      </c>
      <c r="J16" s="1536">
        <f t="shared" si="1"/>
        <v>1787.2</v>
      </c>
      <c r="K16" s="616"/>
      <c r="L16" s="1735"/>
      <c r="M16" s="1735"/>
      <c r="N16" s="326"/>
      <c r="O16" s="616"/>
      <c r="P16" s="616"/>
      <c r="Q16" s="616"/>
      <c r="R16" s="616"/>
      <c r="T16" s="570"/>
      <c r="U16" s="1406"/>
      <c r="W16" s="1407"/>
      <c r="X16" s="1362"/>
    </row>
    <row r="17" spans="2:24" ht="16.5">
      <c r="B17" s="1535">
        <f t="shared" si="2"/>
        <v>2.0399999999999991</v>
      </c>
      <c r="C17" s="1553"/>
      <c r="D17" s="1485" t="str">
        <f>+'SUMINISTRO RP'!D17</f>
        <v>Poste de C.A.C. de 13 m/400 daN (Incluye perilla)</v>
      </c>
      <c r="E17" s="1442"/>
      <c r="F17" s="1487"/>
      <c r="G17" s="1547" t="str">
        <f>+'SUMINISTRO RP'!G17</f>
        <v>u</v>
      </c>
      <c r="H17" s="1657">
        <f>+'SUMINISTRO RP'!H17</f>
        <v>10</v>
      </c>
      <c r="I17" s="1658">
        <v>191.36</v>
      </c>
      <c r="J17" s="1536">
        <f t="shared" si="1"/>
        <v>1913.6</v>
      </c>
      <c r="K17" s="616"/>
      <c r="L17" s="1735"/>
      <c r="M17" s="1735"/>
      <c r="N17" s="326"/>
      <c r="O17" s="616"/>
      <c r="P17" s="616"/>
      <c r="Q17" s="616"/>
      <c r="R17" s="616"/>
      <c r="S17" s="324"/>
      <c r="T17" s="570"/>
      <c r="U17" s="1406"/>
      <c r="W17" s="1407"/>
      <c r="X17" s="1362"/>
    </row>
    <row r="18" spans="2:24" ht="16.5">
      <c r="B18" s="1464"/>
      <c r="C18" s="1553"/>
      <c r="D18" s="1442"/>
      <c r="E18" s="1442"/>
      <c r="F18" s="1554" t="str">
        <f>+"SUB-TOTAL   "&amp;B13&amp;":  "</f>
        <v xml:space="preserve">SUB-TOTAL   2:  </v>
      </c>
      <c r="G18" s="1465"/>
      <c r="H18" s="1501"/>
      <c r="I18" s="1565"/>
      <c r="J18" s="1539">
        <f>+SUM(J14:J17)</f>
        <v>5872.24</v>
      </c>
      <c r="K18" s="616"/>
      <c r="L18" s="1735"/>
      <c r="M18" s="1735"/>
      <c r="N18" s="326"/>
      <c r="O18" s="616"/>
      <c r="P18" s="616"/>
      <c r="Q18" s="616"/>
      <c r="R18" s="616"/>
      <c r="S18" s="1385"/>
      <c r="T18" s="570"/>
      <c r="X18" s="1362"/>
    </row>
    <row r="19" spans="2:24" ht="16.5">
      <c r="B19" s="1534">
        <v>3</v>
      </c>
      <c r="C19" s="1553"/>
      <c r="D19" s="1575" t="s">
        <v>327</v>
      </c>
      <c r="E19" s="1442"/>
      <c r="F19" s="1487"/>
      <c r="G19" s="1465"/>
      <c r="H19" s="1501"/>
      <c r="I19" s="1501"/>
      <c r="J19" s="1647"/>
      <c r="K19" s="325"/>
      <c r="L19" s="1735"/>
      <c r="M19" s="1735"/>
      <c r="N19" s="326"/>
      <c r="O19" s="616"/>
      <c r="P19" s="616"/>
      <c r="Q19" s="616"/>
      <c r="R19" s="616"/>
    </row>
    <row r="20" spans="2:24" ht="16.5">
      <c r="B20" s="1535">
        <f>+B19+0.01</f>
        <v>3.01</v>
      </c>
      <c r="C20" s="1553"/>
      <c r="D20" s="1485" t="str">
        <f>+'SUMINISTRO RP'!D20</f>
        <v>Poste de madera importada (Pino Amarillo del Sur) de 12 m, Clase 5</v>
      </c>
      <c r="E20" s="1442"/>
      <c r="F20" s="1487"/>
      <c r="G20" s="1547" t="str">
        <f>+'SUMINISTRO RP'!G20</f>
        <v>u</v>
      </c>
      <c r="H20" s="1657">
        <f>+'SUMINISTRO RP'!H20</f>
        <v>2</v>
      </c>
      <c r="I20" s="1656">
        <v>174.7</v>
      </c>
      <c r="J20" s="1536">
        <f t="shared" ref="J20" si="3">+ROUND(I20*H20,2)</f>
        <v>349.4</v>
      </c>
      <c r="K20" s="616"/>
      <c r="L20" s="1735"/>
      <c r="M20" s="1735"/>
      <c r="N20" s="326"/>
      <c r="O20" s="616"/>
      <c r="P20" s="616"/>
      <c r="Q20" s="616"/>
      <c r="R20" s="616"/>
      <c r="U20" s="1406"/>
      <c r="W20" s="1407"/>
    </row>
    <row r="21" spans="2:24" ht="16.5">
      <c r="B21" s="1464"/>
      <c r="C21" s="1553"/>
      <c r="D21" s="1442"/>
      <c r="E21" s="1442"/>
      <c r="F21" s="1554" t="str">
        <f>+"SUB-TOTAL   "&amp;B19&amp;":  "</f>
        <v xml:space="preserve">SUB-TOTAL   3:  </v>
      </c>
      <c r="G21" s="1465"/>
      <c r="H21" s="1501"/>
      <c r="I21" s="1565"/>
      <c r="J21" s="1539">
        <f>+SUM(J19:J20)</f>
        <v>349.4</v>
      </c>
      <c r="K21" s="616"/>
      <c r="L21" s="1735"/>
      <c r="M21" s="1735"/>
      <c r="N21" s="326"/>
      <c r="O21" s="616"/>
      <c r="P21" s="616"/>
      <c r="Q21" s="616"/>
      <c r="R21" s="616"/>
      <c r="T21" s="570"/>
      <c r="X21" s="1362"/>
    </row>
    <row r="22" spans="2:24" ht="16.5">
      <c r="B22" s="1534">
        <v>4</v>
      </c>
      <c r="C22" s="1553"/>
      <c r="D22" s="1484" t="s">
        <v>553</v>
      </c>
      <c r="E22" s="1442"/>
      <c r="F22" s="1487"/>
      <c r="G22" s="1465"/>
      <c r="H22" s="1501"/>
      <c r="I22" s="1501"/>
      <c r="J22" s="1536"/>
      <c r="K22" s="616"/>
      <c r="L22" s="1735"/>
      <c r="M22" s="1735"/>
      <c r="N22" s="326"/>
      <c r="O22" s="616"/>
      <c r="P22" s="616"/>
      <c r="Q22" s="616"/>
      <c r="R22" s="616"/>
      <c r="S22" s="1385"/>
      <c r="T22" s="570"/>
      <c r="X22" s="1362"/>
    </row>
    <row r="23" spans="2:24" ht="16.5">
      <c r="B23" s="1535">
        <f t="shared" ref="B23:B25" si="4">+B22+0.01</f>
        <v>4.01</v>
      </c>
      <c r="C23" s="1553"/>
      <c r="D23" s="1485" t="str">
        <f>+'SUMINISTRO RP'!D23</f>
        <v>Cruceta Asimétrica de C.A.V. Za / 1,5 / 0,9 / 250 / 200 / 100 daN (Za / L / L1/ T / F / V)</v>
      </c>
      <c r="E23" s="1442"/>
      <c r="F23" s="1487"/>
      <c r="G23" s="1465" t="str">
        <f>+'SUMINISTRO RP'!G23</f>
        <v>u</v>
      </c>
      <c r="H23" s="1501">
        <f>+'SUMINISTRO RP'!H23</f>
        <v>5</v>
      </c>
      <c r="I23" s="1502">
        <v>17.3</v>
      </c>
      <c r="J23" s="1536">
        <f t="shared" ref="J23:J25" si="5">+ROUND(I23*H23,2)</f>
        <v>86.5</v>
      </c>
      <c r="K23" s="616"/>
      <c r="L23" s="1735"/>
      <c r="M23" s="1735"/>
      <c r="N23" s="326"/>
      <c r="O23" s="616"/>
      <c r="P23" s="616"/>
      <c r="Q23" s="616"/>
      <c r="R23" s="616"/>
      <c r="T23" s="570"/>
      <c r="U23" s="1406"/>
      <c r="W23" s="1407"/>
      <c r="X23" s="1362"/>
    </row>
    <row r="24" spans="2:24" ht="16.5">
      <c r="B24" s="1535">
        <f t="shared" si="4"/>
        <v>4.0199999999999996</v>
      </c>
      <c r="C24" s="1553"/>
      <c r="D24" s="1485" t="str">
        <f>+'SUMINISTRO RP'!D24</f>
        <v>Ménsula de C.A.V. M / 1,2 / 250 / 150 / 150 daN (M / L / T / F / V)</v>
      </c>
      <c r="E24" s="1442"/>
      <c r="F24" s="1487"/>
      <c r="G24" s="1465" t="str">
        <f>+'SUMINISTRO RP'!G24</f>
        <v>u</v>
      </c>
      <c r="H24" s="1501">
        <f>+'SUMINISTRO RP'!H24</f>
        <v>40</v>
      </c>
      <c r="I24" s="1502">
        <v>25.6</v>
      </c>
      <c r="J24" s="1536">
        <f t="shared" si="5"/>
        <v>1024</v>
      </c>
      <c r="K24" s="616"/>
      <c r="L24" s="1735"/>
      <c r="M24" s="1735"/>
      <c r="N24" s="326"/>
      <c r="O24" s="616"/>
      <c r="P24" s="616"/>
      <c r="Q24" s="616"/>
      <c r="R24" s="616"/>
      <c r="T24" s="570"/>
      <c r="U24" s="1406"/>
      <c r="W24" s="1407"/>
      <c r="X24" s="1362"/>
    </row>
    <row r="25" spans="2:24" ht="16.5">
      <c r="B25" s="1535">
        <f t="shared" si="4"/>
        <v>4.0299999999999994</v>
      </c>
      <c r="C25" s="1553"/>
      <c r="D25" s="1485" t="str">
        <f>+'SUMINISTRO RP'!D25</f>
        <v>Plataforma de Concreto Soporte de Transformador de 2,20 m, carga de trabajo de 500 daN</v>
      </c>
      <c r="E25" s="1442"/>
      <c r="F25" s="1487"/>
      <c r="G25" s="1547" t="str">
        <f>+'SUMINISTRO RP'!G25</f>
        <v>u</v>
      </c>
      <c r="H25" s="1657">
        <f>+'SUMINISTRO RP'!H25</f>
        <v>5</v>
      </c>
      <c r="I25" s="1502">
        <v>27.61</v>
      </c>
      <c r="J25" s="1536">
        <f t="shared" si="5"/>
        <v>138.05000000000001</v>
      </c>
      <c r="K25" s="616"/>
      <c r="L25" s="1735"/>
      <c r="M25" s="1735"/>
      <c r="N25" s="326"/>
      <c r="O25" s="616"/>
      <c r="P25" s="616"/>
      <c r="Q25" s="616"/>
      <c r="R25" s="616"/>
      <c r="T25" s="570"/>
      <c r="U25" s="1406"/>
      <c r="W25" s="1407"/>
      <c r="X25" s="1362"/>
    </row>
    <row r="26" spans="2:24" ht="16.5">
      <c r="B26" s="1464"/>
      <c r="C26" s="1553"/>
      <c r="D26" s="1442"/>
      <c r="E26" s="1442"/>
      <c r="F26" s="1554" t="str">
        <f>+"SUB-TOTAL   "&amp;B22&amp;":  "</f>
        <v xml:space="preserve">SUB-TOTAL   4:  </v>
      </c>
      <c r="G26" s="1465"/>
      <c r="H26" s="1501"/>
      <c r="I26" s="1565"/>
      <c r="J26" s="1539">
        <f>+SUM(J23:J25)</f>
        <v>1248.55</v>
      </c>
      <c r="K26" s="616"/>
      <c r="L26" s="1735"/>
      <c r="M26" s="1735"/>
      <c r="N26" s="326"/>
      <c r="O26" s="616"/>
      <c r="P26" s="616"/>
      <c r="Q26" s="616"/>
      <c r="R26" s="616"/>
      <c r="T26" s="570"/>
      <c r="X26" s="1362"/>
    </row>
    <row r="27" spans="2:24" ht="16.5">
      <c r="B27" s="1534">
        <f>1+B22</f>
        <v>5</v>
      </c>
      <c r="C27" s="1553"/>
      <c r="D27" s="1484" t="s">
        <v>1</v>
      </c>
      <c r="E27" s="1442"/>
      <c r="F27" s="1487"/>
      <c r="G27" s="1465"/>
      <c r="H27" s="1501"/>
      <c r="I27" s="1501"/>
      <c r="J27" s="1536"/>
      <c r="K27" s="616"/>
      <c r="L27" s="1735"/>
      <c r="M27" s="1735"/>
      <c r="N27" s="326"/>
      <c r="O27" s="616"/>
      <c r="P27" s="616"/>
      <c r="Q27" s="616"/>
      <c r="R27" s="616"/>
      <c r="T27" s="570"/>
      <c r="X27" s="1362"/>
    </row>
    <row r="28" spans="2:24" ht="16.5">
      <c r="B28" s="1535">
        <f t="shared" ref="B28:B30" si="6">+B27+0.01</f>
        <v>5.01</v>
      </c>
      <c r="C28" s="1553"/>
      <c r="D28" s="1485" t="str">
        <f>+'SUMINISTRO RP'!D28</f>
        <v>Aislador de Porcelana Tipo Pin, Clase ANSI 56-3</v>
      </c>
      <c r="E28" s="1442"/>
      <c r="F28" s="1487"/>
      <c r="G28" s="1465" t="str">
        <f>+'SUMINISTRO RP'!G28</f>
        <v>u</v>
      </c>
      <c r="H28" s="1501">
        <f>+'SUMINISTRO RP'!H28</f>
        <v>16</v>
      </c>
      <c r="I28" s="1502">
        <v>4.43</v>
      </c>
      <c r="J28" s="1536">
        <f t="shared" ref="J28:J31" si="7">+ROUND(I28*H28,2)</f>
        <v>70.88</v>
      </c>
      <c r="K28" s="616"/>
      <c r="L28" s="1735"/>
      <c r="M28" s="1735"/>
      <c r="N28" s="326"/>
      <c r="O28" s="616"/>
      <c r="P28" s="616"/>
      <c r="Q28" s="616"/>
      <c r="R28" s="616"/>
      <c r="S28" s="324"/>
      <c r="T28" s="570"/>
      <c r="U28" s="1406"/>
      <c r="W28" s="1407"/>
      <c r="X28" s="1362"/>
    </row>
    <row r="29" spans="2:24" ht="16.5">
      <c r="B29" s="1535">
        <f t="shared" si="6"/>
        <v>5.0199999999999996</v>
      </c>
      <c r="C29" s="1553"/>
      <c r="D29" s="1485" t="str">
        <f>+'SUMINISTRO RP'!D29</f>
        <v>Espiga de AºGº de 609 mm longitud, para Cabeza de Poste y Aislador ANSI 56-3</v>
      </c>
      <c r="E29" s="1442"/>
      <c r="F29" s="1487"/>
      <c r="G29" s="1465" t="str">
        <f>+'SUMINISTRO RP'!G29</f>
        <v>u</v>
      </c>
      <c r="H29" s="1501">
        <f>+'SUMINISTRO RP'!H29</f>
        <v>16</v>
      </c>
      <c r="I29" s="1502">
        <v>2.84</v>
      </c>
      <c r="J29" s="1536">
        <f t="shared" si="7"/>
        <v>45.44</v>
      </c>
      <c r="K29" s="616"/>
      <c r="L29" s="1735"/>
      <c r="M29" s="1735"/>
      <c r="N29" s="326"/>
      <c r="O29" s="616"/>
      <c r="P29" s="616"/>
      <c r="Q29" s="616"/>
      <c r="R29" s="616"/>
      <c r="T29" s="570"/>
      <c r="U29" s="1406"/>
      <c r="W29" s="1407"/>
      <c r="X29" s="1362"/>
    </row>
    <row r="30" spans="2:24" ht="16.5">
      <c r="B30" s="1535">
        <f t="shared" si="6"/>
        <v>5.0299999999999994</v>
      </c>
      <c r="C30" s="1553"/>
      <c r="D30" s="1485" t="str">
        <f>+'SUMINISTRO RP'!D30</f>
        <v>Conjunto Aislador Line Post Polimérico en Cruceta:</v>
      </c>
      <c r="E30" s="1442"/>
      <c r="F30" s="1487"/>
      <c r="G30" s="1465"/>
      <c r="H30" s="1501"/>
      <c r="I30" s="1502"/>
      <c r="J30" s="1536"/>
      <c r="K30" s="616"/>
      <c r="L30" s="1735"/>
      <c r="M30" s="1735"/>
      <c r="N30" s="326"/>
      <c r="O30" s="616"/>
      <c r="P30" s="616"/>
      <c r="Q30" s="616"/>
      <c r="R30" s="616"/>
      <c r="T30" s="570"/>
      <c r="X30" s="1362"/>
    </row>
    <row r="31" spans="2:24" ht="16.5">
      <c r="B31" s="1535"/>
      <c r="C31" s="1553"/>
      <c r="D31" s="1485" t="str">
        <f>+'SUMINISTRO RP'!D31</f>
        <v>- Aislador Polimérico de 36 kV, Tipo Line Post con Espárrago de 19 mm Ø, 200 mm longitud (Alternativa a Conjunto Aislador-Espiga en Cruceta)</v>
      </c>
      <c r="E31" s="1869"/>
      <c r="F31" s="1870"/>
      <c r="G31" s="1547" t="str">
        <f>+'SUMINISTRO RP'!G31</f>
        <v>u</v>
      </c>
      <c r="H31" s="1657">
        <f>+'SUMINISTRO RP'!H31</f>
        <v>40</v>
      </c>
      <c r="I31" s="1502">
        <v>1.64</v>
      </c>
      <c r="J31" s="1536">
        <f t="shared" si="7"/>
        <v>65.599999999999994</v>
      </c>
      <c r="K31" s="616"/>
      <c r="L31" s="1735"/>
      <c r="M31" s="1735"/>
      <c r="N31" s="326"/>
      <c r="O31" s="616"/>
      <c r="P31" s="616"/>
      <c r="Q31" s="616"/>
      <c r="R31" s="616"/>
      <c r="S31" s="324"/>
      <c r="T31" s="570"/>
      <c r="U31" s="1406"/>
      <c r="W31" s="1407"/>
      <c r="X31" s="1362"/>
    </row>
    <row r="32" spans="2:24" ht="16.5">
      <c r="B32" s="1464"/>
      <c r="C32" s="1553"/>
      <c r="D32" s="1442"/>
      <c r="E32" s="1442"/>
      <c r="F32" s="1554" t="str">
        <f>+"SUB-TOTAL   "&amp;B27&amp;":  "</f>
        <v xml:space="preserve">SUB-TOTAL   5:  </v>
      </c>
      <c r="G32" s="1465"/>
      <c r="H32" s="1501"/>
      <c r="I32" s="1565"/>
      <c r="J32" s="1539">
        <f>+SUM(J28:J31)</f>
        <v>181.92</v>
      </c>
      <c r="K32" s="616"/>
      <c r="L32" s="1735"/>
      <c r="M32" s="1735"/>
      <c r="N32" s="326"/>
      <c r="O32" s="616"/>
      <c r="P32" s="616"/>
      <c r="Q32" s="616"/>
      <c r="R32" s="616"/>
      <c r="S32" s="324"/>
      <c r="T32" s="570"/>
      <c r="X32" s="1362"/>
    </row>
    <row r="33" spans="2:24" ht="16.5">
      <c r="B33" s="1534">
        <f>1+B27</f>
        <v>6</v>
      </c>
      <c r="C33" s="1553"/>
      <c r="D33" s="1484" t="s">
        <v>158</v>
      </c>
      <c r="E33" s="1442"/>
      <c r="F33" s="1487"/>
      <c r="G33" s="1465"/>
      <c r="H33" s="1501"/>
      <c r="I33" s="1501"/>
      <c r="J33" s="1536"/>
      <c r="K33" s="616"/>
      <c r="L33" s="1735"/>
      <c r="M33" s="1735"/>
      <c r="N33" s="326"/>
      <c r="O33" s="616"/>
      <c r="P33" s="616"/>
      <c r="Q33" s="616"/>
      <c r="R33" s="616"/>
      <c r="S33" s="324"/>
      <c r="T33" s="570"/>
      <c r="X33" s="1362"/>
    </row>
    <row r="34" spans="2:24" ht="16.5">
      <c r="B34" s="1535">
        <f>+B33+0.01</f>
        <v>6.01</v>
      </c>
      <c r="C34" s="1553"/>
      <c r="D34" s="1485" t="str">
        <f>+'SUMINISTRO RP'!D34</f>
        <v>Grillete Recto</v>
      </c>
      <c r="E34" s="1442"/>
      <c r="F34" s="1487"/>
      <c r="G34" s="1465" t="str">
        <f>+'SUMINISTRO RP'!G34</f>
        <v>u</v>
      </c>
      <c r="H34" s="1501">
        <f>+'SUMINISTRO RP'!H34</f>
        <v>16</v>
      </c>
      <c r="I34" s="1501">
        <v>1.69</v>
      </c>
      <c r="J34" s="1536">
        <f t="shared" ref="J34:J35" si="8">+ROUND(I34*H34,2)</f>
        <v>27.04</v>
      </c>
      <c r="K34" s="616"/>
      <c r="L34" s="1735"/>
      <c r="M34" s="1735"/>
      <c r="N34" s="326"/>
      <c r="O34" s="616"/>
      <c r="P34" s="616"/>
      <c r="Q34" s="616"/>
      <c r="R34" s="616"/>
      <c r="S34" s="324"/>
      <c r="T34" s="570"/>
      <c r="U34" s="1406"/>
      <c r="W34" s="1407"/>
      <c r="X34" s="1362"/>
    </row>
    <row r="35" spans="2:24" ht="16.5">
      <c r="B35" s="1535">
        <f>+B34+0.01</f>
        <v>6.02</v>
      </c>
      <c r="C35" s="1553"/>
      <c r="D35" s="1485" t="str">
        <f>+'SUMINISTRO RP'!D35</f>
        <v xml:space="preserve">Aislador Polimerico con Conexión Horquilla (Estructura) y Lengüeta (Linea) de 36 kV, según Especificacion Técnica. </v>
      </c>
      <c r="E35" s="1442"/>
      <c r="F35" s="1487"/>
      <c r="G35" s="1547" t="str">
        <f>+'SUMINISTRO RP'!G35</f>
        <v>u</v>
      </c>
      <c r="H35" s="1657">
        <f>+'SUMINISTRO RP'!H35</f>
        <v>16</v>
      </c>
      <c r="I35" s="1501">
        <v>4.13</v>
      </c>
      <c r="J35" s="1536">
        <f t="shared" si="8"/>
        <v>66.08</v>
      </c>
      <c r="K35" s="616"/>
      <c r="L35" s="1735"/>
      <c r="M35" s="1735"/>
      <c r="N35" s="326"/>
      <c r="O35" s="616"/>
      <c r="P35" s="616"/>
      <c r="Q35" s="616"/>
      <c r="R35" s="616"/>
      <c r="S35" s="324"/>
      <c r="T35" s="570"/>
      <c r="U35" s="1406"/>
      <c r="W35" s="1407"/>
      <c r="X35" s="1362"/>
    </row>
    <row r="36" spans="2:24" ht="16.5">
      <c r="B36" s="1464"/>
      <c r="C36" s="1553"/>
      <c r="D36" s="1442"/>
      <c r="E36" s="1442"/>
      <c r="F36" s="1554" t="str">
        <f>+"SUB-TOTAL   "&amp;B33&amp;":  "</f>
        <v xml:space="preserve">SUB-TOTAL   6:  </v>
      </c>
      <c r="G36" s="1465"/>
      <c r="H36" s="1501"/>
      <c r="I36" s="1565"/>
      <c r="J36" s="1539">
        <f>+SUM(J33:J35)</f>
        <v>93.12</v>
      </c>
      <c r="K36" s="616"/>
      <c r="L36" s="1735"/>
      <c r="M36" s="1735"/>
      <c r="N36" s="326"/>
      <c r="O36" s="616"/>
      <c r="P36" s="616"/>
      <c r="Q36" s="616"/>
      <c r="R36" s="616"/>
      <c r="T36" s="570"/>
      <c r="X36" s="1362"/>
    </row>
    <row r="37" spans="2:24" ht="16.5">
      <c r="B37" s="1534">
        <f>1+B33</f>
        <v>7</v>
      </c>
      <c r="C37" s="1553"/>
      <c r="D37" s="1484" t="s">
        <v>275</v>
      </c>
      <c r="E37" s="1442"/>
      <c r="F37" s="1487"/>
      <c r="G37" s="1465"/>
      <c r="H37" s="1501"/>
      <c r="I37" s="1501"/>
      <c r="J37" s="1536"/>
      <c r="K37" s="616"/>
      <c r="L37" s="1735"/>
      <c r="M37" s="1735"/>
      <c r="N37" s="326"/>
      <c r="O37" s="616"/>
      <c r="P37" s="616"/>
      <c r="Q37" s="616"/>
      <c r="R37" s="616"/>
      <c r="T37" s="570"/>
      <c r="X37" s="1362"/>
    </row>
    <row r="38" spans="2:24" ht="16.5">
      <c r="B38" s="1535">
        <f t="shared" ref="B38" si="9">+B37+0.01</f>
        <v>7.01</v>
      </c>
      <c r="C38" s="1553"/>
      <c r="D38" s="1485" t="str">
        <f>+'SUMINISTRO RP'!D38</f>
        <v>Conductor de Aleacion de Aluminio de 35 mm²</v>
      </c>
      <c r="E38" s="1442"/>
      <c r="F38" s="1487"/>
      <c r="G38" s="1547" t="str">
        <f>+'SUMINISTRO RP'!G38</f>
        <v>km</v>
      </c>
      <c r="H38" s="1657">
        <f>+'SUMINISTRO RP'!H38</f>
        <v>3.51</v>
      </c>
      <c r="I38" s="1502">
        <v>83.54</v>
      </c>
      <c r="J38" s="1536">
        <f t="shared" ref="J38" si="10">+ROUND(I38*H38,2)</f>
        <v>293.23</v>
      </c>
      <c r="K38" s="616"/>
      <c r="L38" s="1735"/>
      <c r="M38" s="1735"/>
      <c r="N38" s="326"/>
      <c r="O38" s="616"/>
      <c r="P38" s="616"/>
      <c r="Q38" s="616"/>
      <c r="R38" s="616"/>
      <c r="T38" s="570"/>
      <c r="U38" s="1406"/>
      <c r="W38" s="1407"/>
      <c r="X38" s="1362"/>
    </row>
    <row r="39" spans="2:24" ht="16.5">
      <c r="B39" s="1464"/>
      <c r="C39" s="1553"/>
      <c r="D39" s="1442"/>
      <c r="E39" s="1442"/>
      <c r="F39" s="1554" t="str">
        <f>+"SUB-TOTAL   "&amp;B37&amp;":  "</f>
        <v xml:space="preserve">SUB-TOTAL   7:  </v>
      </c>
      <c r="G39" s="1465"/>
      <c r="H39" s="1501"/>
      <c r="I39" s="1565"/>
      <c r="J39" s="1539">
        <f>+SUM(J38:J38)</f>
        <v>293.23</v>
      </c>
      <c r="K39" s="616"/>
      <c r="L39" s="1735"/>
      <c r="M39" s="1735"/>
      <c r="N39" s="326"/>
      <c r="O39" s="616"/>
      <c r="P39" s="616"/>
      <c r="Q39" s="616"/>
      <c r="R39" s="616"/>
      <c r="S39" s="324"/>
      <c r="T39" s="570"/>
      <c r="X39" s="1362"/>
    </row>
    <row r="40" spans="2:24" ht="16.5">
      <c r="B40" s="1534">
        <f>B37+1</f>
        <v>8</v>
      </c>
      <c r="C40" s="1553"/>
      <c r="D40" s="1484" t="s">
        <v>16</v>
      </c>
      <c r="E40" s="1442"/>
      <c r="F40" s="1487"/>
      <c r="G40" s="1465"/>
      <c r="H40" s="1501"/>
      <c r="I40" s="1501"/>
      <c r="J40" s="1536"/>
      <c r="K40" s="616"/>
      <c r="L40" s="1735"/>
      <c r="M40" s="1735"/>
      <c r="N40" s="326"/>
      <c r="O40" s="616"/>
      <c r="P40" s="616"/>
      <c r="Q40" s="616"/>
      <c r="R40" s="616"/>
      <c r="S40" s="324"/>
      <c r="T40" s="570"/>
      <c r="X40" s="1362"/>
    </row>
    <row r="41" spans="2:24" ht="16.5">
      <c r="B41" s="1535">
        <f t="shared" ref="B41:B44" si="11">+B40+0.01</f>
        <v>8.01</v>
      </c>
      <c r="C41" s="1553"/>
      <c r="D41" s="1485" t="str">
        <f>+'SUMINISTRO RP'!D41</f>
        <v>Varilla de Armar preformada Simple para Conductor de 35 mm²</v>
      </c>
      <c r="E41" s="1442"/>
      <c r="F41" s="1487"/>
      <c r="G41" s="1465" t="str">
        <f>+'SUMINISTRO RP'!G41</f>
        <v>u</v>
      </c>
      <c r="H41" s="1501">
        <f>+'SUMINISTRO RP'!H41</f>
        <v>41</v>
      </c>
      <c r="I41" s="1502">
        <v>0.68</v>
      </c>
      <c r="J41" s="1536">
        <f t="shared" ref="J41:J44" si="12">+ROUND(I41*H41,2)</f>
        <v>27.88</v>
      </c>
      <c r="K41" s="616"/>
      <c r="L41" s="1735"/>
      <c r="M41" s="1735"/>
      <c r="N41" s="326"/>
      <c r="O41" s="616"/>
      <c r="P41" s="616"/>
      <c r="Q41" s="616"/>
      <c r="R41" s="616"/>
      <c r="S41" s="324"/>
      <c r="T41" s="570"/>
      <c r="U41" s="1406"/>
      <c r="W41" s="1407"/>
      <c r="X41" s="1362"/>
    </row>
    <row r="42" spans="2:24" ht="16.5">
      <c r="B42" s="1535">
        <f t="shared" si="11"/>
        <v>8.02</v>
      </c>
      <c r="C42" s="1553"/>
      <c r="D42" s="1485" t="str">
        <f>+'SUMINISTRO RP'!D42</f>
        <v>Grapa de Doble Via de Aluminio para Conductor de 35 mm²</v>
      </c>
      <c r="E42" s="1442"/>
      <c r="F42" s="1487"/>
      <c r="G42" s="1465" t="str">
        <f>+'SUMINISTRO RP'!G42</f>
        <v>u</v>
      </c>
      <c r="H42" s="1501">
        <f>+'SUMINISTRO RP'!H42</f>
        <v>41</v>
      </c>
      <c r="I42" s="1502">
        <v>0.35</v>
      </c>
      <c r="J42" s="1536">
        <f t="shared" si="12"/>
        <v>14.35</v>
      </c>
      <c r="K42" s="616"/>
      <c r="L42" s="1735"/>
      <c r="M42" s="1735"/>
      <c r="N42" s="326"/>
      <c r="O42" s="616"/>
      <c r="P42" s="616"/>
      <c r="Q42" s="616"/>
      <c r="R42" s="616"/>
      <c r="S42" s="324"/>
      <c r="T42" s="570"/>
      <c r="U42" s="1406"/>
      <c r="W42" s="1407"/>
      <c r="X42" s="1362"/>
    </row>
    <row r="43" spans="2:24" ht="16.5">
      <c r="B43" s="1535">
        <f t="shared" si="11"/>
        <v>8.0299999999999994</v>
      </c>
      <c r="C43" s="1553"/>
      <c r="D43" s="1485" t="str">
        <f>+'SUMINISTRO RP'!D43</f>
        <v>Alambre de Amarre Aluminio Recocido de 16 mm²</v>
      </c>
      <c r="E43" s="1442"/>
      <c r="F43" s="1487"/>
      <c r="G43" s="1465" t="str">
        <f>+'SUMINISTRO RP'!G43</f>
        <v>m</v>
      </c>
      <c r="H43" s="1501">
        <f>+'SUMINISTRO RP'!H43</f>
        <v>170</v>
      </c>
      <c r="I43" s="1502">
        <v>0.42</v>
      </c>
      <c r="J43" s="1536">
        <f t="shared" si="12"/>
        <v>71.400000000000006</v>
      </c>
      <c r="K43" s="616"/>
      <c r="L43" s="1735"/>
      <c r="M43" s="1735"/>
      <c r="N43" s="326"/>
      <c r="O43" s="616"/>
      <c r="P43" s="616"/>
      <c r="Q43" s="616"/>
      <c r="R43" s="616"/>
      <c r="S43" s="324"/>
      <c r="T43" s="570"/>
      <c r="U43" s="1406"/>
      <c r="W43" s="1407"/>
      <c r="X43" s="1362"/>
    </row>
    <row r="44" spans="2:24" ht="16.5">
      <c r="B44" s="1535">
        <f t="shared" si="11"/>
        <v>8.0399999999999991</v>
      </c>
      <c r="C44" s="1553"/>
      <c r="D44" s="1485" t="str">
        <f>+'SUMINISTRO RP'!D44</f>
        <v>Grapa de Anclaje para Conductor de 35 mm²</v>
      </c>
      <c r="E44" s="1442"/>
      <c r="F44" s="1487"/>
      <c r="G44" s="1547" t="str">
        <f>+'SUMINISTRO RP'!G44</f>
        <v>u</v>
      </c>
      <c r="H44" s="1657">
        <f>+'SUMINISTRO RP'!H44</f>
        <v>16</v>
      </c>
      <c r="I44" s="1501">
        <v>0.88</v>
      </c>
      <c r="J44" s="1536">
        <f t="shared" si="12"/>
        <v>14.08</v>
      </c>
      <c r="K44" s="616"/>
      <c r="L44" s="1735"/>
      <c r="M44" s="1735"/>
      <c r="N44" s="326"/>
      <c r="O44" s="616"/>
      <c r="P44" s="616"/>
      <c r="Q44" s="616"/>
      <c r="R44" s="616"/>
      <c r="S44" s="324"/>
      <c r="T44" s="570"/>
      <c r="U44" s="1406"/>
      <c r="W44" s="1407"/>
      <c r="X44" s="1362"/>
    </row>
    <row r="45" spans="2:24" ht="16.5">
      <c r="B45" s="1464"/>
      <c r="C45" s="1553"/>
      <c r="D45" s="1442"/>
      <c r="E45" s="1442"/>
      <c r="F45" s="1554" t="str">
        <f>+"SUB-TOTAL   "&amp;B40&amp;":  "</f>
        <v xml:space="preserve">SUB-TOTAL   8:  </v>
      </c>
      <c r="G45" s="1465"/>
      <c r="H45" s="1501"/>
      <c r="I45" s="1565"/>
      <c r="J45" s="1539">
        <f>+SUM(J41:J44)</f>
        <v>127.71</v>
      </c>
      <c r="K45" s="616"/>
      <c r="L45" s="1735"/>
      <c r="M45" s="1735"/>
      <c r="N45" s="326"/>
      <c r="O45" s="616"/>
      <c r="P45" s="616"/>
      <c r="Q45" s="616"/>
      <c r="R45" s="616"/>
      <c r="S45" s="324"/>
      <c r="T45" s="570"/>
      <c r="X45" s="1362"/>
    </row>
    <row r="46" spans="2:24" ht="16.5">
      <c r="B46" s="1534">
        <f>1+B40</f>
        <v>9</v>
      </c>
      <c r="C46" s="1553"/>
      <c r="D46" s="1484" t="s">
        <v>17</v>
      </c>
      <c r="E46" s="1442"/>
      <c r="F46" s="1487"/>
      <c r="G46" s="1465"/>
      <c r="H46" s="1501"/>
      <c r="I46" s="1501"/>
      <c r="J46" s="1536"/>
      <c r="K46" s="616"/>
      <c r="L46" s="1735"/>
      <c r="M46" s="1735"/>
      <c r="N46" s="326"/>
      <c r="O46" s="616"/>
      <c r="P46" s="616"/>
      <c r="Q46" s="616"/>
      <c r="R46" s="616"/>
      <c r="S46" s="324"/>
      <c r="T46" s="570"/>
      <c r="X46" s="1362"/>
    </row>
    <row r="47" spans="2:24" ht="16.5">
      <c r="B47" s="1535">
        <f>B46+0.01</f>
        <v>9.01</v>
      </c>
      <c r="C47" s="1553"/>
      <c r="D47" s="1485" t="str">
        <f>+'SUMINISTRO RP'!D47</f>
        <v>Cable de Acero con Recubrimiento Metalúrgico de Cu de 4 AWG (21,15 mm²), para Puesta a Tierra</v>
      </c>
      <c r="E47" s="1442"/>
      <c r="F47" s="1487"/>
      <c r="G47" s="1547" t="str">
        <f>+'SUMINISTRO RP'!G47</f>
        <v>m</v>
      </c>
      <c r="H47" s="1657">
        <f>+'SUMINISTRO RP'!H47</f>
        <v>717.5</v>
      </c>
      <c r="I47" s="1501">
        <v>0.84</v>
      </c>
      <c r="J47" s="1536">
        <f t="shared" ref="J47" si="13">+ROUND(I47*H47,2)</f>
        <v>602.70000000000005</v>
      </c>
      <c r="K47" s="616"/>
      <c r="L47" s="1735"/>
      <c r="M47" s="1735"/>
      <c r="N47" s="326"/>
      <c r="O47" s="616"/>
      <c r="P47" s="616"/>
      <c r="Q47" s="616"/>
      <c r="R47" s="616"/>
      <c r="S47" s="324"/>
      <c r="T47" s="570"/>
      <c r="U47" s="1406"/>
      <c r="W47" s="1407"/>
      <c r="X47" s="1362"/>
    </row>
    <row r="48" spans="2:24" ht="16.5">
      <c r="B48" s="1534"/>
      <c r="C48" s="1553"/>
      <c r="D48" s="1442"/>
      <c r="E48" s="1442"/>
      <c r="F48" s="1554" t="str">
        <f>+"SUB-TOTAL   "&amp;B46&amp;":  "</f>
        <v xml:space="preserve">SUB-TOTAL   9:  </v>
      </c>
      <c r="G48" s="1465"/>
      <c r="H48" s="1501"/>
      <c r="I48" s="1565"/>
      <c r="J48" s="1539">
        <f>+SUM(J47:J47)</f>
        <v>602.70000000000005</v>
      </c>
      <c r="K48" s="616"/>
      <c r="L48" s="1735"/>
      <c r="M48" s="1735"/>
      <c r="N48" s="326"/>
      <c r="O48" s="616"/>
      <c r="P48" s="616"/>
      <c r="Q48" s="616"/>
      <c r="R48" s="616"/>
      <c r="S48" s="324"/>
      <c r="T48" s="570"/>
      <c r="X48" s="1362"/>
    </row>
    <row r="49" spans="2:24" ht="16.5">
      <c r="B49" s="1534">
        <f>1+B46</f>
        <v>10</v>
      </c>
      <c r="C49" s="1553"/>
      <c r="D49" s="1484" t="s">
        <v>276</v>
      </c>
      <c r="E49" s="1442"/>
      <c r="F49" s="1487"/>
      <c r="G49" s="1465"/>
      <c r="H49" s="1501"/>
      <c r="I49" s="1501"/>
      <c r="J49" s="1536"/>
      <c r="K49" s="616"/>
      <c r="L49" s="1735"/>
      <c r="M49" s="1735"/>
      <c r="N49" s="326"/>
      <c r="O49" s="616"/>
      <c r="P49" s="616"/>
      <c r="Q49" s="616"/>
      <c r="R49" s="616"/>
      <c r="S49" s="324"/>
      <c r="T49" s="570"/>
      <c r="X49" s="1362"/>
    </row>
    <row r="50" spans="2:24" ht="16.5">
      <c r="B50" s="1535">
        <f t="shared" ref="B50:B64" si="14">+B49+0.01</f>
        <v>10.01</v>
      </c>
      <c r="C50" s="1553"/>
      <c r="D50" s="1485" t="str">
        <f>+'SUMINISTRO RP'!D50</f>
        <v>Perno Cabeza Coche de AºGº de 13 mm Ø x 152 mm longitud, 76 mm maquinado, con Arandela, Tuerca y Contratuerca</v>
      </c>
      <c r="E50" s="1869"/>
      <c r="F50" s="1870"/>
      <c r="G50" s="1465" t="str">
        <f>+'SUMINISTRO RP'!G50</f>
        <v>u</v>
      </c>
      <c r="H50" s="1501">
        <f>+'SUMINISTRO RP'!H50</f>
        <v>13</v>
      </c>
      <c r="I50" s="1502">
        <v>0.32</v>
      </c>
      <c r="J50" s="1536">
        <f t="shared" ref="J50:J64" si="15">+ROUND(I50*H50,2)</f>
        <v>4.16</v>
      </c>
      <c r="K50" s="616"/>
      <c r="L50" s="1735"/>
      <c r="M50" s="1735"/>
      <c r="N50" s="326"/>
      <c r="O50" s="616"/>
      <c r="P50" s="616"/>
      <c r="Q50" s="616"/>
      <c r="R50" s="616"/>
      <c r="S50" s="324"/>
      <c r="T50" s="570"/>
      <c r="U50" s="1406"/>
      <c r="W50" s="1407"/>
      <c r="X50" s="1362"/>
    </row>
    <row r="51" spans="2:24" ht="16.5">
      <c r="B51" s="1535">
        <f t="shared" si="14"/>
        <v>10.02</v>
      </c>
      <c r="C51" s="1553"/>
      <c r="D51" s="1485" t="str">
        <f>+'SUMINISTRO RP'!D51</f>
        <v>Perno de A°G° de 13 mm Ø x 305 mm, provisto de Tuerca y  Contratuerca</v>
      </c>
      <c r="E51" s="1485"/>
      <c r="F51" s="1486"/>
      <c r="G51" s="1465" t="str">
        <f>+'SUMINISTRO RP'!G51</f>
        <v>u</v>
      </c>
      <c r="H51" s="1501">
        <f>+'SUMINISTRO RP'!H51</f>
        <v>13</v>
      </c>
      <c r="I51" s="1502">
        <v>0.32</v>
      </c>
      <c r="J51" s="1536">
        <f t="shared" si="15"/>
        <v>4.16</v>
      </c>
      <c r="K51" s="616"/>
      <c r="L51" s="1735"/>
      <c r="M51" s="1735"/>
      <c r="N51" s="326"/>
      <c r="O51" s="616"/>
      <c r="P51" s="616"/>
      <c r="Q51" s="616"/>
      <c r="R51" s="616"/>
      <c r="S51" s="324"/>
      <c r="T51" s="570"/>
      <c r="U51" s="1406"/>
      <c r="W51" s="1407"/>
      <c r="X51" s="1362"/>
    </row>
    <row r="52" spans="2:24" ht="16.5">
      <c r="B52" s="1535">
        <f t="shared" si="14"/>
        <v>10.029999999999999</v>
      </c>
      <c r="C52" s="1553"/>
      <c r="D52" s="1485" t="str">
        <f>+'SUMINISTRO RP'!D52</f>
        <v>Perno de A°G° de 16 mm Ø x 254 mm, provisto de Tuerca y  Contratuerca</v>
      </c>
      <c r="E52" s="1485"/>
      <c r="F52" s="1486"/>
      <c r="G52" s="1465" t="str">
        <f>+'SUMINISTRO RP'!G52</f>
        <v>u</v>
      </c>
      <c r="H52" s="1501">
        <f>+'SUMINISTRO RP'!H52</f>
        <v>32</v>
      </c>
      <c r="I52" s="1502">
        <v>0.31</v>
      </c>
      <c r="J52" s="1536">
        <f t="shared" si="15"/>
        <v>9.92</v>
      </c>
      <c r="K52" s="616"/>
      <c r="L52" s="1735"/>
      <c r="M52" s="1735"/>
      <c r="N52" s="326"/>
      <c r="O52" s="616"/>
      <c r="P52" s="616"/>
      <c r="Q52" s="616"/>
      <c r="R52" s="616"/>
      <c r="S52" s="324"/>
      <c r="T52" s="570"/>
      <c r="U52" s="1406"/>
      <c r="W52" s="1407"/>
      <c r="X52" s="1362"/>
    </row>
    <row r="53" spans="2:24" ht="16.5">
      <c r="B53" s="1535">
        <f t="shared" si="14"/>
        <v>10.039999999999999</v>
      </c>
      <c r="C53" s="1553"/>
      <c r="D53" s="1485" t="str">
        <f>+'SUMINISTRO RP'!D53</f>
        <v>Perno de A°G° de 16 mm Ø x 305 mm, provisto de Tuerca y  Contratuerca</v>
      </c>
      <c r="E53" s="1485"/>
      <c r="F53" s="1486"/>
      <c r="G53" s="1465" t="str">
        <f>+'SUMINISTRO RP'!G53</f>
        <v>u</v>
      </c>
      <c r="H53" s="1501">
        <f>+'SUMINISTRO RP'!H53</f>
        <v>26</v>
      </c>
      <c r="I53" s="1502">
        <v>0.34</v>
      </c>
      <c r="J53" s="1536">
        <f t="shared" si="15"/>
        <v>8.84</v>
      </c>
      <c r="K53" s="616"/>
      <c r="L53" s="1735"/>
      <c r="M53" s="1735"/>
      <c r="N53" s="326"/>
      <c r="O53" s="616"/>
      <c r="P53" s="616"/>
      <c r="Q53" s="616"/>
      <c r="R53" s="616"/>
      <c r="S53" s="324"/>
      <c r="T53" s="570"/>
      <c r="U53" s="1406"/>
      <c r="W53" s="1407"/>
      <c r="X53" s="1362"/>
    </row>
    <row r="54" spans="2:24" ht="16.5">
      <c r="B54" s="1535">
        <f t="shared" si="14"/>
        <v>10.049999999999999</v>
      </c>
      <c r="C54" s="1553"/>
      <c r="D54" s="1485" t="str">
        <f>+'SUMINISTRO RP'!D54</f>
        <v>Perno de A°G° de 16 mm Ø x 356 mm, provisto de Tuerca y  Contratuerca</v>
      </c>
      <c r="E54" s="1485"/>
      <c r="F54" s="1486"/>
      <c r="G54" s="1465" t="str">
        <f>+'SUMINISTRO RP'!G54</f>
        <v>u</v>
      </c>
      <c r="H54" s="1501">
        <f>+'SUMINISTRO RP'!H54</f>
        <v>13</v>
      </c>
      <c r="I54" s="1502">
        <v>0.36</v>
      </c>
      <c r="J54" s="1536">
        <f t="shared" si="15"/>
        <v>4.68</v>
      </c>
      <c r="L54" s="1735"/>
      <c r="M54" s="1735"/>
      <c r="N54" s="326"/>
      <c r="O54" s="616"/>
      <c r="P54" s="616"/>
      <c r="Q54" s="616"/>
      <c r="R54" s="616"/>
      <c r="S54" s="324"/>
      <c r="T54" s="570"/>
      <c r="U54" s="1406"/>
      <c r="W54" s="1407"/>
      <c r="X54" s="1362"/>
    </row>
    <row r="55" spans="2:24" ht="16.5">
      <c r="B55" s="1535">
        <f t="shared" si="14"/>
        <v>10.059999999999999</v>
      </c>
      <c r="C55" s="1553"/>
      <c r="D55" s="1485" t="str">
        <f>+'SUMINISTRO RP'!D55</f>
        <v>Perno Ojo de A°G° de 16 mm Ø  x 254 mm, provisto de Tuerca  y Contratuerca</v>
      </c>
      <c r="E55" s="1485"/>
      <c r="F55" s="1486"/>
      <c r="G55" s="1465" t="str">
        <f>+'SUMINISTRO RP'!G55</f>
        <v>u</v>
      </c>
      <c r="H55" s="1501">
        <f>+'SUMINISTRO RP'!H55</f>
        <v>16</v>
      </c>
      <c r="I55" s="1502">
        <v>0.45</v>
      </c>
      <c r="J55" s="1536">
        <f t="shared" si="15"/>
        <v>7.2</v>
      </c>
      <c r="K55" s="616"/>
      <c r="L55" s="1735"/>
      <c r="M55" s="1735"/>
      <c r="N55" s="326"/>
      <c r="O55" s="616"/>
      <c r="P55" s="616"/>
      <c r="Q55" s="616"/>
      <c r="R55" s="616"/>
      <c r="S55" s="324"/>
      <c r="T55" s="570"/>
      <c r="U55" s="1406"/>
      <c r="W55" s="1407"/>
      <c r="X55" s="1362"/>
    </row>
    <row r="56" spans="2:24" ht="16.5">
      <c r="B56" s="1535">
        <f t="shared" si="14"/>
        <v>10.069999999999999</v>
      </c>
      <c r="C56" s="1553"/>
      <c r="D56" s="1485" t="str">
        <f>+'SUMINISTRO RP'!D56</f>
        <v>Perno Doble Armado de A°G° de 16 mm Ø  x 508 mm, provisto de  4 Tuercas y 4 Contratuercas</v>
      </c>
      <c r="E56" s="1442"/>
      <c r="F56" s="1487"/>
      <c r="G56" s="1465" t="str">
        <f>+'SUMINISTRO RP'!G56</f>
        <v>u</v>
      </c>
      <c r="H56" s="1501">
        <f>+'SUMINISTRO RP'!H56</f>
        <v>50</v>
      </c>
      <c r="I56" s="1501">
        <v>0.41</v>
      </c>
      <c r="J56" s="1536">
        <f t="shared" si="15"/>
        <v>20.5</v>
      </c>
      <c r="K56" s="616"/>
      <c r="L56" s="1735"/>
      <c r="M56" s="1735"/>
      <c r="N56" s="326"/>
      <c r="O56" s="616"/>
      <c r="P56" s="616"/>
      <c r="Q56" s="616"/>
      <c r="R56" s="616"/>
      <c r="S56" s="324"/>
      <c r="T56" s="570"/>
      <c r="U56" s="1406"/>
      <c r="W56" s="1407"/>
      <c r="X56" s="1362"/>
    </row>
    <row r="57" spans="2:24" ht="16.5">
      <c r="B57" s="1535">
        <f t="shared" si="14"/>
        <v>10.079999999999998</v>
      </c>
      <c r="C57" s="1553"/>
      <c r="D57" s="1485" t="str">
        <f>+'SUMINISTRO RP'!D57</f>
        <v>Tirafondo de A°G° de 13 mm ø  x 102 mm de longitud</v>
      </c>
      <c r="E57" s="1485"/>
      <c r="F57" s="1486"/>
      <c r="G57" s="1465" t="str">
        <f>+'SUMINISTRO RP'!G57</f>
        <v>u</v>
      </c>
      <c r="H57" s="1501">
        <f>+'SUMINISTRO RP'!H57</f>
        <v>2</v>
      </c>
      <c r="I57" s="1501">
        <v>0.49</v>
      </c>
      <c r="J57" s="1536">
        <f t="shared" si="15"/>
        <v>0.98</v>
      </c>
      <c r="K57" s="616"/>
      <c r="L57" s="1735"/>
      <c r="M57" s="1735"/>
      <c r="N57" s="326"/>
      <c r="O57" s="616"/>
      <c r="P57" s="616"/>
      <c r="Q57" s="616"/>
      <c r="R57" s="616"/>
      <c r="S57" s="324"/>
      <c r="T57" s="570"/>
      <c r="U57" s="1406"/>
      <c r="W57" s="1407"/>
      <c r="X57" s="1362"/>
    </row>
    <row r="58" spans="2:24" ht="16.5">
      <c r="B58" s="1535">
        <f t="shared" si="14"/>
        <v>10.089999999999998</v>
      </c>
      <c r="C58" s="1553"/>
      <c r="D58" s="1485" t="str">
        <f>+'SUMINISTRO RP'!D58</f>
        <v>Brazo-Soporte (Riostra) de Perfil Angular de A°G° de 38 x 38 x 5 mm y 710 mm longitud</v>
      </c>
      <c r="E58" s="1485"/>
      <c r="F58" s="1486"/>
      <c r="G58" s="1465" t="str">
        <f>+'SUMINISTRO RP'!G58</f>
        <v>u</v>
      </c>
      <c r="H58" s="1501">
        <f>+'SUMINISTRO RP'!H58</f>
        <v>13</v>
      </c>
      <c r="I58" s="1502">
        <v>1.33</v>
      </c>
      <c r="J58" s="1536">
        <f t="shared" si="15"/>
        <v>17.29</v>
      </c>
      <c r="K58" s="616"/>
      <c r="L58" s="1735"/>
      <c r="M58" s="1735"/>
      <c r="N58" s="326"/>
      <c r="O58" s="616"/>
      <c r="P58" s="616"/>
      <c r="Q58" s="616"/>
      <c r="R58" s="616"/>
      <c r="S58" s="324"/>
      <c r="T58" s="570"/>
      <c r="U58" s="1406"/>
      <c r="W58" s="1407"/>
      <c r="X58" s="1362"/>
    </row>
    <row r="59" spans="2:24" ht="16.5">
      <c r="B59" s="1535">
        <f t="shared" si="14"/>
        <v>10.099999999999998</v>
      </c>
      <c r="C59" s="1553"/>
      <c r="D59" s="1485" t="str">
        <f>+'SUMINISTRO RP'!D59</f>
        <v>Arandela Cuadrada Plana de A° G°, 57 x 57 x 5 mm, Agujero de 18 mm Ø</v>
      </c>
      <c r="E59" s="1485"/>
      <c r="F59" s="1486"/>
      <c r="G59" s="1465" t="str">
        <f>+'SUMINISTRO RP'!G59</f>
        <v>u</v>
      </c>
      <c r="H59" s="1501">
        <f>+'SUMINISTRO RP'!H59</f>
        <v>107</v>
      </c>
      <c r="I59" s="1502">
        <v>0.09</v>
      </c>
      <c r="J59" s="1536">
        <f t="shared" si="15"/>
        <v>9.6300000000000008</v>
      </c>
      <c r="K59" s="616"/>
      <c r="L59" s="1735"/>
      <c r="M59" s="1735"/>
      <c r="N59" s="326"/>
      <c r="O59" s="616"/>
      <c r="P59" s="616"/>
      <c r="Q59" s="616"/>
      <c r="R59" s="616"/>
      <c r="S59" s="324"/>
      <c r="T59" s="570"/>
      <c r="U59" s="1406"/>
      <c r="W59" s="1407"/>
      <c r="X59" s="1362"/>
    </row>
    <row r="60" spans="2:24" ht="16.5">
      <c r="B60" s="1535">
        <f t="shared" si="14"/>
        <v>10.109999999999998</v>
      </c>
      <c r="C60" s="1553"/>
      <c r="D60" s="1485" t="str">
        <f>+'SUMINISTRO RP'!D60</f>
        <v>Arandela Cuadrada Curva de A° G°, 57 x 57 x 5 mm, Agujero de 18 mm Ø</v>
      </c>
      <c r="E60" s="1442"/>
      <c r="F60" s="1487"/>
      <c r="G60" s="1465" t="str">
        <f>+'SUMINISTRO RP'!G60</f>
        <v>u</v>
      </c>
      <c r="H60" s="1501">
        <f>+'SUMINISTRO RP'!H60</f>
        <v>211</v>
      </c>
      <c r="I60" s="1502">
        <v>0.09</v>
      </c>
      <c r="J60" s="1536">
        <f t="shared" si="15"/>
        <v>18.989999999999998</v>
      </c>
      <c r="K60" s="616"/>
      <c r="L60" s="1735"/>
      <c r="M60" s="1735"/>
      <c r="N60" s="326"/>
      <c r="O60" s="616"/>
      <c r="P60" s="616"/>
      <c r="Q60" s="616"/>
      <c r="R60" s="616"/>
      <c r="T60" s="570"/>
      <c r="U60" s="1406"/>
      <c r="W60" s="1407"/>
      <c r="X60" s="1362"/>
    </row>
    <row r="61" spans="2:24" ht="16.5">
      <c r="B61" s="1535">
        <f t="shared" si="14"/>
        <v>10.119999999999997</v>
      </c>
      <c r="C61" s="1553"/>
      <c r="D61" s="1485" t="str">
        <f>+'SUMINISTRO RP'!D61</f>
        <v>Plantillas para Identificación y/o codificación de Postes (Peligro, Identificación y/o codificación y Fases)</v>
      </c>
      <c r="E61" s="1442"/>
      <c r="F61" s="1487"/>
      <c r="G61" s="1465" t="str">
        <f>+'SUMINISTRO RP'!G61</f>
        <v>Jgo.</v>
      </c>
      <c r="H61" s="1501">
        <f>+'SUMINISTRO RP'!H61</f>
        <v>34</v>
      </c>
      <c r="I61" s="1502">
        <v>0.22</v>
      </c>
      <c r="J61" s="1536">
        <f t="shared" si="15"/>
        <v>7.48</v>
      </c>
      <c r="K61" s="616"/>
      <c r="L61" s="1735"/>
      <c r="M61" s="1735"/>
      <c r="N61" s="326"/>
      <c r="O61" s="616"/>
      <c r="P61" s="616"/>
      <c r="Q61" s="616"/>
      <c r="R61" s="616"/>
      <c r="T61" s="570"/>
      <c r="U61" s="1406"/>
      <c r="W61" s="1407"/>
      <c r="X61" s="1362"/>
    </row>
    <row r="62" spans="2:24" ht="16.5">
      <c r="B62" s="1535">
        <f t="shared" si="14"/>
        <v>10.129999999999997</v>
      </c>
      <c r="C62" s="1553"/>
      <c r="D62" s="1485" t="str">
        <f>+'SUMINISTRO RP'!D62</f>
        <v>Placa de Señal de Peligro y accesorios de fijación</v>
      </c>
      <c r="E62" s="1442"/>
      <c r="F62" s="1487"/>
      <c r="G62" s="1465" t="str">
        <f>+'SUMINISTRO RP'!G62</f>
        <v>u</v>
      </c>
      <c r="H62" s="1501">
        <f>+'SUMINISTRO RP'!H62</f>
        <v>2</v>
      </c>
      <c r="I62" s="1502">
        <v>0.12</v>
      </c>
      <c r="J62" s="1536">
        <f t="shared" si="15"/>
        <v>0.24</v>
      </c>
      <c r="K62" s="616"/>
      <c r="L62" s="1735"/>
      <c r="M62" s="1735"/>
      <c r="N62" s="326"/>
      <c r="O62" s="616"/>
      <c r="P62" s="616"/>
      <c r="Q62" s="616"/>
      <c r="R62" s="616"/>
      <c r="T62" s="570"/>
      <c r="U62" s="1406"/>
      <c r="W62" s="1407"/>
      <c r="X62" s="1362"/>
    </row>
    <row r="63" spans="2:24" ht="16.5">
      <c r="B63" s="1535">
        <f t="shared" si="14"/>
        <v>10.139999999999997</v>
      </c>
      <c r="C63" s="1553"/>
      <c r="D63" s="1485" t="str">
        <f>+'SUMINISTRO RP'!D63</f>
        <v>Placa de Identificación y/o codificación de Estructura y accesorios de fijación</v>
      </c>
      <c r="E63" s="1442"/>
      <c r="F63" s="1487"/>
      <c r="G63" s="1465" t="str">
        <f>+'SUMINISTRO RP'!G63</f>
        <v>u</v>
      </c>
      <c r="H63" s="1501">
        <f>+'SUMINISTRO RP'!H63</f>
        <v>2</v>
      </c>
      <c r="I63" s="1502">
        <v>0.1</v>
      </c>
      <c r="J63" s="1536">
        <f t="shared" si="15"/>
        <v>0.2</v>
      </c>
      <c r="K63" s="616"/>
      <c r="L63" s="1735"/>
      <c r="M63" s="1735"/>
      <c r="N63" s="326"/>
      <c r="O63" s="616"/>
      <c r="P63" s="616"/>
      <c r="Q63" s="616"/>
      <c r="R63" s="616"/>
      <c r="T63" s="570"/>
      <c r="U63" s="1406"/>
      <c r="W63" s="1407"/>
      <c r="X63" s="1362"/>
    </row>
    <row r="64" spans="2:24" ht="16.5">
      <c r="B64" s="1535">
        <f t="shared" si="14"/>
        <v>10.149999999999997</v>
      </c>
      <c r="C64" s="1553"/>
      <c r="D64" s="1485" t="str">
        <f>+'SUMINISTRO RP'!D64</f>
        <v>Placa de Secuencia de Fases y accesorios de fijación</v>
      </c>
      <c r="E64" s="1442"/>
      <c r="F64" s="1487"/>
      <c r="G64" s="1547" t="str">
        <f>+'SUMINISTRO RP'!G64</f>
        <v>u</v>
      </c>
      <c r="H64" s="1657">
        <f>+'SUMINISTRO RP'!H64</f>
        <v>2</v>
      </c>
      <c r="I64" s="1501">
        <v>7.0000000000000007E-2</v>
      </c>
      <c r="J64" s="1536">
        <f t="shared" si="15"/>
        <v>0.14000000000000001</v>
      </c>
      <c r="K64" s="616"/>
      <c r="L64" s="1735"/>
      <c r="M64" s="1735"/>
      <c r="N64" s="326"/>
      <c r="O64" s="616"/>
      <c r="P64" s="616"/>
      <c r="Q64" s="616"/>
      <c r="R64" s="616"/>
      <c r="S64" s="324"/>
      <c r="T64" s="570"/>
      <c r="U64" s="1406"/>
      <c r="W64" s="1407"/>
      <c r="X64" s="1362"/>
    </row>
    <row r="65" spans="2:24" ht="16.5">
      <c r="B65" s="1464"/>
      <c r="C65" s="1553"/>
      <c r="D65" s="1442"/>
      <c r="E65" s="1442"/>
      <c r="F65" s="1554" t="str">
        <f>+"SUB-TOTAL   "&amp;B49&amp;":  "</f>
        <v xml:space="preserve">SUB-TOTAL   10:  </v>
      </c>
      <c r="G65" s="1465"/>
      <c r="H65" s="1501"/>
      <c r="I65" s="1565"/>
      <c r="J65" s="1539">
        <f>+SUM(J50:J64)</f>
        <v>114.40999999999998</v>
      </c>
      <c r="K65" s="616"/>
      <c r="L65" s="1735"/>
      <c r="M65" s="1735"/>
      <c r="N65" s="326"/>
      <c r="O65" s="616"/>
      <c r="P65" s="616"/>
      <c r="Q65" s="616"/>
      <c r="R65" s="616"/>
      <c r="S65" s="324"/>
      <c r="T65" s="570"/>
      <c r="X65" s="1362"/>
    </row>
    <row r="66" spans="2:24" ht="16.5">
      <c r="B66" s="1534">
        <f>1+B49</f>
        <v>11</v>
      </c>
      <c r="C66" s="1553"/>
      <c r="D66" s="1484" t="s">
        <v>277</v>
      </c>
      <c r="E66" s="1442"/>
      <c r="F66" s="1487"/>
      <c r="G66" s="1465"/>
      <c r="H66" s="1501"/>
      <c r="I66" s="1501"/>
      <c r="J66" s="1536"/>
      <c r="K66" s="616"/>
      <c r="L66" s="1735"/>
      <c r="M66" s="1735"/>
      <c r="N66" s="326"/>
      <c r="O66" s="616"/>
      <c r="P66" s="616"/>
      <c r="Q66" s="616"/>
      <c r="R66" s="616"/>
      <c r="S66" s="324"/>
      <c r="T66" s="570"/>
      <c r="X66" s="1362"/>
    </row>
    <row r="67" spans="2:24" ht="16.5">
      <c r="B67" s="1535">
        <f t="shared" ref="B67:B77" si="16">+B66+0.01</f>
        <v>11.01</v>
      </c>
      <c r="C67" s="1553"/>
      <c r="D67" s="1485" t="str">
        <f>+'SUMINISTRO RP'!D67</f>
        <v>Cable de Acero Grado Siemens Martin, de 10 mm Ø, 7 hilos</v>
      </c>
      <c r="E67" s="1442"/>
      <c r="F67" s="1487"/>
      <c r="G67" s="1465" t="str">
        <f>+'SUMINISTRO RP'!G67</f>
        <v>m</v>
      </c>
      <c r="H67" s="1501">
        <f>+'SUMINISTRO RP'!H67</f>
        <v>154</v>
      </c>
      <c r="I67" s="1502">
        <v>0.57999999999999996</v>
      </c>
      <c r="J67" s="1536">
        <f t="shared" ref="J67:J77" si="17">+ROUND(I67*H67,2)</f>
        <v>89.32</v>
      </c>
      <c r="K67" s="616"/>
      <c r="L67" s="1735"/>
      <c r="M67" s="1735"/>
      <c r="N67" s="326"/>
      <c r="O67" s="616"/>
      <c r="P67" s="616"/>
      <c r="Q67" s="616"/>
      <c r="R67" s="616"/>
      <c r="T67" s="570"/>
      <c r="U67" s="1406"/>
      <c r="W67" s="1407"/>
      <c r="X67" s="1362"/>
    </row>
    <row r="68" spans="2:24" ht="16.5">
      <c r="B68" s="1535">
        <f t="shared" si="16"/>
        <v>11.02</v>
      </c>
      <c r="C68" s="1553"/>
      <c r="D68" s="1485" t="str">
        <f>+'SUMINISTRO RP'!D68</f>
        <v>Varilla de Anclaje de A°G° de 16 mm Ø x 2,40 m, provisto de Ojal Guardacabo en un extremo; Tuerca y Contratuerca en el otro</v>
      </c>
      <c r="E68" s="1869"/>
      <c r="F68" s="1870"/>
      <c r="G68" s="1465" t="str">
        <f>+'SUMINISTRO RP'!G68</f>
        <v>u</v>
      </c>
      <c r="H68" s="1501">
        <f>+'SUMINISTRO RP'!H68</f>
        <v>9</v>
      </c>
      <c r="I68" s="1502">
        <v>2.37</v>
      </c>
      <c r="J68" s="1536">
        <f t="shared" si="17"/>
        <v>21.33</v>
      </c>
      <c r="K68" s="616"/>
      <c r="L68" s="1735"/>
      <c r="M68" s="1735"/>
      <c r="N68" s="326"/>
      <c r="O68" s="616"/>
      <c r="P68" s="616"/>
      <c r="Q68" s="616"/>
      <c r="R68" s="616"/>
      <c r="S68" s="324"/>
      <c r="T68" s="570"/>
      <c r="U68" s="1406"/>
      <c r="W68" s="1407"/>
      <c r="X68" s="1362"/>
    </row>
    <row r="69" spans="2:24" ht="16.5">
      <c r="B69" s="1535">
        <f t="shared" si="16"/>
        <v>11.03</v>
      </c>
      <c r="C69" s="1553"/>
      <c r="D69" s="1485" t="str">
        <f>+'SUMINISTRO RP'!D69</f>
        <v>Mordaza Preformada de A°G° para Cable de 10 mm Ø</v>
      </c>
      <c r="E69" s="1442"/>
      <c r="F69" s="1487"/>
      <c r="G69" s="1465" t="str">
        <f>+'SUMINISTRO RP'!G69</f>
        <v>u</v>
      </c>
      <c r="H69" s="1501">
        <f>+'SUMINISTRO RP'!H69</f>
        <v>38</v>
      </c>
      <c r="I69" s="1502">
        <v>0.85</v>
      </c>
      <c r="J69" s="1536">
        <f t="shared" si="17"/>
        <v>32.299999999999997</v>
      </c>
      <c r="K69" s="616"/>
      <c r="L69" s="1735"/>
      <c r="M69" s="1735"/>
      <c r="N69" s="326"/>
      <c r="O69" s="616"/>
      <c r="P69" s="616"/>
      <c r="Q69" s="616"/>
      <c r="R69" s="616"/>
      <c r="T69" s="570"/>
      <c r="U69" s="1406"/>
      <c r="W69" s="1407"/>
      <c r="X69" s="1362"/>
    </row>
    <row r="70" spans="2:24" ht="16.5">
      <c r="B70" s="1535">
        <f t="shared" si="16"/>
        <v>11.04</v>
      </c>
      <c r="C70" s="1553"/>
      <c r="D70" s="1485" t="str">
        <f>+'SUMINISTRO RP'!D70</f>
        <v>Alambre de Acero N° 14 para Entorchado</v>
      </c>
      <c r="E70" s="1442"/>
      <c r="F70" s="1487"/>
      <c r="G70" s="1465" t="str">
        <f>+'SUMINISTRO RP'!G70</f>
        <v>m</v>
      </c>
      <c r="H70" s="1501">
        <f>+'SUMINISTRO RP'!H70</f>
        <v>36</v>
      </c>
      <c r="I70" s="1502">
        <v>0.02</v>
      </c>
      <c r="J70" s="1536">
        <f t="shared" si="17"/>
        <v>0.72</v>
      </c>
      <c r="K70" s="616"/>
      <c r="L70" s="1735"/>
      <c r="M70" s="1735"/>
      <c r="N70" s="326"/>
      <c r="O70" s="616"/>
      <c r="P70" s="616"/>
      <c r="Q70" s="616"/>
      <c r="R70" s="616"/>
      <c r="T70" s="570"/>
      <c r="U70" s="1406"/>
      <c r="W70" s="1407"/>
      <c r="X70" s="1362"/>
    </row>
    <row r="71" spans="2:24" ht="16.5">
      <c r="B71" s="1535">
        <f t="shared" si="16"/>
        <v>11.049999999999999</v>
      </c>
      <c r="C71" s="1553"/>
      <c r="D71" s="1485" t="str">
        <f>+'SUMINISTRO RP'!D71</f>
        <v>Arandela de Anclaje de A°G°, 102 x 102 x 6,35 mm, Agujero de 18 mmø</v>
      </c>
      <c r="E71" s="1442"/>
      <c r="F71" s="1487"/>
      <c r="G71" s="1465" t="str">
        <f>+'SUMINISTRO RP'!G71</f>
        <v>u</v>
      </c>
      <c r="H71" s="1501">
        <f>+'SUMINISTRO RP'!H71</f>
        <v>9</v>
      </c>
      <c r="I71" s="1502">
        <v>0.2</v>
      </c>
      <c r="J71" s="1536">
        <f t="shared" si="17"/>
        <v>1.8</v>
      </c>
      <c r="K71" s="616"/>
      <c r="L71" s="1735"/>
      <c r="M71" s="1735"/>
      <c r="N71" s="326"/>
      <c r="O71" s="616"/>
      <c r="P71" s="616"/>
      <c r="Q71" s="616"/>
      <c r="R71" s="616"/>
      <c r="T71" s="570"/>
      <c r="U71" s="1406"/>
      <c r="W71" s="1407"/>
      <c r="X71" s="1362"/>
    </row>
    <row r="72" spans="2:24" ht="16.5">
      <c r="B72" s="1535">
        <f t="shared" si="16"/>
        <v>11.059999999999999</v>
      </c>
      <c r="C72" s="1553"/>
      <c r="D72" s="1485" t="str">
        <f>+'SUMINISTRO RP'!D72</f>
        <v>Grillete de Acero de 70 kN</v>
      </c>
      <c r="E72" s="1442"/>
      <c r="F72" s="1487"/>
      <c r="G72" s="1465" t="str">
        <f>+'SUMINISTRO RP'!G72</f>
        <v>u</v>
      </c>
      <c r="H72" s="1501">
        <f>+'SUMINISTRO RP'!H72</f>
        <v>16</v>
      </c>
      <c r="I72" s="1502">
        <v>1.1499999999999999</v>
      </c>
      <c r="J72" s="1536">
        <f t="shared" si="17"/>
        <v>18.399999999999999</v>
      </c>
      <c r="K72" s="616"/>
      <c r="L72" s="1735"/>
      <c r="M72" s="1735"/>
      <c r="N72" s="326"/>
      <c r="O72" s="616"/>
      <c r="P72" s="616"/>
      <c r="Q72" s="616"/>
      <c r="R72" s="616"/>
      <c r="T72" s="570"/>
      <c r="U72" s="1406"/>
      <c r="W72" s="1407"/>
      <c r="X72" s="1362"/>
    </row>
    <row r="73" spans="2:24" ht="16.5">
      <c r="B73" s="1535">
        <f t="shared" si="16"/>
        <v>11.069999999999999</v>
      </c>
      <c r="C73" s="1553"/>
      <c r="D73" s="1485" t="str">
        <f>+'SUMINISTRO RP'!D73</f>
        <v>Enlace metálico, de 254 mm x 75 mm x 38 mm, de 70 kN de resistencia</v>
      </c>
      <c r="E73" s="1442"/>
      <c r="F73" s="1487"/>
      <c r="G73" s="1465" t="str">
        <f>+'SUMINISTRO RP'!G73</f>
        <v>u</v>
      </c>
      <c r="H73" s="1501">
        <f>+'SUMINISTRO RP'!H73</f>
        <v>9</v>
      </c>
      <c r="I73" s="1502">
        <v>0.25</v>
      </c>
      <c r="J73" s="1536">
        <f t="shared" si="17"/>
        <v>2.25</v>
      </c>
      <c r="K73" s="616"/>
      <c r="L73" s="1735"/>
      <c r="M73" s="1735"/>
      <c r="N73" s="326"/>
      <c r="O73" s="616"/>
      <c r="P73" s="616"/>
      <c r="Q73" s="616"/>
      <c r="R73" s="616"/>
      <c r="T73" s="570"/>
      <c r="U73" s="1406"/>
      <c r="W73" s="1407"/>
      <c r="X73" s="1362"/>
    </row>
    <row r="74" spans="2:24" ht="16.5">
      <c r="B74" s="1535">
        <f t="shared" si="16"/>
        <v>11.079999999999998</v>
      </c>
      <c r="C74" s="1553"/>
      <c r="D74" s="1485" t="str">
        <f>+'SUMINISTRO RP'!D74</f>
        <v>Aislador Polimerico con Conexión Horquilla (Estructura) y Lengüeta (Linea) de 36 kV, según Especificacion Técnica, para Retenida Aislada.</v>
      </c>
      <c r="E74" s="1869"/>
      <c r="F74" s="1870"/>
      <c r="G74" s="1465" t="str">
        <f>+'SUMINISTRO RP'!G74</f>
        <v>u</v>
      </c>
      <c r="H74" s="1501">
        <f>+'SUMINISTRO RP'!H74</f>
        <v>9</v>
      </c>
      <c r="I74" s="1502">
        <v>4.13</v>
      </c>
      <c r="J74" s="1536">
        <f t="shared" si="17"/>
        <v>37.17</v>
      </c>
      <c r="K74" s="616"/>
      <c r="L74" s="1735"/>
      <c r="M74" s="1735"/>
      <c r="N74" s="326"/>
      <c r="O74" s="616"/>
      <c r="P74" s="616"/>
      <c r="Q74" s="616"/>
      <c r="R74" s="616"/>
      <c r="S74" s="324"/>
      <c r="T74" s="570"/>
      <c r="U74" s="1406"/>
      <c r="W74" s="1407"/>
      <c r="X74" s="1362"/>
    </row>
    <row r="75" spans="2:24" ht="16.5">
      <c r="B75" s="1535">
        <f t="shared" si="16"/>
        <v>11.089999999999998</v>
      </c>
      <c r="C75" s="1553"/>
      <c r="D75" s="1485" t="str">
        <f>+'SUMINISTRO RP'!D75</f>
        <v>Bloque de Concreto de 0,40 x 0,40 x 0,15 m</v>
      </c>
      <c r="E75" s="1442"/>
      <c r="F75" s="1487"/>
      <c r="G75" s="1465" t="str">
        <f>+'SUMINISTRO RP'!G75</f>
        <v>u</v>
      </c>
      <c r="H75" s="1501">
        <f>+'SUMINISTRO RP'!H75</f>
        <v>9</v>
      </c>
      <c r="I75" s="1502">
        <v>23.88</v>
      </c>
      <c r="J75" s="1536">
        <f t="shared" si="17"/>
        <v>214.92</v>
      </c>
      <c r="K75" s="616"/>
      <c r="L75" s="1735"/>
      <c r="M75" s="1735"/>
      <c r="N75" s="326"/>
      <c r="O75" s="616"/>
      <c r="P75" s="616"/>
      <c r="Q75" s="616"/>
      <c r="R75" s="616"/>
      <c r="T75" s="570"/>
      <c r="U75" s="1406"/>
      <c r="W75" s="1407"/>
      <c r="X75" s="1362"/>
    </row>
    <row r="76" spans="2:24" ht="16.5">
      <c r="B76" s="1535">
        <f t="shared" si="16"/>
        <v>11.099999999999998</v>
      </c>
      <c r="C76" s="1553"/>
      <c r="D76" s="1485" t="str">
        <f>+'SUMINISTRO RP'!D76</f>
        <v>Tuerca-Ojo para Perno de 16 mm Ø</v>
      </c>
      <c r="E76" s="1442"/>
      <c r="F76" s="1487"/>
      <c r="G76" s="1465" t="str">
        <f>+'SUMINISTRO RP'!G76</f>
        <v>u</v>
      </c>
      <c r="H76" s="1501">
        <f>+'SUMINISTRO RP'!H76</f>
        <v>5</v>
      </c>
      <c r="I76" s="1502">
        <v>0.48</v>
      </c>
      <c r="J76" s="1536">
        <f t="shared" si="17"/>
        <v>2.4</v>
      </c>
      <c r="K76" s="616"/>
      <c r="L76" s="1735"/>
      <c r="M76" s="1735"/>
      <c r="N76" s="326"/>
      <c r="O76" s="616"/>
      <c r="P76" s="616"/>
      <c r="Q76" s="616"/>
      <c r="R76" s="616"/>
      <c r="S76" s="324"/>
      <c r="T76" s="570"/>
      <c r="U76" s="1406"/>
      <c r="W76" s="1407"/>
      <c r="X76" s="1362"/>
    </row>
    <row r="77" spans="2:24" ht="16.5">
      <c r="B77" s="1535">
        <f t="shared" si="16"/>
        <v>11.109999999999998</v>
      </c>
      <c r="C77" s="1553"/>
      <c r="D77" s="1485" t="str">
        <f>+'SUMINISTRO RP'!D77</f>
        <v>Abrazadera de 4 sectores para Retenida, de 75 mm de altura, 6,35 mm de espesor y 70 kN de resistencia. Diámetro según dimensiones del poste,  incluye 4 pernos de 12,7 mm Ø x 63,5 mm y 4 arandelas</v>
      </c>
      <c r="E77" s="1869"/>
      <c r="F77" s="1870"/>
      <c r="G77" s="1547" t="str">
        <f>+'SUMINISTRO RP'!G77</f>
        <v>u</v>
      </c>
      <c r="H77" s="1657">
        <f>+'SUMINISTRO RP'!H77</f>
        <v>9</v>
      </c>
      <c r="I77" s="1502">
        <v>2.75</v>
      </c>
      <c r="J77" s="1536">
        <f t="shared" si="17"/>
        <v>24.75</v>
      </c>
      <c r="K77" s="616"/>
      <c r="L77" s="1735"/>
      <c r="M77" s="1735"/>
      <c r="N77" s="326"/>
      <c r="O77" s="616"/>
      <c r="P77" s="616"/>
      <c r="Q77" s="616"/>
      <c r="R77" s="616"/>
      <c r="S77" s="324"/>
      <c r="T77" s="570"/>
      <c r="U77" s="1406"/>
      <c r="W77" s="1407"/>
      <c r="X77" s="1362"/>
    </row>
    <row r="78" spans="2:24" ht="16.5">
      <c r="B78" s="1543"/>
      <c r="C78" s="1556"/>
      <c r="D78" s="1522"/>
      <c r="E78" s="1522"/>
      <c r="F78" s="1557" t="str">
        <f>+"SUB-TOTAL   "&amp;B66&amp;":  "</f>
        <v xml:space="preserve">SUB-TOTAL   11:  </v>
      </c>
      <c r="G78" s="1547"/>
      <c r="H78" s="1657"/>
      <c r="I78" s="1567"/>
      <c r="J78" s="1544">
        <f>+SUM(J67:J77)</f>
        <v>445.36</v>
      </c>
      <c r="K78" s="616"/>
      <c r="L78" s="1735"/>
      <c r="M78" s="1735"/>
      <c r="N78" s="326"/>
      <c r="O78" s="616"/>
      <c r="P78" s="616"/>
      <c r="Q78" s="616"/>
      <c r="R78" s="616"/>
      <c r="S78" s="324"/>
      <c r="T78" s="570"/>
      <c r="X78" s="1362"/>
    </row>
    <row r="79" spans="2:24" ht="16.5">
      <c r="B79" s="1534">
        <f>1+B66</f>
        <v>12</v>
      </c>
      <c r="C79" s="1553"/>
      <c r="D79" s="1484" t="s">
        <v>278</v>
      </c>
      <c r="E79" s="1442"/>
      <c r="F79" s="1487"/>
      <c r="G79" s="1465"/>
      <c r="H79" s="1501"/>
      <c r="I79" s="1501"/>
      <c r="J79" s="1536"/>
      <c r="K79" s="616"/>
      <c r="L79" s="1735"/>
      <c r="M79" s="1735"/>
      <c r="N79" s="326"/>
      <c r="O79" s="616"/>
      <c r="P79" s="616"/>
      <c r="Q79" s="616"/>
      <c r="R79" s="616"/>
      <c r="S79" s="324"/>
      <c r="T79" s="570"/>
      <c r="X79" s="1362"/>
    </row>
    <row r="80" spans="2:24" ht="16.5">
      <c r="B80" s="1535">
        <f t="shared" ref="B80:B88" si="18">+B79+0.01</f>
        <v>12.01</v>
      </c>
      <c r="C80" s="1553"/>
      <c r="D80" s="1485" t="str">
        <f>+'SUMINISTRO RP'!D80</f>
        <v>Electrodo de Acero Recubierto de Cobre de 16 mm Ø x 2,40 m</v>
      </c>
      <c r="E80" s="1485"/>
      <c r="F80" s="1486"/>
      <c r="G80" s="1465" t="str">
        <f>+'SUMINISTRO RP'!G80</f>
        <v>u</v>
      </c>
      <c r="H80" s="1501">
        <f>+'SUMINISTRO RP'!H80</f>
        <v>49</v>
      </c>
      <c r="I80" s="1502">
        <v>2.59</v>
      </c>
      <c r="J80" s="1536">
        <f t="shared" ref="J80:J88" si="19">+ROUND(I80*H80,2)</f>
        <v>126.91</v>
      </c>
      <c r="K80" s="616"/>
      <c r="L80" s="1735"/>
      <c r="M80" s="1735"/>
      <c r="N80" s="326"/>
      <c r="O80" s="616"/>
      <c r="P80" s="616"/>
      <c r="Q80" s="616"/>
      <c r="R80" s="616"/>
      <c r="T80" s="570"/>
      <c r="U80" s="1406"/>
      <c r="W80" s="1407"/>
      <c r="X80" s="1362"/>
    </row>
    <row r="81" spans="2:24" ht="16.5">
      <c r="B81" s="1535">
        <f t="shared" si="18"/>
        <v>12.02</v>
      </c>
      <c r="C81" s="1553"/>
      <c r="D81" s="1485" t="str">
        <f>+'SUMINISTRO RP'!D81</f>
        <v>Caja Registro de Concreto para Puesta a Tierra 0,50 x 0,50 x 0,45 m</v>
      </c>
      <c r="E81" s="1485"/>
      <c r="F81" s="1486"/>
      <c r="G81" s="1465" t="str">
        <f>+'SUMINISTRO RP'!G81</f>
        <v>u</v>
      </c>
      <c r="H81" s="1501">
        <f>+'SUMINISTRO RP'!H81</f>
        <v>49</v>
      </c>
      <c r="I81" s="1502">
        <v>23.88</v>
      </c>
      <c r="J81" s="1536">
        <f t="shared" si="19"/>
        <v>1170.1199999999999</v>
      </c>
      <c r="K81" s="616"/>
      <c r="L81" s="1735"/>
      <c r="M81" s="1735"/>
      <c r="N81" s="326"/>
      <c r="O81" s="616"/>
      <c r="P81" s="616"/>
      <c r="Q81" s="616"/>
      <c r="R81" s="616"/>
      <c r="T81" s="570"/>
      <c r="U81" s="1406"/>
      <c r="W81" s="1407"/>
      <c r="X81" s="1362"/>
    </row>
    <row r="82" spans="2:24" ht="16.5">
      <c r="B82" s="1535">
        <f t="shared" si="18"/>
        <v>12.03</v>
      </c>
      <c r="C82" s="1553"/>
      <c r="D82" s="1485" t="str">
        <f>+'SUMINISTRO RP'!D82</f>
        <v>Plancha Doblada de Cobre para toma a Tierra de Espigas y/o Pernos</v>
      </c>
      <c r="E82" s="1485"/>
      <c r="F82" s="1486"/>
      <c r="G82" s="1465" t="str">
        <f>+'SUMINISTRO RP'!G82</f>
        <v>u</v>
      </c>
      <c r="H82" s="1501">
        <f>+'SUMINISTRO RP'!H82</f>
        <v>72</v>
      </c>
      <c r="I82" s="1502">
        <v>7.0000000000000007E-2</v>
      </c>
      <c r="J82" s="1536">
        <f t="shared" si="19"/>
        <v>5.04</v>
      </c>
      <c r="K82" s="616"/>
      <c r="L82" s="1735"/>
      <c r="M82" s="1735"/>
      <c r="N82" s="326"/>
      <c r="O82" s="616"/>
      <c r="P82" s="616"/>
      <c r="Q82" s="616"/>
      <c r="R82" s="616"/>
      <c r="T82" s="570"/>
      <c r="U82" s="1406"/>
      <c r="W82" s="1407"/>
      <c r="X82" s="1362"/>
    </row>
    <row r="83" spans="2:24" ht="16.5">
      <c r="B83" s="1535">
        <f t="shared" si="18"/>
        <v>12.04</v>
      </c>
      <c r="C83" s="1553"/>
      <c r="D83" s="1485" t="str">
        <f>+'SUMINISTRO RP'!D83</f>
        <v>Conector de Bronce para Electrodo de 16 mm ø y Cable de Acero con Recubrimiento Metalúrgico de Cobre de 4 AWG (21,15 mm2)</v>
      </c>
      <c r="E83" s="1869"/>
      <c r="F83" s="1870"/>
      <c r="G83" s="1465" t="str">
        <f>+'SUMINISTRO RP'!G83</f>
        <v>u</v>
      </c>
      <c r="H83" s="1501">
        <f>+'SUMINISTRO RP'!H83</f>
        <v>49</v>
      </c>
      <c r="I83" s="1502">
        <v>0.24</v>
      </c>
      <c r="J83" s="1536">
        <f t="shared" si="19"/>
        <v>11.76</v>
      </c>
      <c r="K83" s="616"/>
      <c r="L83" s="1735"/>
      <c r="M83" s="1735"/>
      <c r="N83" s="326"/>
      <c r="O83" s="616"/>
      <c r="P83" s="616"/>
      <c r="Q83" s="616"/>
      <c r="R83" s="616"/>
      <c r="T83" s="570"/>
      <c r="U83" s="1406"/>
      <c r="W83" s="1407"/>
      <c r="X83" s="1362"/>
    </row>
    <row r="84" spans="2:24" ht="16.5">
      <c r="B84" s="1535">
        <f t="shared" si="18"/>
        <v>12.049999999999999</v>
      </c>
      <c r="C84" s="1553"/>
      <c r="D84" s="1485" t="str">
        <f>+'SUMINISTRO RP'!D84</f>
        <v>Conector de Cobre tipo Perno Partido para Cable de Acero con Recubrimiento Metalúrgico de Cobre de 4 AWG (21,15 mm2)</v>
      </c>
      <c r="E84" s="1869"/>
      <c r="F84" s="1870"/>
      <c r="G84" s="1465" t="str">
        <f>+'SUMINISTRO RP'!G84</f>
        <v>u</v>
      </c>
      <c r="H84" s="1501">
        <f>+'SUMINISTRO RP'!H84</f>
        <v>150</v>
      </c>
      <c r="I84" s="1502">
        <v>0.16</v>
      </c>
      <c r="J84" s="1536">
        <f t="shared" si="19"/>
        <v>24</v>
      </c>
      <c r="K84" s="616"/>
      <c r="L84" s="1735"/>
      <c r="M84" s="1735"/>
      <c r="N84" s="326"/>
      <c r="O84" s="616"/>
      <c r="P84" s="616"/>
      <c r="Q84" s="616"/>
      <c r="R84" s="616"/>
      <c r="T84" s="570"/>
      <c r="U84" s="1406"/>
      <c r="W84" s="1407"/>
      <c r="X84" s="1362"/>
    </row>
    <row r="85" spans="2:24" ht="16.5">
      <c r="B85" s="1535">
        <f t="shared" si="18"/>
        <v>12.059999999999999</v>
      </c>
      <c r="C85" s="1553"/>
      <c r="D85" s="1485" t="str">
        <f>+'SUMINISTRO RP'!D85</f>
        <v>Grapa en "U" para fijar conductor de PAT a Madera</v>
      </c>
      <c r="E85" s="1485"/>
      <c r="F85" s="1486"/>
      <c r="G85" s="1465" t="str">
        <f>+'SUMINISTRO RP'!G85</f>
        <v>u</v>
      </c>
      <c r="H85" s="1501">
        <f>+'SUMINISTRO RP'!H85</f>
        <v>140</v>
      </c>
      <c r="I85" s="1501">
        <v>0.05</v>
      </c>
      <c r="J85" s="1536">
        <f t="shared" si="19"/>
        <v>7</v>
      </c>
      <c r="K85" s="616"/>
      <c r="L85" s="1735"/>
      <c r="M85" s="1735"/>
      <c r="N85" s="326"/>
      <c r="O85" s="616"/>
      <c r="P85" s="616"/>
      <c r="Q85" s="616"/>
      <c r="R85" s="616"/>
      <c r="S85" s="324"/>
      <c r="T85" s="570"/>
      <c r="U85" s="1406"/>
      <c r="W85" s="1407"/>
      <c r="X85" s="1362"/>
    </row>
    <row r="86" spans="2:24" ht="16.5">
      <c r="B86" s="1535">
        <f t="shared" si="18"/>
        <v>12.069999999999999</v>
      </c>
      <c r="C86" s="1553"/>
      <c r="D86" s="1485" t="str">
        <f>+'SUMINISTRO RP'!D86</f>
        <v>Tubo Plastico de PVC SAP de 19 mm ø x 0,5 m ( incluye curva de plastico de 19 mm ø x 90º)</v>
      </c>
      <c r="E86" s="1485"/>
      <c r="F86" s="1486"/>
      <c r="G86" s="1465" t="str">
        <f>+'SUMINISTRO RP'!G86</f>
        <v>u</v>
      </c>
      <c r="H86" s="1501">
        <f>+'SUMINISTRO RP'!H86</f>
        <v>34</v>
      </c>
      <c r="I86" s="1501">
        <v>0.12</v>
      </c>
      <c r="J86" s="1536">
        <f t="shared" si="19"/>
        <v>4.08</v>
      </c>
      <c r="K86" s="616"/>
      <c r="L86" s="1735"/>
      <c r="M86" s="1735"/>
      <c r="N86" s="326"/>
      <c r="O86" s="616"/>
      <c r="P86" s="616"/>
      <c r="Q86" s="616"/>
      <c r="R86" s="616"/>
      <c r="S86" s="324"/>
      <c r="T86" s="570"/>
      <c r="U86" s="1406"/>
      <c r="W86" s="1407"/>
      <c r="X86" s="1362"/>
    </row>
    <row r="87" spans="2:24" ht="16.5">
      <c r="B87" s="1535">
        <f t="shared" si="18"/>
        <v>12.079999999999998</v>
      </c>
      <c r="C87" s="1553"/>
      <c r="D87" s="1485" t="str">
        <f>+'SUMINISTRO RP'!D87</f>
        <v>Placa de Señalización de Poste (Puesta a Tierra)</v>
      </c>
      <c r="E87" s="1442"/>
      <c r="F87" s="1487"/>
      <c r="G87" s="1465" t="str">
        <f>+'SUMINISTRO RP'!G87</f>
        <v>u</v>
      </c>
      <c r="H87" s="1501">
        <f>+'SUMINISTRO RP'!H87</f>
        <v>2</v>
      </c>
      <c r="I87" s="1502">
        <v>0.16</v>
      </c>
      <c r="J87" s="1536">
        <f t="shared" si="19"/>
        <v>0.32</v>
      </c>
      <c r="K87" s="616"/>
      <c r="L87" s="1735"/>
      <c r="M87" s="1735"/>
      <c r="N87" s="326"/>
      <c r="O87" s="616"/>
      <c r="P87" s="616"/>
      <c r="Q87" s="616"/>
      <c r="R87" s="616"/>
      <c r="T87" s="570"/>
      <c r="U87" s="1406"/>
      <c r="W87" s="1407"/>
      <c r="X87" s="1362"/>
    </row>
    <row r="88" spans="2:24" ht="16.5">
      <c r="B88" s="1535">
        <f t="shared" si="18"/>
        <v>12.089999999999998</v>
      </c>
      <c r="C88" s="1553"/>
      <c r="D88" s="1485" t="str">
        <f>+'SUMINISTRO RP'!D88</f>
        <v>Plantilla para Señalización de Poste (Puesta a Tierra)</v>
      </c>
      <c r="E88" s="1442"/>
      <c r="F88" s="1487"/>
      <c r="G88" s="1547" t="str">
        <f>+'SUMINISTRO RP'!G88</f>
        <v>u</v>
      </c>
      <c r="H88" s="1657">
        <f>+'SUMINISTRO RP'!H88</f>
        <v>34</v>
      </c>
      <c r="I88" s="1502">
        <v>0.12</v>
      </c>
      <c r="J88" s="1467">
        <f t="shared" si="19"/>
        <v>4.08</v>
      </c>
      <c r="K88" s="616"/>
      <c r="L88" s="1735"/>
      <c r="M88" s="1735"/>
      <c r="N88" s="326"/>
      <c r="O88" s="616"/>
      <c r="P88" s="616"/>
      <c r="Q88" s="616"/>
      <c r="R88" s="616"/>
      <c r="T88" s="570"/>
      <c r="U88" s="1406"/>
      <c r="W88" s="1407"/>
      <c r="X88" s="1362"/>
    </row>
    <row r="89" spans="2:24" ht="16.5">
      <c r="B89" s="1464"/>
      <c r="C89" s="1553"/>
      <c r="D89" s="1442"/>
      <c r="E89" s="1442"/>
      <c r="F89" s="1554" t="str">
        <f>+"SUB-TOTAL   "&amp;B79&amp;":  "</f>
        <v xml:space="preserve">SUB-TOTAL   12:  </v>
      </c>
      <c r="G89" s="1465"/>
      <c r="H89" s="1501"/>
      <c r="I89" s="1565"/>
      <c r="J89" s="1539">
        <f>+SUM(J80:J88)</f>
        <v>1353.3099999999997</v>
      </c>
      <c r="K89" s="616"/>
      <c r="L89" s="1735"/>
      <c r="M89" s="1735"/>
      <c r="N89" s="326"/>
      <c r="O89" s="616"/>
      <c r="P89" s="616"/>
      <c r="Q89" s="616"/>
      <c r="R89" s="616"/>
      <c r="T89" s="570"/>
      <c r="X89" s="1362"/>
    </row>
    <row r="90" spans="2:24" ht="16.5">
      <c r="B90" s="1534">
        <f>B79+1</f>
        <v>13</v>
      </c>
      <c r="C90" s="1553"/>
      <c r="D90" s="1484" t="s">
        <v>279</v>
      </c>
      <c r="E90" s="1442"/>
      <c r="F90" s="1487"/>
      <c r="G90" s="1465"/>
      <c r="H90" s="1501"/>
      <c r="I90" s="1501"/>
      <c r="J90" s="1536"/>
      <c r="K90" s="616"/>
      <c r="L90" s="1735"/>
      <c r="M90" s="1735"/>
      <c r="N90" s="326"/>
      <c r="O90" s="616"/>
      <c r="P90" s="616"/>
      <c r="Q90" s="616"/>
      <c r="R90" s="616"/>
      <c r="T90" s="570"/>
      <c r="X90" s="1362"/>
    </row>
    <row r="91" spans="2:24" ht="16.5">
      <c r="B91" s="1535">
        <f>+B90+0.01</f>
        <v>13.01</v>
      </c>
      <c r="C91" s="1553"/>
      <c r="D91" s="1485" t="str">
        <f>+'SUMINISTRO RP'!D91</f>
        <v>Seccionador Fusible Unipolar Tipo Expulsion (Cut-Out) de 27/38 kV, 100A, 150 kV-BIL.</v>
      </c>
      <c r="E91" s="1442"/>
      <c r="F91" s="1487"/>
      <c r="G91" s="1465" t="str">
        <f>+'SUMINISTRO RP'!G91</f>
        <v>u</v>
      </c>
      <c r="H91" s="1501">
        <f>+'SUMINISTRO RP'!H91</f>
        <v>23</v>
      </c>
      <c r="I91" s="1501">
        <v>8.4700000000000006</v>
      </c>
      <c r="J91" s="1536">
        <f t="shared" ref="J91:J93" si="20">+ROUND(I91*H91,2)</f>
        <v>194.81</v>
      </c>
      <c r="K91" s="616"/>
      <c r="L91" s="1735"/>
      <c r="M91" s="1735"/>
      <c r="N91" s="326"/>
      <c r="O91" s="616"/>
      <c r="P91" s="616"/>
      <c r="Q91" s="616"/>
      <c r="R91" s="616"/>
      <c r="T91" s="570"/>
      <c r="U91" s="1406"/>
      <c r="W91" s="1407"/>
      <c r="X91" s="1362"/>
    </row>
    <row r="92" spans="2:24" ht="16.5">
      <c r="B92" s="1535">
        <f t="shared" ref="B92:B93" si="21">+B91+0.01</f>
        <v>13.02</v>
      </c>
      <c r="C92" s="1553"/>
      <c r="D92" s="1485" t="str">
        <f>+'SUMINISTRO RP'!D92</f>
        <v>Fusible Tipo Expulsion de 2 A, Tipo K</v>
      </c>
      <c r="E92" s="1442"/>
      <c r="F92" s="1487"/>
      <c r="G92" s="1465" t="str">
        <f>+'SUMINISTRO RP'!G92</f>
        <v>u</v>
      </c>
      <c r="H92" s="1501">
        <f>+'SUMINISTRO RP'!H92</f>
        <v>23</v>
      </c>
      <c r="I92" s="1501">
        <v>0.12</v>
      </c>
      <c r="J92" s="1536">
        <f t="shared" si="20"/>
        <v>2.76</v>
      </c>
      <c r="K92" s="616"/>
      <c r="L92" s="1735"/>
      <c r="M92" s="1735"/>
      <c r="N92" s="326"/>
      <c r="O92" s="616"/>
      <c r="P92" s="616"/>
      <c r="Q92" s="616"/>
      <c r="R92" s="616"/>
      <c r="S92" s="324"/>
      <c r="T92" s="570"/>
      <c r="U92" s="1406"/>
      <c r="W92" s="1407"/>
      <c r="X92" s="1362"/>
    </row>
    <row r="93" spans="2:24" ht="16.5">
      <c r="B93" s="1535">
        <f t="shared" si="21"/>
        <v>13.03</v>
      </c>
      <c r="C93" s="1553"/>
      <c r="D93" s="1485" t="str">
        <f>+'SUMINISTRO RP'!D93</f>
        <v>Pararrayos de Oxido Metalico, 21 kV, 10 KA Clase 1</v>
      </c>
      <c r="E93" s="1442"/>
      <c r="F93" s="1487"/>
      <c r="G93" s="1547" t="str">
        <f>+'SUMINISTRO RP'!G93</f>
        <v>u</v>
      </c>
      <c r="H93" s="1657">
        <f>+'SUMINISTRO RP'!H93</f>
        <v>23</v>
      </c>
      <c r="I93" s="1502">
        <v>3.18</v>
      </c>
      <c r="J93" s="1536">
        <f t="shared" si="20"/>
        <v>73.14</v>
      </c>
      <c r="K93" s="616"/>
      <c r="L93" s="1735"/>
      <c r="M93" s="1735"/>
      <c r="N93" s="326"/>
      <c r="O93" s="616"/>
      <c r="P93" s="616"/>
      <c r="Q93" s="616"/>
      <c r="R93" s="616"/>
      <c r="S93" s="324"/>
      <c r="T93" s="570"/>
      <c r="U93" s="1406"/>
      <c r="W93" s="1407"/>
      <c r="X93" s="1362"/>
    </row>
    <row r="94" spans="2:24" ht="16.5">
      <c r="B94" s="1464"/>
      <c r="C94" s="1553"/>
      <c r="D94" s="1442"/>
      <c r="E94" s="1442"/>
      <c r="F94" s="1554" t="str">
        <f>+"SUB-TOTAL   "&amp;B90&amp;":  "</f>
        <v xml:space="preserve">SUB-TOTAL   13:  </v>
      </c>
      <c r="G94" s="1465"/>
      <c r="H94" s="1501"/>
      <c r="I94" s="1565"/>
      <c r="J94" s="1539">
        <f>+SUM(J91:J93)</f>
        <v>270.70999999999998</v>
      </c>
      <c r="K94" s="616"/>
      <c r="L94" s="1735"/>
      <c r="M94" s="1735"/>
      <c r="N94" s="326"/>
      <c r="O94" s="616"/>
      <c r="P94" s="616"/>
      <c r="Q94" s="616"/>
      <c r="R94" s="616"/>
      <c r="S94" s="324"/>
      <c r="T94" s="570"/>
      <c r="X94" s="1362"/>
    </row>
    <row r="95" spans="2:24" ht="16.5">
      <c r="B95" s="1648">
        <f>1+B90</f>
        <v>14</v>
      </c>
      <c r="C95" s="1649"/>
      <c r="D95" s="1650" t="s">
        <v>542</v>
      </c>
      <c r="E95" s="1651"/>
      <c r="F95" s="1652"/>
      <c r="G95" s="1465"/>
      <c r="H95" s="1501"/>
      <c r="I95" s="1659"/>
      <c r="J95" s="1653"/>
      <c r="K95" s="616"/>
      <c r="L95" s="1735"/>
      <c r="M95" s="1735"/>
      <c r="N95" s="326"/>
      <c r="O95" s="616"/>
      <c r="P95" s="616"/>
      <c r="Q95" s="616"/>
      <c r="R95" s="616"/>
      <c r="S95" s="324"/>
      <c r="T95" s="570"/>
      <c r="X95" s="1362"/>
    </row>
    <row r="96" spans="2:24" ht="16.5">
      <c r="B96" s="1535">
        <f>+B95+0.01</f>
        <v>14.01</v>
      </c>
      <c r="C96" s="1553"/>
      <c r="D96" s="1485" t="str">
        <f>+'SUMINISTRO RP'!D96</f>
        <v>Transformador Monofásico Fase - Neutro de 5 kVA; 13,2 / 0,46-0,23 kV</v>
      </c>
      <c r="E96" s="1442"/>
      <c r="F96" s="1487"/>
      <c r="G96" s="1465" t="str">
        <f>+'SUMINISTRO RP'!G96</f>
        <v>u</v>
      </c>
      <c r="H96" s="1501">
        <f>+'SUMINISTRO RP'!H96</f>
        <v>13</v>
      </c>
      <c r="I96" s="1660">
        <v>244.19</v>
      </c>
      <c r="J96" s="1536">
        <f t="shared" ref="J96:J97" si="22">+ROUND(I96*H96,2)</f>
        <v>3174.47</v>
      </c>
      <c r="K96" s="616"/>
      <c r="L96" s="1735"/>
      <c r="M96" s="1735"/>
      <c r="N96" s="326"/>
      <c r="O96" s="616"/>
      <c r="P96" s="616"/>
      <c r="Q96" s="616"/>
      <c r="R96" s="616"/>
      <c r="S96" s="324"/>
      <c r="T96" s="570"/>
      <c r="U96" s="1406"/>
      <c r="W96" s="1407"/>
      <c r="X96" s="1362"/>
    </row>
    <row r="97" spans="2:24" ht="16.5">
      <c r="B97" s="1535">
        <f t="shared" ref="B97:B98" si="23">+B96+0.01</f>
        <v>14.02</v>
      </c>
      <c r="C97" s="1553"/>
      <c r="D97" s="1485" t="str">
        <f>+'SUMINISTRO RP'!D97</f>
        <v>Transformador Monofásico Fase - Fase de 5 kVA; 13,8 / 0,46-0,23 kV</v>
      </c>
      <c r="E97" s="1442"/>
      <c r="F97" s="1487"/>
      <c r="G97" s="1465" t="str">
        <f>+'SUMINISTRO RP'!G97</f>
        <v>u</v>
      </c>
      <c r="H97" s="1501">
        <f>+'SUMINISTRO RP'!H97</f>
        <v>3</v>
      </c>
      <c r="I97" s="1660">
        <v>253.96</v>
      </c>
      <c r="J97" s="1536">
        <f t="shared" si="22"/>
        <v>761.88</v>
      </c>
      <c r="K97" s="616"/>
      <c r="L97" s="1735"/>
      <c r="M97" s="1735"/>
      <c r="N97" s="326"/>
      <c r="O97" s="616"/>
      <c r="P97" s="616"/>
      <c r="Q97" s="616"/>
      <c r="R97" s="616"/>
      <c r="T97" s="570"/>
      <c r="U97" s="1406"/>
      <c r="W97" s="1407"/>
      <c r="X97" s="1362"/>
    </row>
    <row r="98" spans="2:24" ht="16.5">
      <c r="B98" s="1535">
        <f t="shared" si="23"/>
        <v>14.03</v>
      </c>
      <c r="C98" s="1553"/>
      <c r="D98" s="1485" t="str">
        <f>+'SUMINISTRO RP'!D98</f>
        <v>Transformador Monofásico Fase - Fase de 10 kVA; 13,8 / 0,46-0,23 kV</v>
      </c>
      <c r="E98" s="1442"/>
      <c r="F98" s="1487"/>
      <c r="G98" s="1547" t="str">
        <f>+'SUMINISTRO RP'!G98</f>
        <v>u</v>
      </c>
      <c r="H98" s="1657">
        <f>+'SUMINISTRO RP'!H98</f>
        <v>2</v>
      </c>
      <c r="I98" s="1660">
        <v>264.52999999999997</v>
      </c>
      <c r="J98" s="1536">
        <f>+ROUND(I98*H98,2)</f>
        <v>529.05999999999995</v>
      </c>
      <c r="K98" s="616"/>
      <c r="L98" s="1735"/>
      <c r="M98" s="1735"/>
      <c r="N98" s="326"/>
      <c r="O98" s="616"/>
      <c r="P98" s="616"/>
      <c r="Q98" s="616"/>
      <c r="R98" s="616"/>
      <c r="T98" s="570"/>
      <c r="U98" s="1406"/>
      <c r="W98" s="1407"/>
      <c r="X98" s="1362"/>
    </row>
    <row r="99" spans="2:24" ht="16.5">
      <c r="B99" s="1464"/>
      <c r="C99" s="1553"/>
      <c r="D99" s="1442"/>
      <c r="E99" s="1442"/>
      <c r="F99" s="1554" t="str">
        <f>+"SUB-TOTAL   "&amp;B95&amp;":  "</f>
        <v xml:space="preserve">SUB-TOTAL   14:  </v>
      </c>
      <c r="G99" s="1465"/>
      <c r="H99" s="1501"/>
      <c r="I99" s="1565"/>
      <c r="J99" s="1539">
        <f>+SUM(J95:J98)</f>
        <v>4465.41</v>
      </c>
      <c r="K99" s="616"/>
      <c r="L99" s="1735"/>
      <c r="M99" s="1735"/>
      <c r="N99" s="326"/>
      <c r="O99" s="616"/>
      <c r="P99" s="616"/>
      <c r="Q99" s="616"/>
      <c r="R99" s="616"/>
      <c r="T99" s="570"/>
      <c r="X99" s="1362"/>
    </row>
    <row r="100" spans="2:24" ht="16.5">
      <c r="B100" s="1648">
        <f>1+B95</f>
        <v>15</v>
      </c>
      <c r="C100" s="1649"/>
      <c r="D100" s="1650" t="s">
        <v>21</v>
      </c>
      <c r="E100" s="1651"/>
      <c r="F100" s="1652"/>
      <c r="G100" s="1465"/>
      <c r="H100" s="1501"/>
      <c r="I100" s="1659"/>
      <c r="J100" s="1653"/>
      <c r="K100" s="616"/>
      <c r="L100" s="1735"/>
      <c r="M100" s="1735"/>
      <c r="N100" s="326"/>
      <c r="O100" s="616"/>
      <c r="P100" s="616"/>
      <c r="Q100" s="616"/>
      <c r="R100" s="616"/>
      <c r="T100" s="570"/>
      <c r="X100" s="1362"/>
    </row>
    <row r="101" spans="2:24" ht="16.5">
      <c r="B101" s="1654">
        <f>0.01+B100</f>
        <v>15.01</v>
      </c>
      <c r="C101" s="1649"/>
      <c r="D101" s="1485" t="str">
        <f>+'SUMINISTRO RP'!D101</f>
        <v>Tableros de Distribución Completa para S.E. Monofásica de 5 kVA; 440-220V</v>
      </c>
      <c r="E101" s="1651"/>
      <c r="F101" s="1652"/>
      <c r="G101" s="1465" t="str">
        <f>+'SUMINISTRO RP'!G101</f>
        <v>u</v>
      </c>
      <c r="H101" s="1501">
        <f>+'SUMINISTRO RP'!H101</f>
        <v>16</v>
      </c>
      <c r="I101" s="1659">
        <v>35.28</v>
      </c>
      <c r="J101" s="1536">
        <f t="shared" ref="J101:J102" si="24">+ROUND(I101*H101,2)</f>
        <v>564.48</v>
      </c>
      <c r="K101" s="616"/>
      <c r="L101" s="1735"/>
      <c r="M101" s="1735"/>
      <c r="N101" s="326"/>
      <c r="O101" s="616"/>
      <c r="P101" s="616"/>
      <c r="Q101" s="616"/>
      <c r="R101" s="616"/>
      <c r="T101" s="570"/>
      <c r="U101" s="1406"/>
      <c r="W101" s="1407"/>
      <c r="X101" s="1362"/>
    </row>
    <row r="102" spans="2:24" ht="16.5">
      <c r="B102" s="1654">
        <f t="shared" ref="B102" si="25">0.01+B101</f>
        <v>15.02</v>
      </c>
      <c r="C102" s="1649"/>
      <c r="D102" s="1485" t="str">
        <f>+'SUMINISTRO RP'!D102</f>
        <v>Tableros de Distribución Completa para S.E. Monofásica de 10 kVA; 440-220V</v>
      </c>
      <c r="E102" s="1651"/>
      <c r="F102" s="1652"/>
      <c r="G102" s="1547" t="str">
        <f>+'SUMINISTRO RP'!G102</f>
        <v>u</v>
      </c>
      <c r="H102" s="1657">
        <f>+'SUMINISTRO RP'!H102</f>
        <v>2</v>
      </c>
      <c r="I102" s="1659">
        <v>39.68</v>
      </c>
      <c r="J102" s="1536">
        <f t="shared" si="24"/>
        <v>79.36</v>
      </c>
      <c r="K102" s="616"/>
      <c r="L102" s="1735"/>
      <c r="M102" s="1735"/>
      <c r="N102" s="326"/>
      <c r="O102" s="616"/>
      <c r="P102" s="616"/>
      <c r="Q102" s="616"/>
      <c r="R102" s="616"/>
      <c r="T102" s="570"/>
      <c r="U102" s="1406"/>
      <c r="W102" s="1407"/>
      <c r="X102" s="1362"/>
    </row>
    <row r="103" spans="2:24" ht="16.5">
      <c r="B103" s="1464"/>
      <c r="C103" s="1553"/>
      <c r="D103" s="1442"/>
      <c r="E103" s="1442"/>
      <c r="F103" s="1554" t="str">
        <f>+"SUB-TOTAL   "&amp;B100&amp;":  "</f>
        <v xml:space="preserve">SUB-TOTAL   15:  </v>
      </c>
      <c r="G103" s="1465"/>
      <c r="H103" s="1501"/>
      <c r="I103" s="1565"/>
      <c r="J103" s="1539">
        <f>+SUM(J100:J102)</f>
        <v>643.84</v>
      </c>
      <c r="K103" s="616"/>
      <c r="L103" s="1735"/>
      <c r="M103" s="1735"/>
      <c r="N103" s="326"/>
      <c r="O103" s="616"/>
      <c r="P103" s="616"/>
      <c r="Q103" s="616"/>
      <c r="R103" s="616"/>
      <c r="T103" s="570"/>
      <c r="X103" s="1362"/>
    </row>
    <row r="104" spans="2:24" ht="16.5">
      <c r="B104" s="1648">
        <f>B100+1</f>
        <v>16</v>
      </c>
      <c r="C104" s="1649"/>
      <c r="D104" s="1650" t="s">
        <v>273</v>
      </c>
      <c r="E104" s="1651"/>
      <c r="F104" s="1652"/>
      <c r="G104" s="1465"/>
      <c r="H104" s="1501"/>
      <c r="I104" s="1659"/>
      <c r="J104" s="1653"/>
      <c r="K104" s="616"/>
      <c r="L104" s="1735"/>
      <c r="M104" s="1735"/>
      <c r="N104" s="326"/>
      <c r="O104" s="616"/>
      <c r="P104" s="616"/>
      <c r="Q104" s="616"/>
      <c r="R104" s="616"/>
      <c r="T104" s="570"/>
      <c r="X104" s="1362"/>
    </row>
    <row r="105" spans="2:24" ht="16.5">
      <c r="B105" s="1535">
        <f t="shared" ref="B105:B106" si="26">+B104+0.01</f>
        <v>16.010000000000002</v>
      </c>
      <c r="C105" s="1649"/>
      <c r="D105" s="1485" t="str">
        <f>+'SUMINISTRO RP'!D105</f>
        <v>Cable NYY, 1 kV, 1 x 16 mm²</v>
      </c>
      <c r="E105" s="1651"/>
      <c r="F105" s="1652"/>
      <c r="G105" s="1465" t="str">
        <f>+'SUMINISTRO RP'!G105</f>
        <v>m</v>
      </c>
      <c r="H105" s="1501">
        <f>+'SUMINISTRO RP'!H105</f>
        <v>90</v>
      </c>
      <c r="I105" s="1502">
        <v>0.2</v>
      </c>
      <c r="J105" s="1653">
        <f t="shared" ref="J105:J106" si="27">+ROUND(I105*H105,2)</f>
        <v>18</v>
      </c>
      <c r="K105" s="616"/>
      <c r="L105" s="1735"/>
      <c r="M105" s="1735"/>
      <c r="N105" s="326"/>
      <c r="O105" s="616"/>
      <c r="P105" s="616"/>
      <c r="Q105" s="616"/>
      <c r="R105" s="616"/>
      <c r="T105" s="570"/>
      <c r="U105" s="1406"/>
      <c r="W105" s="1407"/>
      <c r="X105" s="1362"/>
    </row>
    <row r="106" spans="2:24" ht="16.5">
      <c r="B106" s="1535">
        <f t="shared" si="26"/>
        <v>16.020000000000003</v>
      </c>
      <c r="C106" s="1649"/>
      <c r="D106" s="1485" t="str">
        <f>+'SUMINISTRO RP'!D106</f>
        <v>Cable NYY, 1 kV, 1 x 25 mm²</v>
      </c>
      <c r="E106" s="1651"/>
      <c r="F106" s="1652"/>
      <c r="G106" s="1465" t="str">
        <f>+'SUMINISTRO RP'!G106</f>
        <v>m</v>
      </c>
      <c r="H106" s="1501">
        <f>+'SUMINISTRO RP'!H106</f>
        <v>180</v>
      </c>
      <c r="I106" s="1502">
        <v>0.28999999999999998</v>
      </c>
      <c r="J106" s="1653">
        <f t="shared" si="27"/>
        <v>52.2</v>
      </c>
      <c r="K106" s="616"/>
      <c r="L106" s="1735"/>
      <c r="M106" s="1735"/>
      <c r="N106" s="326"/>
      <c r="O106" s="616"/>
      <c r="P106" s="616"/>
      <c r="Q106" s="616"/>
      <c r="R106" s="616"/>
      <c r="T106" s="570"/>
      <c r="U106" s="1406"/>
      <c r="W106" s="1407"/>
      <c r="X106" s="1362"/>
    </row>
    <row r="107" spans="2:24" ht="16.5">
      <c r="B107" s="1464"/>
      <c r="C107" s="1553"/>
      <c r="D107" s="1442"/>
      <c r="E107" s="1442"/>
      <c r="F107" s="1554" t="str">
        <f>+"SUB-TOTAL   "&amp;B104&amp;":  "</f>
        <v xml:space="preserve">SUB-TOTAL   16:  </v>
      </c>
      <c r="G107" s="1537"/>
      <c r="H107" s="1565"/>
      <c r="I107" s="1565"/>
      <c r="J107" s="1539">
        <f>+SUM(J104:J106)</f>
        <v>70.2</v>
      </c>
      <c r="K107" s="616"/>
      <c r="L107" s="1735"/>
      <c r="M107" s="1735"/>
      <c r="N107" s="326"/>
      <c r="O107" s="616"/>
      <c r="P107" s="616"/>
      <c r="Q107" s="616"/>
      <c r="R107" s="616"/>
      <c r="T107" s="570"/>
      <c r="X107" s="1362"/>
    </row>
    <row r="108" spans="2:24" ht="16.5">
      <c r="B108" s="1464"/>
      <c r="C108" s="1553"/>
      <c r="D108" s="1442"/>
      <c r="E108" s="1442"/>
      <c r="F108" s="1487"/>
      <c r="G108" s="1465"/>
      <c r="H108" s="1466"/>
      <c r="I108" s="1466"/>
      <c r="J108" s="1536"/>
    </row>
    <row r="109" spans="2:24" ht="21" customHeight="1">
      <c r="B109" s="1655"/>
      <c r="C109" s="1559"/>
      <c r="D109" s="1561" t="s">
        <v>374</v>
      </c>
      <c r="E109" s="1560"/>
      <c r="F109" s="1560"/>
      <c r="G109" s="1562"/>
      <c r="H109" s="1563"/>
      <c r="I109" s="1500"/>
      <c r="J109" s="1544">
        <f>+ROUND(SUM(J9:J108)/2,2)</f>
        <v>16212.19</v>
      </c>
      <c r="O109" s="325"/>
      <c r="P109" s="325"/>
      <c r="Q109" s="325"/>
      <c r="R109" s="325"/>
      <c r="S109" s="510"/>
    </row>
    <row r="110" spans="2:24" ht="14.25">
      <c r="B110" s="511"/>
      <c r="C110" s="512"/>
      <c r="D110" s="512"/>
    </row>
    <row r="111" spans="2:24" ht="14.25">
      <c r="B111" s="512"/>
      <c r="C111" s="512"/>
      <c r="D111" s="512"/>
      <c r="G111" s="1734"/>
      <c r="H111" s="1725"/>
      <c r="I111" s="1725"/>
      <c r="J111" s="1737"/>
      <c r="K111" s="1736"/>
    </row>
    <row r="112" spans="2:24">
      <c r="G112" s="1734"/>
      <c r="H112" s="1725"/>
      <c r="I112" s="1725" t="b">
        <f>+SUM(H9:H106)=SUM('SUMINISTRO RP'!H10:H106)</f>
        <v>1</v>
      </c>
      <c r="J112" s="1738">
        <f>+J107+J103+J94+J89+J78+J65+J48+J39+J36+J32+J26+J21+J18+J12+J99+J45</f>
        <v>16212.189999999997</v>
      </c>
      <c r="K112" s="1736"/>
    </row>
    <row r="113" spans="7:11">
      <c r="G113" s="1734"/>
      <c r="H113" s="1725"/>
      <c r="I113" s="1725"/>
      <c r="J113" s="1739" t="b">
        <f>J112=J109</f>
        <v>1</v>
      </c>
      <c r="K113" s="1736"/>
    </row>
    <row r="114" spans="7:11">
      <c r="G114" s="1734"/>
      <c r="H114" s="1725"/>
      <c r="I114" s="1740"/>
      <c r="J114" s="1737"/>
      <c r="K114" s="1736"/>
    </row>
    <row r="115" spans="7:11">
      <c r="G115" s="1734"/>
      <c r="H115" s="1725"/>
      <c r="I115" s="1725"/>
      <c r="J115" s="1736"/>
      <c r="K115" s="1736"/>
    </row>
    <row r="116" spans="7:11">
      <c r="G116" s="1734"/>
      <c r="H116" s="1725"/>
      <c r="I116" s="1725"/>
      <c r="J116" s="1736"/>
      <c r="K116" s="1736"/>
    </row>
    <row r="117" spans="7:11">
      <c r="G117" s="1734"/>
      <c r="H117" s="1725"/>
      <c r="I117" s="1725"/>
      <c r="J117" s="1736"/>
      <c r="K117" s="1736"/>
    </row>
  </sheetData>
  <mergeCells count="1">
    <mergeCell ref="C7:F7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5" orientation="portrait" r:id="rId1"/>
  <rowBreaks count="1" manualBreakCount="1">
    <brk id="60" min="1" max="9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2:O48"/>
  <sheetViews>
    <sheetView workbookViewId="0"/>
  </sheetViews>
  <sheetFormatPr baseColWidth="10" defaultColWidth="9.33203125" defaultRowHeight="12.75"/>
  <sheetData>
    <row r="2" spans="2:15">
      <c r="B2" s="536"/>
      <c r="C2" s="537"/>
      <c r="D2" s="537"/>
      <c r="E2" s="537"/>
      <c r="F2" s="537"/>
      <c r="G2" s="537"/>
      <c r="H2" s="537"/>
      <c r="I2" s="537"/>
      <c r="J2" s="538"/>
    </row>
    <row r="3" spans="2:15" ht="26.25">
      <c r="B3" s="488" t="s">
        <v>194</v>
      </c>
      <c r="C3" s="489"/>
      <c r="D3" s="489"/>
      <c r="E3" s="489"/>
      <c r="F3" s="489"/>
      <c r="G3" s="489"/>
      <c r="H3" s="489"/>
      <c r="I3" s="489"/>
      <c r="J3" s="490"/>
    </row>
    <row r="4" spans="2:15" ht="20.25">
      <c r="B4" s="491"/>
      <c r="C4" s="492"/>
      <c r="D4" s="492"/>
      <c r="E4" s="492"/>
      <c r="F4" s="492"/>
      <c r="G4" s="492"/>
      <c r="H4" s="492"/>
      <c r="I4" s="492"/>
      <c r="J4" s="493"/>
    </row>
    <row r="5" spans="2:15">
      <c r="B5" s="365"/>
      <c r="C5" s="366"/>
      <c r="D5" s="366"/>
      <c r="E5" s="366"/>
      <c r="F5" s="366"/>
      <c r="G5" s="366"/>
      <c r="H5" s="366"/>
      <c r="I5" s="366"/>
      <c r="J5" s="367"/>
    </row>
    <row r="6" spans="2:15" ht="18">
      <c r="B6" s="365"/>
      <c r="C6" s="368" t="s">
        <v>123</v>
      </c>
      <c r="D6" s="369"/>
      <c r="E6" s="369"/>
      <c r="F6" s="369"/>
      <c r="G6" s="369"/>
      <c r="H6" s="369"/>
      <c r="I6" s="369"/>
      <c r="J6" s="370"/>
    </row>
    <row r="7" spans="2:15" ht="409.5">
      <c r="B7" s="365"/>
      <c r="C7" s="1880" t="s">
        <v>546</v>
      </c>
      <c r="D7" s="1880"/>
      <c r="E7" s="1880"/>
      <c r="F7" s="1880"/>
      <c r="G7" s="1880"/>
      <c r="H7" s="1880"/>
      <c r="I7" s="1880"/>
      <c r="J7" s="1881"/>
    </row>
    <row r="8" spans="2:15" ht="20.25">
      <c r="B8" s="365"/>
      <c r="C8" s="371"/>
      <c r="D8" s="366"/>
      <c r="E8" s="366"/>
      <c r="F8" s="366"/>
      <c r="G8" s="366"/>
      <c r="H8" s="366"/>
      <c r="I8" s="366"/>
      <c r="J8" s="367"/>
    </row>
    <row r="9" spans="2:15" ht="18">
      <c r="B9" s="365"/>
      <c r="C9" s="372" t="s">
        <v>131</v>
      </c>
      <c r="D9" s="366"/>
      <c r="E9" s="366"/>
      <c r="F9" s="366"/>
      <c r="G9" s="366"/>
      <c r="H9" s="366"/>
      <c r="I9" s="366"/>
      <c r="J9" s="367"/>
    </row>
    <row r="10" spans="2:15" ht="18">
      <c r="B10" s="365"/>
      <c r="C10" s="372" t="s">
        <v>1005</v>
      </c>
      <c r="D10" s="373" t="e">
        <f>+'RESUMEN RP'!F21</f>
        <v>#REF!</v>
      </c>
      <c r="E10" s="366"/>
      <c r="F10" s="366"/>
      <c r="G10" s="555"/>
      <c r="H10" s="555"/>
      <c r="I10" s="366"/>
      <c r="J10" s="374"/>
      <c r="L10" s="1799" t="e">
        <f>D10=SUM(G13:G28)</f>
        <v>#REF!</v>
      </c>
      <c r="M10" s="1801" t="e">
        <f>D10='RESUMEN RP'!F21</f>
        <v>#REF!</v>
      </c>
    </row>
    <row r="11" spans="2:15">
      <c r="B11" s="365"/>
      <c r="C11" s="366"/>
      <c r="D11" s="366"/>
      <c r="E11" s="366"/>
      <c r="F11" s="366"/>
      <c r="G11" s="366"/>
      <c r="H11" s="366"/>
      <c r="I11" s="366"/>
      <c r="J11" s="367"/>
    </row>
    <row r="12" spans="2:15" ht="60">
      <c r="B12" s="494" t="s">
        <v>195</v>
      </c>
      <c r="C12" s="495" t="s">
        <v>24</v>
      </c>
      <c r="D12" s="495" t="s">
        <v>25</v>
      </c>
      <c r="E12" s="495" t="s">
        <v>26</v>
      </c>
      <c r="F12" s="498" t="s">
        <v>387</v>
      </c>
      <c r="G12" s="495" t="s">
        <v>27</v>
      </c>
      <c r="H12" s="495" t="s">
        <v>28</v>
      </c>
      <c r="I12" s="495" t="s">
        <v>29</v>
      </c>
      <c r="J12" s="497" t="s">
        <v>30</v>
      </c>
    </row>
    <row r="13" spans="2:15" ht="15.75">
      <c r="B13" s="377">
        <v>1</v>
      </c>
      <c r="C13" s="378" t="s">
        <v>327</v>
      </c>
      <c r="D13" s="1675" t="s">
        <v>975</v>
      </c>
      <c r="E13" s="379" t="s">
        <v>368</v>
      </c>
      <c r="F13" s="1882" t="s">
        <v>480</v>
      </c>
      <c r="G13" s="1694">
        <f>+'SUMINISTRO RP'!J21</f>
        <v>3729.04</v>
      </c>
      <c r="H13" s="503" t="e">
        <f>ROUND(G13/$D$10,3)</f>
        <v>#REF!</v>
      </c>
      <c r="I13" s="380">
        <f>ROUND(G13/SUM($G$13:$G$20),4)</f>
        <v>4.9700000000000001E-2</v>
      </c>
      <c r="J13" s="381" t="e">
        <f>ROUND(SUM(H13:H20),3)</f>
        <v>#REF!</v>
      </c>
      <c r="K13" s="342"/>
      <c r="L13" s="1021"/>
      <c r="M13" s="344"/>
      <c r="N13" s="338"/>
      <c r="O13" s="1022"/>
    </row>
    <row r="14" spans="2:15" ht="15.75">
      <c r="B14" s="377"/>
      <c r="C14" s="378" t="s">
        <v>973</v>
      </c>
      <c r="D14" s="1675" t="s">
        <v>483</v>
      </c>
      <c r="E14" s="379" t="s">
        <v>974</v>
      </c>
      <c r="F14" s="379"/>
      <c r="G14" s="1694">
        <f>+'SUMINISTRO RP'!J12</f>
        <v>1419.7</v>
      </c>
      <c r="H14" s="503" t="e">
        <f>ROUND(G14/$D$10,3)</f>
        <v>#REF!</v>
      </c>
      <c r="I14" s="380">
        <f>ROUND(G14/SUM($G$13:$G$20),4)</f>
        <v>1.89E-2</v>
      </c>
      <c r="J14" s="381"/>
      <c r="K14" s="342"/>
      <c r="L14" s="1021"/>
      <c r="M14" s="344"/>
      <c r="N14" s="338"/>
      <c r="O14" s="1022"/>
    </row>
    <row r="15" spans="2:15" ht="15.75">
      <c r="B15" s="377"/>
      <c r="C15" s="378" t="s">
        <v>972</v>
      </c>
      <c r="D15" s="1675" t="s">
        <v>976</v>
      </c>
      <c r="E15" s="379" t="s">
        <v>480</v>
      </c>
      <c r="F15" s="379"/>
      <c r="G15" s="1694">
        <f>+'SUMINISTRO RP'!J18</f>
        <v>35601.32</v>
      </c>
      <c r="H15" s="503" t="e">
        <f>ROUND(G15/$D$10,3)</f>
        <v>#REF!</v>
      </c>
      <c r="I15" s="380">
        <f t="shared" ref="I15:I20" si="0">ROUND(G15/SUM($G$13:$G$20),4)</f>
        <v>0.4748</v>
      </c>
      <c r="J15" s="381"/>
      <c r="K15" s="342"/>
      <c r="L15" s="1021"/>
      <c r="M15" s="344"/>
      <c r="N15" s="338"/>
    </row>
    <row r="16" spans="2:15" ht="15">
      <c r="B16" s="377"/>
      <c r="C16" s="378" t="s">
        <v>553</v>
      </c>
      <c r="D16" s="1675" t="s">
        <v>976</v>
      </c>
      <c r="E16" s="379" t="s">
        <v>481</v>
      </c>
      <c r="F16" s="379"/>
      <c r="G16" s="1694">
        <f>+'SUMINISTRO RP'!J26</f>
        <v>7253.5</v>
      </c>
      <c r="H16" s="503" t="e">
        <f>ROUND(G16/$D$10,3)</f>
        <v>#REF!</v>
      </c>
      <c r="I16" s="380">
        <f t="shared" si="0"/>
        <v>9.6699999999999994E-2</v>
      </c>
      <c r="J16" s="382"/>
      <c r="K16" s="342"/>
      <c r="L16" s="1021"/>
    </row>
    <row r="17" spans="2:13" ht="15">
      <c r="B17" s="377"/>
      <c r="C17" s="378" t="s">
        <v>33</v>
      </c>
      <c r="D17" s="531" t="s">
        <v>484</v>
      </c>
      <c r="E17" s="379" t="s">
        <v>271</v>
      </c>
      <c r="F17" s="379"/>
      <c r="G17" s="1694">
        <f>+'SUMINISTRO RP'!J65</f>
        <v>3611.97</v>
      </c>
      <c r="H17" s="503" t="e">
        <f>ROUND(G17/$D$10,3)</f>
        <v>#REF!</v>
      </c>
      <c r="I17" s="380">
        <f t="shared" si="0"/>
        <v>4.82E-2</v>
      </c>
      <c r="J17" s="381"/>
      <c r="K17" s="342"/>
      <c r="L17" s="1021"/>
    </row>
    <row r="18" spans="2:13" ht="15">
      <c r="B18" s="377"/>
      <c r="C18" s="378" t="s">
        <v>277</v>
      </c>
      <c r="D18" s="531" t="s">
        <v>484</v>
      </c>
      <c r="E18" s="379" t="s">
        <v>34</v>
      </c>
      <c r="F18" s="379"/>
      <c r="G18" s="1694">
        <f>+'SUMINISTRO RP'!J78</f>
        <v>3956.28</v>
      </c>
      <c r="H18" s="503" t="e">
        <f t="shared" ref="H18:H28" si="1">ROUND(G18/$D$10,3)</f>
        <v>#REF!</v>
      </c>
      <c r="I18" s="380">
        <f t="shared" si="0"/>
        <v>5.28E-2</v>
      </c>
      <c r="J18" s="382"/>
      <c r="K18" s="342"/>
      <c r="L18" s="1021"/>
    </row>
    <row r="19" spans="2:13" ht="15">
      <c r="B19" s="377"/>
      <c r="C19" s="378" t="s">
        <v>38</v>
      </c>
      <c r="D19" s="531" t="s">
        <v>485</v>
      </c>
      <c r="E19" s="379" t="s">
        <v>266</v>
      </c>
      <c r="F19" s="379"/>
      <c r="G19" s="1694">
        <f>+'SUMINISTRO RP'!J45+'SUMINISTRO RP'!J48</f>
        <v>10565.5</v>
      </c>
      <c r="H19" s="503" t="e">
        <f t="shared" si="1"/>
        <v>#REF!</v>
      </c>
      <c r="I19" s="380">
        <f t="shared" si="0"/>
        <v>0.1409</v>
      </c>
      <c r="J19" s="382"/>
      <c r="K19" s="342"/>
      <c r="L19" s="1021"/>
    </row>
    <row r="20" spans="2:13" ht="15">
      <c r="B20" s="383"/>
      <c r="C20" s="384" t="s">
        <v>278</v>
      </c>
      <c r="D20" s="532" t="s">
        <v>485</v>
      </c>
      <c r="E20" s="385" t="s">
        <v>39</v>
      </c>
      <c r="F20" s="385"/>
      <c r="G20" s="1695">
        <f>+'SUMINISTRO RP'!J89</f>
        <v>8837.0800000000017</v>
      </c>
      <c r="H20" s="504" t="e">
        <f t="shared" si="1"/>
        <v>#REF!</v>
      </c>
      <c r="I20" s="386">
        <f t="shared" si="0"/>
        <v>0.1179</v>
      </c>
      <c r="J20" s="387"/>
      <c r="K20" s="342"/>
      <c r="L20" s="1021"/>
    </row>
    <row r="21" spans="2:13" ht="15">
      <c r="B21" s="377">
        <v>2</v>
      </c>
      <c r="C21" s="378" t="s">
        <v>32</v>
      </c>
      <c r="D21" s="1675" t="s">
        <v>486</v>
      </c>
      <c r="E21" s="379" t="s">
        <v>209</v>
      </c>
      <c r="F21" s="391" t="s">
        <v>209</v>
      </c>
      <c r="G21" s="1694">
        <f>+'SUMINISTRO RP'!J94</f>
        <v>14946.09</v>
      </c>
      <c r="H21" s="503" t="e">
        <f t="shared" si="1"/>
        <v>#REF!</v>
      </c>
      <c r="I21" s="380">
        <f>ROUND(G21/SUM($G$21:$G$24),4)</f>
        <v>0.39269999999999999</v>
      </c>
      <c r="J21" s="381" t="e">
        <f>ROUND(SUM(H21:H24),3)</f>
        <v>#REF!</v>
      </c>
      <c r="K21" s="342"/>
      <c r="L21" s="543"/>
    </row>
    <row r="22" spans="2:13" ht="15">
      <c r="B22" s="377"/>
      <c r="C22" s="378" t="s">
        <v>1</v>
      </c>
      <c r="D22" s="1675" t="s">
        <v>486</v>
      </c>
      <c r="E22" s="379" t="s">
        <v>210</v>
      </c>
      <c r="F22" s="379"/>
      <c r="G22" s="1694">
        <f>+'SUMINISTRO RP'!J32+'SUMINISTRO RP'!J36</f>
        <v>11695.279999999999</v>
      </c>
      <c r="H22" s="503" t="e">
        <f t="shared" si="1"/>
        <v>#REF!</v>
      </c>
      <c r="I22" s="380">
        <f t="shared" ref="I22:I24" si="2">ROUND(G22/SUM($G$21:$G$24),4)</f>
        <v>0.30730000000000002</v>
      </c>
      <c r="J22" s="381"/>
      <c r="K22" s="342"/>
      <c r="L22" s="543"/>
    </row>
    <row r="23" spans="2:13" ht="15">
      <c r="B23" s="377"/>
      <c r="C23" s="378" t="s">
        <v>136</v>
      </c>
      <c r="D23" s="531" t="s">
        <v>487</v>
      </c>
      <c r="E23" s="379" t="s">
        <v>137</v>
      </c>
      <c r="F23" s="379"/>
      <c r="G23" s="1694">
        <f>+'SUMINISTRO RP'!J39</f>
        <v>7896.17</v>
      </c>
      <c r="H23" s="503" t="e">
        <f>ROUND(G23/$D$10,3)</f>
        <v>#REF!</v>
      </c>
      <c r="I23" s="380">
        <f t="shared" si="2"/>
        <v>0.20749999999999999</v>
      </c>
      <c r="J23" s="381"/>
      <c r="K23" s="342"/>
      <c r="L23" s="543"/>
    </row>
    <row r="24" spans="2:13" ht="15">
      <c r="B24" s="377"/>
      <c r="C24" s="378" t="s">
        <v>31</v>
      </c>
      <c r="D24" s="531" t="s">
        <v>488</v>
      </c>
      <c r="E24" s="379" t="s">
        <v>267</v>
      </c>
      <c r="F24" s="385"/>
      <c r="G24" s="1694">
        <f>+'SUMINISTRO RP'!J107</f>
        <v>3523.5</v>
      </c>
      <c r="H24" s="503" t="e">
        <f t="shared" si="1"/>
        <v>#REF!</v>
      </c>
      <c r="I24" s="380">
        <f t="shared" si="2"/>
        <v>9.2600000000000002E-2</v>
      </c>
      <c r="J24" s="388"/>
      <c r="K24" s="342"/>
      <c r="L24" s="543"/>
    </row>
    <row r="25" spans="2:13" ht="15">
      <c r="B25" s="389">
        <v>3</v>
      </c>
      <c r="C25" s="390" t="s">
        <v>138</v>
      </c>
      <c r="D25" s="533" t="s">
        <v>489</v>
      </c>
      <c r="E25" s="391" t="s">
        <v>139</v>
      </c>
      <c r="F25" s="391" t="s">
        <v>139</v>
      </c>
      <c r="G25" s="1692">
        <f>+'SUMINISTRO RP'!J99+'SUMINISTRO RP'!J103</f>
        <v>89221.32</v>
      </c>
      <c r="H25" s="505" t="e">
        <f>ROUND(G25/$D$10,3)</f>
        <v>#REF!</v>
      </c>
      <c r="I25" s="392">
        <f>ROUND(G25/SUM($G$25:$G$25),4)</f>
        <v>1</v>
      </c>
      <c r="J25" s="393" t="e">
        <f>ROUND(SUM(H25),3)</f>
        <v>#REF!</v>
      </c>
      <c r="K25" s="342"/>
      <c r="L25" s="543"/>
    </row>
    <row r="26" spans="2:13" ht="15">
      <c r="B26" s="389">
        <v>4</v>
      </c>
      <c r="C26" s="390" t="s">
        <v>203</v>
      </c>
      <c r="D26" s="533" t="s">
        <v>490</v>
      </c>
      <c r="E26" s="391" t="s">
        <v>268</v>
      </c>
      <c r="F26" s="391" t="s">
        <v>268</v>
      </c>
      <c r="G26" s="1692">
        <f>+'MONTAJE RP'!J90</f>
        <v>85459.520000000004</v>
      </c>
      <c r="H26" s="503" t="e">
        <f t="shared" si="1"/>
        <v>#REF!</v>
      </c>
      <c r="I26" s="380">
        <f>ROUND(G26/($G$26+$G$27),4)</f>
        <v>0.84050000000000002</v>
      </c>
      <c r="J26" s="381" t="e">
        <f>ROUND(SUM(H26:H27),3)</f>
        <v>#REF!</v>
      </c>
      <c r="K26" s="342"/>
      <c r="L26" s="545"/>
    </row>
    <row r="27" spans="2:13" ht="15">
      <c r="B27" s="383"/>
      <c r="C27" s="384" t="s">
        <v>40</v>
      </c>
      <c r="D27" s="532" t="s">
        <v>491</v>
      </c>
      <c r="E27" s="385" t="s">
        <v>269</v>
      </c>
      <c r="F27" s="385"/>
      <c r="G27" s="1695">
        <f>+TRANS._RP!J109</f>
        <v>16212.19</v>
      </c>
      <c r="H27" s="504" t="e">
        <f t="shared" si="1"/>
        <v>#REF!</v>
      </c>
      <c r="I27" s="386">
        <f>ROUND(G27/($G$26+$G$27),4)</f>
        <v>0.1595</v>
      </c>
      <c r="J27" s="388"/>
      <c r="K27" s="342"/>
    </row>
    <row r="28" spans="2:13" ht="15">
      <c r="B28" s="394">
        <v>5</v>
      </c>
      <c r="C28" s="395" t="s">
        <v>41</v>
      </c>
      <c r="D28" s="534" t="s">
        <v>492</v>
      </c>
      <c r="E28" s="396" t="s">
        <v>270</v>
      </c>
      <c r="F28" s="396" t="s">
        <v>270</v>
      </c>
      <c r="G28" s="1696" t="e">
        <f>+'RESUMEN RP'!F18+'RESUMEN RP'!F19</f>
        <v>#REF!</v>
      </c>
      <c r="H28" s="506" t="e">
        <f t="shared" si="1"/>
        <v>#REF!</v>
      </c>
      <c r="I28" s="397" t="e">
        <f>+G28/G28</f>
        <v>#REF!</v>
      </c>
      <c r="J28" s="398" t="e">
        <f>ROUND(SUM(H28),3)</f>
        <v>#REF!</v>
      </c>
      <c r="K28" s="342"/>
      <c r="L28" s="546"/>
      <c r="M28" s="546"/>
    </row>
    <row r="29" spans="2:13" ht="15">
      <c r="B29" s="375"/>
      <c r="C29" s="376"/>
      <c r="D29" s="376"/>
      <c r="E29" s="376"/>
      <c r="F29" s="376"/>
      <c r="G29" s="399"/>
      <c r="H29" s="399"/>
      <c r="I29" s="376"/>
      <c r="J29" s="556"/>
      <c r="L29" s="1669"/>
    </row>
    <row r="30" spans="2:13" ht="18">
      <c r="B30" s="400" t="s">
        <v>42</v>
      </c>
      <c r="C30" s="372" t="e">
        <f>J13&amp;" PCr/PCo + "&amp;J21&amp;" AE1r/AE1o + "&amp;J25&amp;" ENr/ENo+ "&amp;J26&amp;" Jr/Jo + "&amp;J28&amp;" GGr/GGo"</f>
        <v>#REF!</v>
      </c>
      <c r="D30" s="366"/>
      <c r="E30" s="366"/>
      <c r="F30" s="366"/>
      <c r="G30" s="555"/>
      <c r="H30" s="555"/>
      <c r="I30" s="557"/>
      <c r="J30" s="558"/>
    </row>
    <row r="31" spans="2:13">
      <c r="B31" s="559"/>
      <c r="C31" s="560"/>
      <c r="D31" s="560"/>
      <c r="E31" s="560"/>
      <c r="F31" s="560"/>
      <c r="G31" s="560"/>
      <c r="H31" s="560"/>
      <c r="I31" s="560"/>
      <c r="J31" s="561"/>
    </row>
    <row r="32" spans="2:13">
      <c r="B32" s="365"/>
      <c r="C32" s="366"/>
      <c r="D32" s="366"/>
      <c r="E32" s="366"/>
      <c r="F32" s="366"/>
      <c r="G32" s="366"/>
      <c r="H32" s="366"/>
      <c r="I32" s="366"/>
      <c r="J32" s="367"/>
    </row>
    <row r="33" spans="2:10">
      <c r="B33" s="365" t="s">
        <v>43</v>
      </c>
      <c r="C33" s="366"/>
      <c r="D33" s="366"/>
      <c r="E33" s="366"/>
      <c r="F33" s="366"/>
      <c r="G33" s="366"/>
      <c r="H33" s="366"/>
      <c r="I33" s="366"/>
      <c r="J33" s="367"/>
    </row>
    <row r="34" spans="2:10">
      <c r="B34" s="365"/>
      <c r="C34" s="366"/>
      <c r="D34" s="366"/>
      <c r="E34" s="366"/>
      <c r="F34" s="366"/>
      <c r="G34" s="366"/>
      <c r="H34" s="366"/>
      <c r="I34" s="366"/>
      <c r="J34" s="367"/>
    </row>
    <row r="35" spans="2:10" ht="14.25">
      <c r="B35" s="401" t="s">
        <v>44</v>
      </c>
      <c r="C35" s="402" t="s">
        <v>22</v>
      </c>
      <c r="D35" s="366"/>
      <c r="E35" s="366"/>
      <c r="F35" s="366"/>
      <c r="G35" s="366"/>
      <c r="H35" s="366"/>
      <c r="I35" s="366"/>
      <c r="J35" s="367"/>
    </row>
    <row r="36" spans="2:10" ht="14.25">
      <c r="B36" s="401"/>
      <c r="C36" s="402" t="s">
        <v>23</v>
      </c>
      <c r="D36" s="366"/>
      <c r="E36" s="366"/>
      <c r="F36" s="366"/>
      <c r="G36" s="366"/>
      <c r="H36" s="366"/>
      <c r="I36" s="366"/>
      <c r="J36" s="367"/>
    </row>
    <row r="37" spans="2:10" ht="14.25">
      <c r="B37" s="401"/>
      <c r="C37" s="402" t="s">
        <v>196</v>
      </c>
      <c r="D37" s="366"/>
      <c r="E37" s="366"/>
      <c r="F37" s="366"/>
      <c r="G37" s="366"/>
      <c r="H37" s="366"/>
      <c r="I37" s="366"/>
      <c r="J37" s="367"/>
    </row>
    <row r="38" spans="2:10" ht="14.25">
      <c r="B38" s="401" t="s">
        <v>197</v>
      </c>
      <c r="C38" s="402" t="s">
        <v>198</v>
      </c>
      <c r="D38" s="366"/>
      <c r="E38" s="366"/>
      <c r="F38" s="366"/>
      <c r="G38" s="366"/>
      <c r="H38" s="366"/>
      <c r="I38" s="366"/>
      <c r="J38" s="367"/>
    </row>
    <row r="39" spans="2:10" ht="14.25">
      <c r="B39" s="401"/>
      <c r="C39" s="402" t="s">
        <v>199</v>
      </c>
      <c r="D39" s="366"/>
      <c r="E39" s="366"/>
      <c r="F39" s="366"/>
      <c r="G39" s="366"/>
      <c r="H39" s="366"/>
      <c r="I39" s="366"/>
      <c r="J39" s="367"/>
    </row>
    <row r="40" spans="2:10" ht="14.25">
      <c r="B40" s="403" t="s">
        <v>200</v>
      </c>
      <c r="C40" s="404" t="s">
        <v>201</v>
      </c>
      <c r="D40" s="560"/>
      <c r="E40" s="560"/>
      <c r="F40" s="560"/>
      <c r="G40" s="560"/>
      <c r="H40" s="560"/>
      <c r="I40" s="560"/>
      <c r="J40" s="561"/>
    </row>
    <row r="42" spans="2:10">
      <c r="G42" s="553"/>
      <c r="H42" s="1800" t="e">
        <f>+IF(SUM(H13:H28)=1,"OK","X")</f>
        <v>#REF!</v>
      </c>
      <c r="I42" s="1800" t="e">
        <f>+IF(SUM(I13:I28)=5,"OK","X")</f>
        <v>#REF!</v>
      </c>
      <c r="J42" s="1800" t="e">
        <f>+IF(SUM(J13:J28)=1,"OK","X")</f>
        <v>#REF!</v>
      </c>
    </row>
    <row r="43" spans="2:10">
      <c r="G43" s="562"/>
      <c r="H43" s="1799"/>
      <c r="I43" s="1799"/>
      <c r="J43" s="1799"/>
    </row>
    <row r="44" spans="2:10">
      <c r="G44" s="542"/>
      <c r="H44" s="1794"/>
    </row>
    <row r="45" spans="2:10">
      <c r="G45" s="554"/>
    </row>
    <row r="48" spans="2:10">
      <c r="H48" s="546"/>
      <c r="I48" s="546"/>
      <c r="J48" s="54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M26"/>
  <sheetViews>
    <sheetView view="pageBreakPreview" topLeftCell="A7" zoomScale="90" zoomScaleNormal="100" zoomScaleSheetLayoutView="90" workbookViewId="0">
      <selection activeCell="G15" sqref="G15"/>
    </sheetView>
  </sheetViews>
  <sheetFormatPr baseColWidth="10" defaultColWidth="9.33203125" defaultRowHeight="12.75"/>
  <cols>
    <col min="3" max="3" width="0" hidden="1" customWidth="1"/>
    <col min="4" max="4" width="3.83203125" customWidth="1"/>
    <col min="5" max="5" width="66.5" customWidth="1"/>
    <col min="6" max="6" width="18.6640625" customWidth="1"/>
  </cols>
  <sheetData>
    <row r="1" spans="2:13" ht="15">
      <c r="B1" s="98"/>
      <c r="C1" s="99"/>
      <c r="D1" s="99"/>
      <c r="E1" s="99"/>
    </row>
    <row r="2" spans="2:13" ht="20.25" customHeight="1">
      <c r="B2" s="103" t="s">
        <v>127</v>
      </c>
      <c r="C2" s="104"/>
      <c r="D2" s="104"/>
      <c r="E2" s="104"/>
      <c r="F2" s="105"/>
    </row>
    <row r="3" spans="2:13" ht="20.25" customHeight="1">
      <c r="B3" s="103" t="s">
        <v>141</v>
      </c>
      <c r="C3" s="104"/>
      <c r="D3" s="104"/>
      <c r="E3" s="104"/>
      <c r="F3" s="105"/>
    </row>
    <row r="4" spans="2:13" ht="20.25" customHeight="1">
      <c r="B4" s="73"/>
      <c r="C4" s="104"/>
      <c r="D4" s="104"/>
      <c r="E4" s="104"/>
    </row>
    <row r="5" spans="2:13" ht="39.75" customHeight="1">
      <c r="B5" s="2053" t="s">
        <v>543</v>
      </c>
      <c r="C5" s="2053"/>
      <c r="D5" s="2053"/>
      <c r="E5" s="2053"/>
      <c r="F5" s="2053"/>
    </row>
    <row r="6" spans="2:13" ht="20.25">
      <c r="B6" s="80"/>
      <c r="C6" s="106"/>
      <c r="D6" s="106"/>
      <c r="E6" s="106"/>
    </row>
    <row r="7" spans="2:13" ht="16.5">
      <c r="B7" s="107" t="s">
        <v>9</v>
      </c>
      <c r="C7" s="107"/>
      <c r="D7" s="108" t="s">
        <v>10</v>
      </c>
      <c r="E7" s="97" t="s">
        <v>544</v>
      </c>
    </row>
    <row r="8" spans="2:13" ht="16.5">
      <c r="B8" s="109" t="s">
        <v>129</v>
      </c>
      <c r="C8" s="110"/>
      <c r="D8" s="111" t="s">
        <v>10</v>
      </c>
      <c r="E8" s="109" t="s">
        <v>141</v>
      </c>
    </row>
    <row r="9" spans="2:13" ht="16.5">
      <c r="B9" s="109"/>
      <c r="C9" s="110"/>
      <c r="D9" s="111"/>
      <c r="E9" s="109"/>
      <c r="F9" s="590" t="e">
        <f>+#REF!</f>
        <v>#REF!</v>
      </c>
    </row>
    <row r="10" spans="2:13" ht="15.75" thickBot="1">
      <c r="B10" s="112"/>
      <c r="C10" s="113"/>
      <c r="D10" s="114"/>
      <c r="E10" s="289"/>
      <c r="F10" s="591" t="e">
        <f>+#REF!</f>
        <v>#REF!</v>
      </c>
    </row>
    <row r="11" spans="2:13" ht="27.75" customHeight="1" thickBot="1">
      <c r="B11" s="115" t="s">
        <v>188</v>
      </c>
      <c r="C11" s="2059" t="s">
        <v>207</v>
      </c>
      <c r="D11" s="2060"/>
      <c r="E11" s="2061"/>
      <c r="F11" s="118" t="s">
        <v>996</v>
      </c>
    </row>
    <row r="12" spans="2:13" s="1908" customFormat="1" ht="21.75" customHeight="1">
      <c r="B12" s="119"/>
      <c r="C12" s="120"/>
      <c r="D12" s="1913"/>
      <c r="E12" s="1913"/>
      <c r="F12" s="122"/>
    </row>
    <row r="13" spans="2:13" s="1908" customFormat="1" ht="21.75" customHeight="1">
      <c r="B13" s="123" t="s">
        <v>189</v>
      </c>
      <c r="C13" s="124"/>
      <c r="D13" s="124" t="s">
        <v>132</v>
      </c>
      <c r="E13" s="113"/>
      <c r="F13" s="125">
        <f>+'SUMINISTRO RS'!J103</f>
        <v>301377.09999999998</v>
      </c>
      <c r="G13" s="74"/>
      <c r="H13" s="74"/>
      <c r="I13" s="84"/>
      <c r="J13" s="1"/>
      <c r="K13" s="74"/>
      <c r="L13" s="74"/>
      <c r="M13" s="84"/>
    </row>
    <row r="14" spans="2:13" s="1908" customFormat="1" ht="21.75" customHeight="1">
      <c r="B14" s="123" t="s">
        <v>190</v>
      </c>
      <c r="C14" s="126"/>
      <c r="D14" s="114" t="s">
        <v>203</v>
      </c>
      <c r="E14" s="114"/>
      <c r="F14" s="125">
        <f>+'MONTAJE RS'!J96</f>
        <v>273560.14</v>
      </c>
      <c r="G14" s="74"/>
      <c r="H14" s="74"/>
      <c r="I14" s="84"/>
      <c r="J14" s="1"/>
      <c r="K14" s="74"/>
      <c r="L14" s="74"/>
      <c r="M14" s="84"/>
    </row>
    <row r="15" spans="2:13" s="1908" customFormat="1" ht="21.75" customHeight="1" thickBot="1">
      <c r="B15" s="123" t="s">
        <v>125</v>
      </c>
      <c r="C15" s="126"/>
      <c r="D15" s="114" t="s">
        <v>133</v>
      </c>
      <c r="E15" s="114"/>
      <c r="F15" s="127">
        <f>+TRANS.RS!J103</f>
        <v>39859.51</v>
      </c>
      <c r="G15" s="176" t="s">
        <v>1025</v>
      </c>
      <c r="H15" s="74"/>
      <c r="I15" s="84"/>
      <c r="J15" s="1"/>
      <c r="K15" s="74"/>
      <c r="L15" s="74"/>
      <c r="M15" s="84"/>
    </row>
    <row r="16" spans="2:13" s="1908" customFormat="1" ht="21.75" customHeight="1" thickBot="1">
      <c r="B16" s="128" t="s">
        <v>7</v>
      </c>
      <c r="C16" s="129"/>
      <c r="D16" s="130" t="s">
        <v>134</v>
      </c>
      <c r="E16" s="130"/>
      <c r="F16" s="131">
        <f>SUM(F13:F15)</f>
        <v>614796.75</v>
      </c>
      <c r="G16" s="74"/>
      <c r="H16" s="74"/>
      <c r="I16" s="84"/>
      <c r="J16" s="75"/>
      <c r="K16" s="74"/>
      <c r="L16" s="74"/>
      <c r="M16" s="84"/>
    </row>
    <row r="17" spans="2:13" s="1908" customFormat="1" ht="21.75" customHeight="1">
      <c r="B17" s="132"/>
      <c r="C17" s="133"/>
      <c r="D17" s="134"/>
      <c r="E17" s="134"/>
      <c r="F17" s="125"/>
      <c r="G17" s="74"/>
      <c r="H17" s="74"/>
      <c r="I17" s="84"/>
      <c r="J17" s="75"/>
      <c r="K17" s="74"/>
      <c r="L17" s="74"/>
      <c r="M17" s="84"/>
    </row>
    <row r="18" spans="2:13" s="1908" customFormat="1" ht="21.75" customHeight="1">
      <c r="B18" s="135" t="s">
        <v>126</v>
      </c>
      <c r="C18" s="120"/>
      <c r="D18" s="120"/>
      <c r="E18" s="136" t="s">
        <v>135</v>
      </c>
      <c r="F18" s="125" t="e">
        <f>+ROUND(F16*H18,2)</f>
        <v>#REF!</v>
      </c>
      <c r="G18" s="74"/>
      <c r="H18" s="1903" t="e">
        <f>+#REF!</f>
        <v>#REF!</v>
      </c>
      <c r="I18" s="84"/>
      <c r="J18" s="75"/>
      <c r="K18" s="74"/>
      <c r="L18" s="74"/>
      <c r="M18" s="84"/>
    </row>
    <row r="19" spans="2:13" s="1908" customFormat="1" ht="21.75" customHeight="1" thickBot="1">
      <c r="B19" s="135" t="s">
        <v>8</v>
      </c>
      <c r="C19" s="120"/>
      <c r="D19" s="120"/>
      <c r="E19" s="136" t="s">
        <v>161</v>
      </c>
      <c r="F19" s="125" t="e">
        <f>+ROUND(F16*H19,2)</f>
        <v>#REF!</v>
      </c>
      <c r="G19" s="74"/>
      <c r="H19" s="1903" t="e">
        <f>+#REF!</f>
        <v>#REF!</v>
      </c>
      <c r="I19" s="84"/>
      <c r="J19" s="75"/>
      <c r="K19" s="74"/>
      <c r="L19" s="74"/>
      <c r="M19" s="84"/>
    </row>
    <row r="20" spans="2:13" s="1908" customFormat="1" ht="21.75" customHeight="1">
      <c r="B20" s="137"/>
      <c r="C20" s="133"/>
      <c r="D20" s="133"/>
      <c r="E20" s="76"/>
      <c r="F20" s="138"/>
      <c r="G20" s="74"/>
      <c r="H20" s="74"/>
      <c r="I20" s="84"/>
      <c r="J20" s="75"/>
      <c r="K20" s="74"/>
      <c r="L20" s="74"/>
      <c r="M20" s="84"/>
    </row>
    <row r="21" spans="2:13" s="1908" customFormat="1" ht="21.75" customHeight="1">
      <c r="B21" s="139"/>
      <c r="C21" s="140"/>
      <c r="D21" s="141" t="s">
        <v>1003</v>
      </c>
      <c r="E21" s="141"/>
      <c r="F21" s="142" t="e">
        <f>SUM(F16:F19)</f>
        <v>#REF!</v>
      </c>
      <c r="G21" s="74"/>
      <c r="H21" s="1793" t="e">
        <f>F21=#REF!</f>
        <v>#REF!</v>
      </c>
      <c r="I21" s="84"/>
      <c r="J21" s="75"/>
      <c r="K21" s="74"/>
      <c r="L21" s="74"/>
      <c r="M21" s="84"/>
    </row>
    <row r="22" spans="2:13" s="1908" customFormat="1" ht="21.75" customHeight="1" thickBot="1">
      <c r="B22" s="82"/>
      <c r="C22" s="77"/>
      <c r="D22" s="78"/>
      <c r="E22" s="79"/>
      <c r="F22" s="81"/>
    </row>
    <row r="23" spans="2:13">
      <c r="B23" s="100"/>
      <c r="C23" s="101"/>
      <c r="D23" s="101"/>
      <c r="E23" s="101"/>
    </row>
    <row r="24" spans="2:13">
      <c r="F24" s="74"/>
    </row>
    <row r="25" spans="2:13">
      <c r="E25" s="177"/>
      <c r="F25" s="290"/>
    </row>
    <row r="26" spans="2:13">
      <c r="E26" s="177"/>
      <c r="F26" s="74"/>
    </row>
  </sheetData>
  <mergeCells count="2">
    <mergeCell ref="B5:F5"/>
    <mergeCell ref="C11:E11"/>
  </mergeCells>
  <printOptions horizontalCentered="1"/>
  <pageMargins left="0.51181102362204722" right="0.51181102362204722" top="0.94488188976377963" bottom="0.74803149606299213" header="0.31496062992125984" footer="0.31496062992125984"/>
  <pageSetup paperSize="9" orientation="portrait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N40"/>
  <sheetViews>
    <sheetView workbookViewId="0"/>
  </sheetViews>
  <sheetFormatPr baseColWidth="10" defaultColWidth="9.33203125" defaultRowHeight="12.75"/>
  <sheetData>
    <row r="1" spans="2:14" ht="18">
      <c r="B1" s="915"/>
      <c r="C1" s="916"/>
      <c r="D1" s="916"/>
      <c r="E1" s="917"/>
      <c r="F1" s="917"/>
      <c r="G1" s="918"/>
      <c r="H1" s="918"/>
      <c r="I1" s="918"/>
      <c r="J1" s="918"/>
      <c r="K1" s="918"/>
      <c r="L1" s="918"/>
      <c r="M1" s="918"/>
      <c r="N1" s="918"/>
    </row>
    <row r="2" spans="2:14" ht="20.25">
      <c r="B2" s="919"/>
      <c r="C2" s="920"/>
      <c r="D2" s="920"/>
      <c r="E2" s="920"/>
      <c r="F2" s="920"/>
      <c r="G2" s="921"/>
      <c r="H2" s="921"/>
      <c r="I2" s="921"/>
      <c r="J2" s="921"/>
      <c r="K2" s="921"/>
      <c r="L2" s="921"/>
      <c r="M2" s="921"/>
      <c r="N2" s="921"/>
    </row>
    <row r="3" spans="2:14" ht="20.25">
      <c r="B3" s="919" t="s">
        <v>539</v>
      </c>
      <c r="C3" s="920"/>
      <c r="D3" s="920"/>
      <c r="E3" s="920"/>
      <c r="F3" s="920"/>
      <c r="G3" s="921"/>
      <c r="H3" s="921"/>
      <c r="I3" s="921"/>
      <c r="J3" s="921"/>
      <c r="K3" s="921"/>
      <c r="L3" s="921"/>
      <c r="M3" s="921"/>
      <c r="N3" s="921"/>
    </row>
    <row r="4" spans="2:14" ht="16.5">
      <c r="B4" s="922"/>
      <c r="C4" s="922"/>
      <c r="D4" s="922"/>
      <c r="E4" s="922"/>
      <c r="F4" s="922"/>
      <c r="G4" s="918"/>
      <c r="H4" s="918"/>
      <c r="I4" s="918"/>
      <c r="J4" s="918"/>
      <c r="K4" s="918"/>
      <c r="L4" s="918"/>
      <c r="M4" s="918"/>
      <c r="N4" s="918"/>
    </row>
    <row r="5" spans="2:14" ht="14.25">
      <c r="B5" s="923" t="s">
        <v>9</v>
      </c>
      <c r="C5" s="924"/>
      <c r="D5" s="923" t="s">
        <v>10</v>
      </c>
      <c r="E5" s="925"/>
      <c r="F5" s="918"/>
      <c r="G5" s="926"/>
      <c r="H5" s="926"/>
      <c r="I5" s="918"/>
      <c r="J5" s="918"/>
      <c r="K5" s="918"/>
      <c r="L5" s="918"/>
      <c r="M5" s="918"/>
      <c r="N5" s="918"/>
    </row>
    <row r="6" spans="2:14" ht="16.5">
      <c r="B6" s="927" t="s">
        <v>284</v>
      </c>
      <c r="C6" s="928"/>
      <c r="D6" s="929" t="s">
        <v>10</v>
      </c>
      <c r="E6" s="927" t="s">
        <v>540</v>
      </c>
      <c r="F6" s="930"/>
      <c r="G6" s="931"/>
      <c r="H6" s="931"/>
      <c r="I6" s="918"/>
      <c r="J6" s="918"/>
      <c r="K6" s="918"/>
      <c r="L6" s="918"/>
      <c r="M6" s="918"/>
      <c r="N6" s="918"/>
    </row>
    <row r="7" spans="2:14" ht="16.5">
      <c r="B7" s="927"/>
      <c r="C7" s="928"/>
      <c r="D7" s="929"/>
      <c r="E7" s="927"/>
      <c r="F7" s="932"/>
      <c r="G7" s="931"/>
      <c r="H7" s="931"/>
      <c r="I7" s="918"/>
      <c r="J7" s="918"/>
      <c r="K7" s="918"/>
      <c r="L7" s="918"/>
      <c r="M7" s="918"/>
      <c r="N7" s="918"/>
    </row>
    <row r="8" spans="2:14" ht="14.25">
      <c r="B8" s="3"/>
      <c r="C8" s="933"/>
      <c r="D8" s="934"/>
      <c r="E8" s="934"/>
      <c r="F8" s="934"/>
      <c r="G8" s="918"/>
      <c r="H8" s="918"/>
      <c r="I8" s="918"/>
      <c r="J8" s="918"/>
      <c r="K8" s="918"/>
      <c r="L8" s="918"/>
      <c r="M8" s="918"/>
      <c r="N8" s="918"/>
    </row>
    <row r="9" spans="2:14" ht="33">
      <c r="B9" s="935" t="s">
        <v>188</v>
      </c>
      <c r="C9" s="1883" t="s">
        <v>207</v>
      </c>
      <c r="D9" s="1883"/>
      <c r="E9" s="1884"/>
      <c r="F9" s="784" t="s">
        <v>532</v>
      </c>
    </row>
    <row r="10" spans="2:14" ht="15">
      <c r="B10" s="936"/>
      <c r="C10" s="937"/>
      <c r="D10" s="938"/>
      <c r="E10" s="939"/>
      <c r="F10" s="940"/>
      <c r="I10" s="941"/>
    </row>
    <row r="11" spans="2:14" ht="15">
      <c r="B11" s="942" t="s">
        <v>189</v>
      </c>
      <c r="C11" s="943"/>
      <c r="D11" s="944" t="s">
        <v>212</v>
      </c>
      <c r="E11" s="945"/>
      <c r="F11" s="946">
        <f>+'RESUMEN RS'!F13</f>
        <v>301377.09999999998</v>
      </c>
      <c r="I11" s="941"/>
    </row>
    <row r="12" spans="2:14" ht="15">
      <c r="B12" s="947"/>
      <c r="C12" s="943"/>
      <c r="D12" s="934" t="s">
        <v>533</v>
      </c>
      <c r="E12" s="948"/>
      <c r="F12" s="949">
        <f>+F11-F13</f>
        <v>191856.62</v>
      </c>
      <c r="I12" s="941"/>
    </row>
    <row r="13" spans="2:14" ht="15">
      <c r="B13" s="947"/>
      <c r="C13" s="943"/>
      <c r="D13" s="934" t="s">
        <v>534</v>
      </c>
      <c r="E13" s="948"/>
      <c r="F13" s="949">
        <f>+'SUMINISTRO RS'!J22+'SUMINISTRO RS'!J14+'SUMINISTRO RS'!J39</f>
        <v>109520.48</v>
      </c>
      <c r="I13" s="941"/>
    </row>
    <row r="14" spans="2:14" ht="14.25">
      <c r="B14" s="950"/>
      <c r="C14" s="799"/>
      <c r="D14" s="800"/>
      <c r="E14" s="951"/>
      <c r="F14" s="952"/>
    </row>
    <row r="15" spans="2:14" ht="15">
      <c r="B15" s="942" t="s">
        <v>190</v>
      </c>
      <c r="C15" s="943"/>
      <c r="D15" s="944" t="s">
        <v>203</v>
      </c>
      <c r="E15" s="953"/>
      <c r="F15" s="946">
        <f>+'RESUMEN RS'!F14</f>
        <v>273560.14</v>
      </c>
      <c r="H15" s="954"/>
    </row>
    <row r="16" spans="2:14" ht="15">
      <c r="B16" s="947"/>
      <c r="C16" s="943"/>
      <c r="D16" s="934" t="s">
        <v>535</v>
      </c>
      <c r="E16" s="951"/>
      <c r="F16" s="949">
        <f>ROUND(H16*F15,2)</f>
        <v>172342.89</v>
      </c>
      <c r="H16" s="955">
        <v>0.63</v>
      </c>
      <c r="N16" s="955"/>
    </row>
    <row r="17" spans="2:14" ht="15">
      <c r="B17" s="947"/>
      <c r="C17" s="943"/>
      <c r="D17" s="934" t="s">
        <v>536</v>
      </c>
      <c r="E17" s="951"/>
      <c r="F17" s="949">
        <f>ROUND(H17*F15,2)</f>
        <v>101217.25</v>
      </c>
      <c r="H17" s="956">
        <v>0.37</v>
      </c>
      <c r="N17" s="956"/>
    </row>
    <row r="18" spans="2:14" ht="14.25">
      <c r="B18" s="950"/>
      <c r="C18" s="799"/>
      <c r="D18" s="800"/>
      <c r="E18" s="957"/>
      <c r="F18" s="952"/>
      <c r="H18" s="958"/>
    </row>
    <row r="19" spans="2:14" ht="15">
      <c r="B19" s="942" t="s">
        <v>520</v>
      </c>
      <c r="C19" s="943"/>
      <c r="D19" s="944" t="s">
        <v>541</v>
      </c>
      <c r="E19" s="957"/>
      <c r="F19" s="946">
        <v>0</v>
      </c>
      <c r="H19" s="958"/>
    </row>
    <row r="20" spans="2:14" ht="14.25">
      <c r="B20" s="950"/>
      <c r="C20" s="800"/>
      <c r="D20" s="800"/>
      <c r="E20" s="957"/>
      <c r="F20" s="952"/>
      <c r="H20" s="958"/>
    </row>
    <row r="21" spans="2:14" ht="15">
      <c r="B21" s="942" t="s">
        <v>125</v>
      </c>
      <c r="C21" s="943"/>
      <c r="D21" s="944" t="s">
        <v>133</v>
      </c>
      <c r="E21" s="959"/>
      <c r="F21" s="946">
        <f>+'RESUMEN RS'!F15</f>
        <v>39859.51</v>
      </c>
      <c r="H21" s="954"/>
      <c r="N21" s="960"/>
    </row>
    <row r="22" spans="2:14" ht="15">
      <c r="B22" s="961"/>
      <c r="C22" s="962"/>
      <c r="D22" s="963"/>
      <c r="E22" s="964"/>
      <c r="F22" s="965"/>
    </row>
    <row r="23" spans="2:14" ht="15">
      <c r="B23" s="966"/>
      <c r="C23" s="967"/>
      <c r="D23" s="968"/>
      <c r="E23" s="969"/>
      <c r="F23" s="970"/>
    </row>
    <row r="24" spans="2:14" ht="15.75">
      <c r="B24" s="950" t="s">
        <v>7</v>
      </c>
      <c r="C24" s="971"/>
      <c r="D24" s="944" t="s">
        <v>538</v>
      </c>
      <c r="E24" s="972"/>
      <c r="F24" s="973">
        <f>+F11+F15+F21+F19</f>
        <v>614796.75</v>
      </c>
    </row>
    <row r="25" spans="2:14" ht="15">
      <c r="B25" s="974"/>
      <c r="C25" s="825"/>
      <c r="D25" s="826"/>
      <c r="E25" s="975"/>
      <c r="F25" s="976"/>
    </row>
    <row r="26" spans="2:14" ht="15">
      <c r="B26" s="977"/>
      <c r="C26" s="875"/>
      <c r="D26" s="830"/>
      <c r="E26" s="978"/>
      <c r="F26" s="979"/>
    </row>
    <row r="27" spans="2:14" ht="15">
      <c r="B27" s="950"/>
      <c r="C27" s="980"/>
      <c r="D27" s="981"/>
      <c r="E27" s="982"/>
      <c r="F27" s="949"/>
      <c r="H27" s="983"/>
    </row>
    <row r="28" spans="2:14" ht="15">
      <c r="B28" s="950"/>
      <c r="C28" s="980"/>
      <c r="D28" s="981"/>
      <c r="E28" s="982"/>
      <c r="F28" s="949"/>
    </row>
    <row r="29" spans="2:14" ht="15">
      <c r="B29" s="950"/>
      <c r="C29" s="980"/>
      <c r="D29" s="981"/>
      <c r="E29" s="982"/>
      <c r="F29" s="949"/>
      <c r="H29" s="983"/>
    </row>
    <row r="30" spans="2:14" ht="15">
      <c r="B30" s="974"/>
      <c r="C30" s="984"/>
      <c r="D30" s="985"/>
      <c r="E30" s="986"/>
      <c r="F30" s="987"/>
    </row>
    <row r="31" spans="2:14" ht="15.75">
      <c r="B31" s="977"/>
      <c r="C31" s="988"/>
      <c r="D31" s="989"/>
      <c r="E31" s="887"/>
      <c r="F31" s="888"/>
    </row>
    <row r="32" spans="2:14" ht="15.75">
      <c r="B32" s="950"/>
      <c r="C32" s="971"/>
      <c r="D32" s="944"/>
      <c r="E32" s="889"/>
      <c r="F32" s="973">
        <f>+F24+F27+F29</f>
        <v>614796.75</v>
      </c>
    </row>
    <row r="33" spans="2:14" ht="15.75">
      <c r="B33" s="961"/>
      <c r="C33" s="990"/>
      <c r="D33" s="991"/>
      <c r="E33" s="893"/>
      <c r="F33" s="894"/>
    </row>
    <row r="34" spans="2:14" ht="15.75">
      <c r="B34" s="992"/>
      <c r="C34" s="971"/>
      <c r="D34" s="993"/>
      <c r="E34" s="896"/>
      <c r="F34" s="897"/>
    </row>
    <row r="35" spans="2:14" ht="15">
      <c r="B35" s="950"/>
      <c r="C35" s="994"/>
      <c r="D35" s="934"/>
      <c r="E35" s="899"/>
      <c r="F35" s="900"/>
      <c r="N35" s="941"/>
    </row>
    <row r="36" spans="2:14" ht="15.75">
      <c r="B36" s="995"/>
      <c r="C36" s="971"/>
      <c r="D36" s="993"/>
      <c r="E36" s="902"/>
      <c r="F36" s="903"/>
    </row>
    <row r="37" spans="2:14" ht="15.75">
      <c r="B37" s="996"/>
      <c r="C37" s="997"/>
      <c r="D37" s="997"/>
      <c r="E37" s="906"/>
      <c r="F37" s="907"/>
    </row>
    <row r="38" spans="2:14" ht="15.75">
      <c r="B38" s="998"/>
      <c r="C38" s="993"/>
      <c r="D38" s="993"/>
      <c r="E38" s="909"/>
      <c r="F38" s="890"/>
      <c r="M38" s="941"/>
    </row>
    <row r="39" spans="2:14" ht="15">
      <c r="B39" s="999"/>
      <c r="C39" s="1000"/>
      <c r="D39" s="1000"/>
      <c r="E39" s="1001"/>
      <c r="F39" s="1002"/>
    </row>
    <row r="40" spans="2:14" ht="15">
      <c r="B40" s="981"/>
      <c r="C40" s="981"/>
      <c r="D40" s="981"/>
      <c r="E40" s="981"/>
      <c r="F40" s="100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A109"/>
  <sheetViews>
    <sheetView view="pageBreakPreview" topLeftCell="A7" zoomScale="73" zoomScaleNormal="100" zoomScaleSheetLayoutView="73" workbookViewId="0">
      <pane xSplit="6" ySplit="1" topLeftCell="G8" activePane="bottomRight" state="frozen"/>
      <selection activeCell="I4" sqref="I4"/>
      <selection pane="topRight" activeCell="I4" sqref="I4"/>
      <selection pane="bottomLeft" activeCell="I4" sqref="I4"/>
      <selection pane="bottomRight" activeCell="I4" sqref="I4"/>
    </sheetView>
  </sheetViews>
  <sheetFormatPr baseColWidth="10" defaultColWidth="9.33203125" defaultRowHeight="12.75"/>
  <cols>
    <col min="3" max="3" width="0" hidden="1" customWidth="1"/>
    <col min="6" max="6" width="44.83203125" customWidth="1"/>
    <col min="10" max="10" width="15" customWidth="1"/>
  </cols>
  <sheetData>
    <row r="1" spans="1:27" ht="18">
      <c r="B1" s="1429" t="s">
        <v>127</v>
      </c>
      <c r="C1" s="1430"/>
      <c r="D1" s="1430"/>
      <c r="E1" s="1431"/>
      <c r="F1" s="1431"/>
      <c r="G1" s="1432"/>
      <c r="H1" s="1432"/>
      <c r="I1" s="303"/>
      <c r="J1" s="303"/>
      <c r="K1" s="1712"/>
      <c r="L1" s="1712"/>
      <c r="M1" s="1712"/>
      <c r="N1" s="1712"/>
      <c r="O1" s="1712"/>
      <c r="P1" s="1712"/>
      <c r="Q1" s="1712"/>
      <c r="R1" s="1712"/>
      <c r="S1" s="1712"/>
      <c r="T1" s="1712"/>
      <c r="U1" s="1712"/>
      <c r="V1" s="1712"/>
      <c r="W1" s="1712"/>
      <c r="X1" s="1712"/>
      <c r="Y1" s="1712"/>
      <c r="Z1" s="1712"/>
      <c r="AA1" s="1712"/>
    </row>
    <row r="2" spans="1:27" ht="18">
      <c r="B2" s="1433" t="s">
        <v>140</v>
      </c>
      <c r="C2" s="1430"/>
      <c r="D2" s="1430"/>
      <c r="E2" s="1431"/>
      <c r="F2" s="1431"/>
      <c r="G2" s="1434"/>
      <c r="H2" s="1434"/>
      <c r="I2" s="303"/>
      <c r="J2" s="303"/>
      <c r="K2" s="1712"/>
      <c r="L2" s="1712"/>
      <c r="M2" s="1712"/>
      <c r="N2" s="1712"/>
      <c r="O2" s="1712"/>
      <c r="P2" s="1712"/>
      <c r="Q2" s="1712"/>
      <c r="R2" s="1712"/>
      <c r="S2" s="1712"/>
      <c r="T2" s="1712"/>
      <c r="U2" s="1712"/>
      <c r="V2" s="1712"/>
      <c r="W2" s="1712"/>
      <c r="X2" s="1712"/>
      <c r="Y2" s="1712"/>
      <c r="Z2" s="1712"/>
      <c r="AA2" s="1712"/>
    </row>
    <row r="3" spans="1:27" ht="18">
      <c r="B3" s="1435" t="s">
        <v>9</v>
      </c>
      <c r="C3" s="1430"/>
      <c r="D3" s="1430"/>
      <c r="E3" s="1910" t="s">
        <v>10</v>
      </c>
      <c r="F3" s="1437" t="s">
        <v>544</v>
      </c>
      <c r="G3" s="1434"/>
      <c r="H3" s="1434"/>
      <c r="I3" s="303"/>
      <c r="J3" s="303"/>
      <c r="K3" s="1712"/>
      <c r="L3" s="1712"/>
      <c r="M3" s="1712"/>
      <c r="N3" s="1712"/>
      <c r="O3" s="1712"/>
      <c r="P3" s="1712"/>
      <c r="Q3" s="1712"/>
      <c r="R3" s="1712"/>
      <c r="S3" s="1712"/>
      <c r="T3" s="1712"/>
      <c r="U3" s="1712"/>
      <c r="V3" s="1712"/>
      <c r="W3" s="1712"/>
      <c r="X3" s="1712"/>
      <c r="Y3" s="1712"/>
      <c r="Z3" s="1712"/>
      <c r="AA3" s="1712"/>
    </row>
    <row r="4" spans="1:27" ht="18">
      <c r="B4" s="1433" t="s">
        <v>130</v>
      </c>
      <c r="C4" s="303"/>
      <c r="D4" s="303"/>
      <c r="E4" s="1911" t="s">
        <v>10</v>
      </c>
      <c r="F4" s="1438" t="s">
        <v>141</v>
      </c>
      <c r="G4" s="1434"/>
      <c r="H4" s="1434"/>
      <c r="I4" s="303"/>
      <c r="J4" s="303"/>
      <c r="K4" s="1712"/>
      <c r="L4" s="1712"/>
      <c r="M4" s="1712"/>
      <c r="N4" s="1712"/>
      <c r="O4" s="1712"/>
      <c r="P4" s="1712"/>
      <c r="Q4" s="1712"/>
      <c r="R4" s="1712"/>
      <c r="S4" s="1712"/>
      <c r="T4" s="1712"/>
      <c r="U4" s="1712"/>
      <c r="V4" s="1712"/>
      <c r="W4" s="1712"/>
      <c r="X4" s="1712"/>
      <c r="Y4" s="1712"/>
      <c r="Z4" s="1712"/>
      <c r="AA4" s="1712"/>
    </row>
    <row r="5" spans="1:27" ht="18">
      <c r="B5" s="304" t="s">
        <v>280</v>
      </c>
      <c r="C5" s="303"/>
      <c r="D5" s="303"/>
      <c r="E5" s="304"/>
      <c r="F5" s="303"/>
      <c r="G5" s="1434"/>
      <c r="H5" s="1434"/>
      <c r="I5" s="303"/>
      <c r="J5" s="303"/>
      <c r="K5" s="1712"/>
      <c r="L5" s="1712"/>
      <c r="M5" s="1712"/>
      <c r="N5" s="1712"/>
      <c r="O5" s="1712"/>
      <c r="P5" s="1712"/>
      <c r="Q5" s="1712"/>
      <c r="R5" s="1712"/>
      <c r="S5" s="1712"/>
      <c r="T5" s="1712"/>
      <c r="U5" s="1712"/>
      <c r="V5" s="1712"/>
      <c r="W5" s="1712"/>
      <c r="X5" s="1712"/>
      <c r="Y5" s="1712"/>
      <c r="Z5" s="1712"/>
      <c r="AA5" s="1712"/>
    </row>
    <row r="6" spans="1:27" ht="15" hidden="1">
      <c r="B6" s="515"/>
      <c r="C6" s="516"/>
      <c r="D6" s="516"/>
      <c r="E6" s="516"/>
      <c r="F6" s="515"/>
      <c r="G6" s="517"/>
      <c r="H6" s="306"/>
      <c r="I6" s="306"/>
      <c r="J6" s="306"/>
      <c r="K6" s="1713"/>
      <c r="L6" s="1713"/>
      <c r="M6" s="1713"/>
      <c r="N6" s="1713"/>
      <c r="O6" s="1712"/>
      <c r="P6" s="1712"/>
      <c r="Q6" s="1712"/>
      <c r="R6" s="1712"/>
      <c r="S6" s="1712"/>
      <c r="T6" s="1712"/>
      <c r="U6" s="1712"/>
      <c r="V6" s="1712"/>
      <c r="W6" s="1712"/>
      <c r="X6" s="1712"/>
      <c r="Y6" s="1712"/>
      <c r="Z6" s="1712"/>
      <c r="AA6" s="1712"/>
    </row>
    <row r="7" spans="1:27" ht="37.5" customHeight="1">
      <c r="A7" s="508"/>
      <c r="B7" s="1528" t="s">
        <v>959</v>
      </c>
      <c r="C7" s="2056" t="s">
        <v>958</v>
      </c>
      <c r="D7" s="2057"/>
      <c r="E7" s="2057"/>
      <c r="F7" s="2058"/>
      <c r="G7" s="1529" t="s">
        <v>376</v>
      </c>
      <c r="H7" s="1530" t="s">
        <v>960</v>
      </c>
      <c r="I7" s="1530" t="s">
        <v>961</v>
      </c>
      <c r="J7" s="1530" t="s">
        <v>1004</v>
      </c>
      <c r="P7" s="323"/>
    </row>
    <row r="8" spans="1:27" ht="16.5">
      <c r="B8" s="1614"/>
      <c r="C8" s="1627"/>
      <c r="D8" s="1628"/>
      <c r="E8" s="1628"/>
      <c r="F8" s="1629"/>
      <c r="G8" s="1537"/>
      <c r="H8" s="1661"/>
      <c r="I8" s="1661"/>
      <c r="J8" s="1545"/>
      <c r="K8" s="509"/>
      <c r="L8" s="509"/>
      <c r="M8" s="509"/>
      <c r="N8" s="509"/>
      <c r="P8" s="581"/>
    </row>
    <row r="9" spans="1:27" ht="16.5">
      <c r="B9" s="1615">
        <v>1</v>
      </c>
      <c r="C9" s="1555"/>
      <c r="D9" s="1575" t="s">
        <v>568</v>
      </c>
      <c r="E9" s="1508"/>
      <c r="F9" s="1579"/>
      <c r="G9" s="1541"/>
      <c r="H9" s="1566"/>
      <c r="I9" s="1566"/>
      <c r="J9" s="1616"/>
      <c r="K9" s="323"/>
      <c r="L9" s="323"/>
      <c r="M9" s="323"/>
      <c r="N9" s="323"/>
      <c r="O9" s="324"/>
      <c r="P9" s="1718"/>
    </row>
    <row r="10" spans="1:27" ht="16.5">
      <c r="B10" s="1616">
        <f>+B9+0.01</f>
        <v>1.01</v>
      </c>
      <c r="C10" s="1555"/>
      <c r="D10" s="1508" t="s">
        <v>297</v>
      </c>
      <c r="E10" s="1508"/>
      <c r="F10" s="1579"/>
      <c r="G10" s="1541" t="s">
        <v>18</v>
      </c>
      <c r="H10" s="1566">
        <v>153</v>
      </c>
      <c r="I10" s="1505">
        <v>372.21</v>
      </c>
      <c r="J10" s="1542">
        <f t="shared" ref="J10:J11" si="0">+ROUND(I10*H10,2)</f>
        <v>56948.13</v>
      </c>
      <c r="K10" s="323"/>
      <c r="L10" s="328"/>
      <c r="M10" s="328"/>
      <c r="N10" s="328"/>
      <c r="P10" s="1719"/>
    </row>
    <row r="11" spans="1:27" ht="16.5">
      <c r="B11" s="1616">
        <f t="shared" ref="B11" si="1">+B10+0.01</f>
        <v>1.02</v>
      </c>
      <c r="C11" s="1555"/>
      <c r="D11" s="1508" t="s">
        <v>302</v>
      </c>
      <c r="E11" s="1508"/>
      <c r="F11" s="1579"/>
      <c r="G11" s="1541" t="s">
        <v>18</v>
      </c>
      <c r="H11" s="1566">
        <v>79</v>
      </c>
      <c r="I11" s="1505">
        <v>402.99</v>
      </c>
      <c r="J11" s="1542">
        <f t="shared" si="0"/>
        <v>31836.21</v>
      </c>
      <c r="K11" s="323"/>
      <c r="L11" s="328"/>
      <c r="M11" s="328"/>
      <c r="N11" s="328"/>
      <c r="O11" s="324"/>
      <c r="P11" s="1719"/>
    </row>
    <row r="12" spans="1:27" ht="16.5">
      <c r="B12" s="1540"/>
      <c r="C12" s="1555"/>
      <c r="D12" s="1508"/>
      <c r="E12" s="1508"/>
      <c r="F12" s="1605" t="str">
        <f>+"SUB-TOTAL   "&amp;B9&amp;":  "</f>
        <v xml:space="preserve">SUB-TOTAL   1:  </v>
      </c>
      <c r="G12" s="1606"/>
      <c r="H12" s="1607"/>
      <c r="I12" s="1607"/>
      <c r="J12" s="1619">
        <f>SUM(J10:J11)</f>
        <v>88784.34</v>
      </c>
      <c r="K12" s="323"/>
      <c r="L12" s="328"/>
      <c r="M12" s="328"/>
      <c r="N12" s="328"/>
      <c r="O12" s="324"/>
      <c r="P12" s="1719"/>
    </row>
    <row r="13" spans="1:27" ht="16.5">
      <c r="B13" s="1534">
        <f>1+B9</f>
        <v>2</v>
      </c>
      <c r="C13" s="1553"/>
      <c r="D13" s="1484" t="s">
        <v>327</v>
      </c>
      <c r="E13" s="1442"/>
      <c r="F13" s="1487"/>
      <c r="G13" s="1541"/>
      <c r="H13" s="1566"/>
      <c r="I13" s="1566"/>
      <c r="J13" s="1542"/>
      <c r="K13" s="323"/>
      <c r="L13" s="328"/>
      <c r="M13" s="328"/>
      <c r="N13" s="328"/>
      <c r="O13" s="324"/>
      <c r="P13" s="1719"/>
    </row>
    <row r="14" spans="1:27" ht="16.5">
      <c r="B14" s="1535">
        <f>+B13+0.01</f>
        <v>2.0099999999999998</v>
      </c>
      <c r="C14" s="1553"/>
      <c r="D14" s="1442" t="s">
        <v>569</v>
      </c>
      <c r="E14" s="1442"/>
      <c r="F14" s="1487"/>
      <c r="G14" s="1541" t="s">
        <v>18</v>
      </c>
      <c r="H14" s="1566">
        <v>9</v>
      </c>
      <c r="I14" s="1505">
        <v>805.66</v>
      </c>
      <c r="J14" s="1542">
        <f>+ROUND(I14*H14,2)</f>
        <v>7250.94</v>
      </c>
      <c r="K14" s="323"/>
      <c r="L14" s="328"/>
      <c r="M14" s="328"/>
      <c r="N14" s="328"/>
      <c r="O14" s="324"/>
      <c r="P14" s="1719"/>
      <c r="Q14" s="1720"/>
      <c r="R14" s="324"/>
    </row>
    <row r="15" spans="1:27" ht="16.5">
      <c r="B15" s="1464"/>
      <c r="C15" s="1553"/>
      <c r="D15" s="1442"/>
      <c r="E15" s="1442"/>
      <c r="F15" s="1554" t="str">
        <f>+"SUB-TOTAL   "&amp;B13&amp;":  "</f>
        <v xml:space="preserve">SUB-TOTAL   2:  </v>
      </c>
      <c r="G15" s="1606"/>
      <c r="H15" s="1607"/>
      <c r="I15" s="1607"/>
      <c r="J15" s="1619">
        <f>SUM(J14)</f>
        <v>7250.94</v>
      </c>
      <c r="K15" s="323"/>
      <c r="L15" s="328"/>
      <c r="M15" s="328"/>
      <c r="N15" s="328"/>
      <c r="O15" s="324"/>
      <c r="P15" s="1719"/>
    </row>
    <row r="16" spans="1:27" ht="16.5">
      <c r="B16" s="1534">
        <f>+B13+1</f>
        <v>3</v>
      </c>
      <c r="C16" s="1553"/>
      <c r="D16" s="1484" t="s">
        <v>142</v>
      </c>
      <c r="E16" s="1442"/>
      <c r="F16" s="1487"/>
      <c r="G16" s="1541"/>
      <c r="H16" s="1566"/>
      <c r="I16" s="1566"/>
      <c r="J16" s="1542"/>
      <c r="K16" s="323"/>
      <c r="L16" s="328"/>
      <c r="M16" s="328"/>
      <c r="N16" s="328"/>
      <c r="O16" s="324"/>
      <c r="P16" s="1719"/>
    </row>
    <row r="17" spans="2:18" ht="16.5">
      <c r="B17" s="1535">
        <f>+B16+0.01</f>
        <v>3.01</v>
      </c>
      <c r="C17" s="1553"/>
      <c r="D17" s="1442" t="s">
        <v>820</v>
      </c>
      <c r="E17" s="1442"/>
      <c r="F17" s="1487"/>
      <c r="G17" s="1541" t="s">
        <v>191</v>
      </c>
      <c r="H17" s="1566">
        <v>1.46</v>
      </c>
      <c r="I17" s="1505">
        <v>7749.03</v>
      </c>
      <c r="J17" s="1542">
        <f t="shared" ref="J17:J21" si="2">+ROUND(I17*H17,2)</f>
        <v>11313.58</v>
      </c>
      <c r="K17" s="323"/>
      <c r="L17" s="328"/>
      <c r="M17" s="328"/>
      <c r="N17" s="328"/>
      <c r="O17" s="324"/>
      <c r="P17" s="1719"/>
    </row>
    <row r="18" spans="2:18" ht="16.5">
      <c r="B18" s="1535">
        <f t="shared" ref="B18:B21" si="3">+B17+0.01</f>
        <v>3.0199999999999996</v>
      </c>
      <c r="C18" s="1553"/>
      <c r="D18" s="1442" t="s">
        <v>547</v>
      </c>
      <c r="E18" s="1442"/>
      <c r="F18" s="1487"/>
      <c r="G18" s="1541" t="s">
        <v>191</v>
      </c>
      <c r="H18" s="1566">
        <v>0.05</v>
      </c>
      <c r="I18" s="1505">
        <v>6431.99</v>
      </c>
      <c r="J18" s="1542">
        <f t="shared" si="2"/>
        <v>321.60000000000002</v>
      </c>
      <c r="K18" s="323"/>
      <c r="L18" s="328"/>
      <c r="M18" s="328"/>
      <c r="N18" s="328"/>
      <c r="O18" s="324"/>
      <c r="P18" s="1719"/>
    </row>
    <row r="19" spans="2:18" ht="16.5">
      <c r="B19" s="1535">
        <f t="shared" si="3"/>
        <v>3.0299999999999994</v>
      </c>
      <c r="C19" s="1553"/>
      <c r="D19" s="1442" t="s">
        <v>442</v>
      </c>
      <c r="E19" s="1442"/>
      <c r="F19" s="1487"/>
      <c r="G19" s="1541" t="s">
        <v>191</v>
      </c>
      <c r="H19" s="1566">
        <v>7.08</v>
      </c>
      <c r="I19" s="1505">
        <v>6248.95</v>
      </c>
      <c r="J19" s="1542">
        <f t="shared" si="2"/>
        <v>44242.57</v>
      </c>
      <c r="K19" s="323"/>
      <c r="L19" s="328"/>
      <c r="M19" s="328"/>
      <c r="N19" s="328"/>
      <c r="O19" s="324"/>
      <c r="P19" s="1719"/>
    </row>
    <row r="20" spans="2:18" ht="16.5">
      <c r="B20" s="1535">
        <f t="shared" si="3"/>
        <v>3.0399999999999991</v>
      </c>
      <c r="C20" s="1553"/>
      <c r="D20" s="1442" t="s">
        <v>443</v>
      </c>
      <c r="E20" s="1442"/>
      <c r="F20" s="1487"/>
      <c r="G20" s="1541" t="s">
        <v>191</v>
      </c>
      <c r="H20" s="1566">
        <v>0.18</v>
      </c>
      <c r="I20" s="1505">
        <v>4940.38</v>
      </c>
      <c r="J20" s="1542">
        <f t="shared" si="2"/>
        <v>889.27</v>
      </c>
      <c r="K20" s="323"/>
      <c r="L20" s="328"/>
      <c r="M20" s="328"/>
      <c r="N20" s="328"/>
      <c r="O20" s="324"/>
      <c r="P20" s="1719"/>
      <c r="Q20" s="328"/>
      <c r="R20" s="324"/>
    </row>
    <row r="21" spans="2:18" ht="16.5">
      <c r="B21" s="1535">
        <f t="shared" si="3"/>
        <v>3.0499999999999989</v>
      </c>
      <c r="C21" s="1553"/>
      <c r="D21" s="1442" t="s">
        <v>444</v>
      </c>
      <c r="E21" s="1442"/>
      <c r="F21" s="1487"/>
      <c r="G21" s="1541" t="s">
        <v>191</v>
      </c>
      <c r="H21" s="1566">
        <v>4.0600000000000005</v>
      </c>
      <c r="I21" s="1505">
        <v>3440.29</v>
      </c>
      <c r="J21" s="1542">
        <f t="shared" si="2"/>
        <v>13967.58</v>
      </c>
      <c r="K21" s="323"/>
      <c r="L21" s="328"/>
      <c r="M21" s="328"/>
      <c r="N21" s="328"/>
      <c r="O21" s="324"/>
      <c r="P21" s="1719"/>
      <c r="Q21" s="328"/>
      <c r="R21" s="324"/>
    </row>
    <row r="22" spans="2:18" ht="16.5">
      <c r="B22" s="1464"/>
      <c r="C22" s="1553"/>
      <c r="D22" s="1442"/>
      <c r="E22" s="1442"/>
      <c r="F22" s="1554" t="str">
        <f>+"SUB-TOTAL   "&amp;B16&amp;":  "</f>
        <v xml:space="preserve">SUB-TOTAL   3:  </v>
      </c>
      <c r="G22" s="1606"/>
      <c r="H22" s="1607"/>
      <c r="I22" s="1607"/>
      <c r="J22" s="1619">
        <f>+SUM(J17:J21)</f>
        <v>70734.599999999991</v>
      </c>
      <c r="K22" s="323"/>
      <c r="L22" s="328"/>
      <c r="M22" s="328"/>
      <c r="N22" s="328"/>
      <c r="O22" s="324"/>
      <c r="P22" s="1719"/>
    </row>
    <row r="23" spans="2:18" ht="16.5">
      <c r="B23" s="1534">
        <f>+B16+1</f>
        <v>4</v>
      </c>
      <c r="C23" s="1553"/>
      <c r="D23" s="1484" t="s">
        <v>143</v>
      </c>
      <c r="E23" s="1442"/>
      <c r="F23" s="1487"/>
      <c r="G23" s="1541"/>
      <c r="H23" s="1566"/>
      <c r="I23" s="1566"/>
      <c r="J23" s="1542"/>
      <c r="K23" s="323"/>
      <c r="L23" s="328"/>
      <c r="M23" s="328"/>
      <c r="N23" s="328"/>
      <c r="O23" s="324"/>
      <c r="P23" s="1719"/>
    </row>
    <row r="24" spans="2:18" ht="16.5">
      <c r="B24" s="1535">
        <f t="shared" ref="B24:B32" si="4">+B23+0.01</f>
        <v>4.01</v>
      </c>
      <c r="C24" s="1553"/>
      <c r="D24" s="1442" t="s">
        <v>355</v>
      </c>
      <c r="E24" s="1442"/>
      <c r="F24" s="1487"/>
      <c r="G24" s="1541" t="s">
        <v>18</v>
      </c>
      <c r="H24" s="1566">
        <v>163</v>
      </c>
      <c r="I24" s="1505">
        <v>12</v>
      </c>
      <c r="J24" s="1542">
        <f t="shared" ref="J24:J32" si="5">+ROUND(I24*H24,2)</f>
        <v>1956</v>
      </c>
      <c r="K24" s="323"/>
      <c r="L24" s="328"/>
      <c r="M24" s="328"/>
      <c r="N24" s="328"/>
      <c r="O24" s="324"/>
      <c r="P24" s="1719"/>
      <c r="Q24" s="328"/>
      <c r="R24" s="324"/>
    </row>
    <row r="25" spans="2:18" ht="16.5">
      <c r="B25" s="1535">
        <f t="shared" si="4"/>
        <v>4.0199999999999996</v>
      </c>
      <c r="C25" s="1553"/>
      <c r="D25" s="1442" t="s">
        <v>356</v>
      </c>
      <c r="E25" s="1442"/>
      <c r="F25" s="1487"/>
      <c r="G25" s="1541" t="s">
        <v>18</v>
      </c>
      <c r="H25" s="1566">
        <v>218</v>
      </c>
      <c r="I25" s="1505">
        <v>16.87</v>
      </c>
      <c r="J25" s="1542">
        <f t="shared" si="5"/>
        <v>3677.66</v>
      </c>
      <c r="K25" s="323"/>
      <c r="L25" s="328"/>
      <c r="M25" s="328"/>
      <c r="N25" s="328"/>
      <c r="O25" s="324"/>
      <c r="P25" s="1719"/>
      <c r="Q25" s="328"/>
      <c r="R25" s="324"/>
    </row>
    <row r="26" spans="2:18" ht="16.5">
      <c r="B26" s="1535">
        <f t="shared" si="4"/>
        <v>4.0299999999999994</v>
      </c>
      <c r="C26" s="1553"/>
      <c r="D26" s="1442" t="s">
        <v>357</v>
      </c>
      <c r="E26" s="1442"/>
      <c r="F26" s="1487"/>
      <c r="G26" s="1541" t="s">
        <v>18</v>
      </c>
      <c r="H26" s="1566">
        <v>2</v>
      </c>
      <c r="I26" s="1505">
        <v>5.21</v>
      </c>
      <c r="J26" s="1542">
        <f t="shared" si="5"/>
        <v>10.42</v>
      </c>
      <c r="K26" s="323"/>
      <c r="L26" s="328"/>
      <c r="M26" s="328"/>
      <c r="N26" s="328"/>
      <c r="O26" s="324"/>
      <c r="P26" s="1719"/>
      <c r="Q26" s="328"/>
      <c r="R26" s="324"/>
    </row>
    <row r="27" spans="2:18" ht="16.5">
      <c r="B27" s="1535">
        <f t="shared" si="4"/>
        <v>4.0399999999999991</v>
      </c>
      <c r="C27" s="1553"/>
      <c r="D27" s="1442" t="s">
        <v>412</v>
      </c>
      <c r="E27" s="1442"/>
      <c r="F27" s="1487"/>
      <c r="G27" s="1541" t="s">
        <v>18</v>
      </c>
      <c r="H27" s="1566">
        <v>4</v>
      </c>
      <c r="I27" s="1505">
        <v>7.04</v>
      </c>
      <c r="J27" s="1542">
        <f t="shared" si="5"/>
        <v>28.16</v>
      </c>
      <c r="K27" s="323"/>
      <c r="L27" s="328"/>
      <c r="M27" s="328"/>
      <c r="N27" s="328"/>
      <c r="O27" s="324"/>
      <c r="P27" s="1719"/>
      <c r="Q27" s="328"/>
      <c r="R27" s="324"/>
    </row>
    <row r="28" spans="2:18" ht="16.5">
      <c r="B28" s="1535">
        <f t="shared" si="4"/>
        <v>4.0499999999999989</v>
      </c>
      <c r="C28" s="1553"/>
      <c r="D28" s="1442" t="s">
        <v>358</v>
      </c>
      <c r="E28" s="1442"/>
      <c r="F28" s="1487"/>
      <c r="G28" s="1541" t="s">
        <v>18</v>
      </c>
      <c r="H28" s="1566">
        <v>26</v>
      </c>
      <c r="I28" s="1505">
        <v>9.06</v>
      </c>
      <c r="J28" s="1542">
        <f t="shared" si="5"/>
        <v>235.56</v>
      </c>
      <c r="K28" s="323"/>
      <c r="L28" s="328"/>
      <c r="M28" s="328"/>
      <c r="N28" s="328"/>
      <c r="O28" s="324"/>
      <c r="P28" s="1719"/>
      <c r="Q28" s="328"/>
      <c r="R28" s="324"/>
    </row>
    <row r="29" spans="2:18" ht="16.5">
      <c r="B29" s="1535">
        <f t="shared" si="4"/>
        <v>4.0599999999999987</v>
      </c>
      <c r="C29" s="1553"/>
      <c r="D29" s="1442" t="s">
        <v>413</v>
      </c>
      <c r="E29" s="1442"/>
      <c r="F29" s="1487"/>
      <c r="G29" s="1541" t="s">
        <v>18</v>
      </c>
      <c r="H29" s="1566">
        <v>52</v>
      </c>
      <c r="I29" s="1505">
        <v>10.95</v>
      </c>
      <c r="J29" s="1542">
        <f t="shared" si="5"/>
        <v>569.4</v>
      </c>
      <c r="K29" s="323"/>
      <c r="L29" s="328"/>
      <c r="M29" s="328"/>
      <c r="N29" s="328"/>
      <c r="O29" s="324"/>
      <c r="P29" s="1719"/>
      <c r="Q29" s="328"/>
      <c r="R29" s="324"/>
    </row>
    <row r="30" spans="2:18" ht="16.5">
      <c r="B30" s="1535">
        <f t="shared" si="4"/>
        <v>4.0699999999999985</v>
      </c>
      <c r="C30" s="1553"/>
      <c r="D30" s="1442" t="s">
        <v>359</v>
      </c>
      <c r="E30" s="1442"/>
      <c r="F30" s="1487"/>
      <c r="G30" s="1541" t="s">
        <v>18</v>
      </c>
      <c r="H30" s="1566">
        <v>1838</v>
      </c>
      <c r="I30" s="1505">
        <v>0.4</v>
      </c>
      <c r="J30" s="1542">
        <f>+ROUND(I30*H30,2)</f>
        <v>735.2</v>
      </c>
      <c r="K30" s="323"/>
      <c r="L30" s="328"/>
      <c r="M30" s="328"/>
      <c r="N30" s="328"/>
      <c r="O30" s="324"/>
      <c r="P30" s="1719"/>
      <c r="Q30" s="328"/>
      <c r="R30" s="324"/>
    </row>
    <row r="31" spans="2:18" ht="16.5">
      <c r="B31" s="1535">
        <f t="shared" si="4"/>
        <v>4.0799999999999983</v>
      </c>
      <c r="C31" s="1553"/>
      <c r="D31" s="1442" t="s">
        <v>360</v>
      </c>
      <c r="E31" s="1442"/>
      <c r="F31" s="1487"/>
      <c r="G31" s="1541" t="s">
        <v>187</v>
      </c>
      <c r="H31" s="1566">
        <v>51.3</v>
      </c>
      <c r="I31" s="1505">
        <v>4.46</v>
      </c>
      <c r="J31" s="1542">
        <f t="shared" si="5"/>
        <v>228.8</v>
      </c>
      <c r="K31" s="323"/>
      <c r="L31" s="328"/>
      <c r="M31" s="328"/>
      <c r="N31" s="328"/>
      <c r="O31" s="324"/>
      <c r="P31" s="1719"/>
      <c r="Q31" s="328"/>
      <c r="R31" s="324"/>
    </row>
    <row r="32" spans="2:18" ht="16.5">
      <c r="B32" s="1535">
        <f t="shared" si="4"/>
        <v>4.0899999999999981</v>
      </c>
      <c r="C32" s="1553"/>
      <c r="D32" s="1442" t="s">
        <v>303</v>
      </c>
      <c r="E32" s="1442"/>
      <c r="F32" s="1487"/>
      <c r="G32" s="1541" t="s">
        <v>187</v>
      </c>
      <c r="H32" s="1566">
        <v>19</v>
      </c>
      <c r="I32" s="1505">
        <v>1.53</v>
      </c>
      <c r="J32" s="1542">
        <f t="shared" si="5"/>
        <v>29.07</v>
      </c>
      <c r="K32" s="323"/>
      <c r="L32" s="328"/>
      <c r="M32" s="328"/>
      <c r="N32" s="328"/>
      <c r="O32" s="324"/>
      <c r="P32" s="1719"/>
      <c r="Q32" s="328"/>
    </row>
    <row r="33" spans="2:18" ht="16.5">
      <c r="B33" s="1464"/>
      <c r="C33" s="1553"/>
      <c r="D33" s="1442"/>
      <c r="E33" s="1442"/>
      <c r="F33" s="1554" t="str">
        <f>+"SUB-TOTAL   "&amp;B23&amp;":  "</f>
        <v xml:space="preserve">SUB-TOTAL   4:  </v>
      </c>
      <c r="G33" s="1606"/>
      <c r="H33" s="1607"/>
      <c r="I33" s="1607"/>
      <c r="J33" s="1619">
        <f>+SUM(J23:J32)</f>
        <v>7470.2699999999995</v>
      </c>
      <c r="K33" s="323"/>
      <c r="L33" s="328"/>
      <c r="M33" s="328"/>
      <c r="N33" s="328"/>
      <c r="O33" s="324"/>
      <c r="P33" s="1719"/>
    </row>
    <row r="34" spans="2:18" ht="16.5">
      <c r="B34" s="1534">
        <f>+B23+1</f>
        <v>5</v>
      </c>
      <c r="C34" s="1553"/>
      <c r="D34" s="1484" t="s">
        <v>144</v>
      </c>
      <c r="E34" s="1442"/>
      <c r="F34" s="1487"/>
      <c r="G34" s="1541"/>
      <c r="H34" s="1566"/>
      <c r="I34" s="1566"/>
      <c r="J34" s="1542"/>
      <c r="K34" s="323"/>
      <c r="L34" s="328"/>
      <c r="M34" s="328"/>
      <c r="N34" s="328"/>
      <c r="O34" s="324"/>
      <c r="P34" s="1719"/>
    </row>
    <row r="35" spans="2:18" ht="16.5">
      <c r="B35" s="1535">
        <f t="shared" ref="B35:B38" si="6">+B34+0.01</f>
        <v>5.01</v>
      </c>
      <c r="C35" s="1553"/>
      <c r="D35" s="1442" t="s">
        <v>361</v>
      </c>
      <c r="E35" s="1442"/>
      <c r="F35" s="1487"/>
      <c r="G35" s="1541" t="s">
        <v>187</v>
      </c>
      <c r="H35" s="1566">
        <v>1.2</v>
      </c>
      <c r="I35" s="1505">
        <v>19.260000000000002</v>
      </c>
      <c r="J35" s="1542">
        <f>+ROUND(I35*H35,2)</f>
        <v>23.11</v>
      </c>
      <c r="K35" s="323"/>
      <c r="L35" s="328"/>
      <c r="M35" s="328"/>
      <c r="N35" s="328"/>
      <c r="O35" s="324"/>
      <c r="P35" s="1719"/>
      <c r="Q35" s="324"/>
    </row>
    <row r="36" spans="2:18" ht="16.5">
      <c r="B36" s="1535">
        <f t="shared" si="6"/>
        <v>5.0199999999999996</v>
      </c>
      <c r="C36" s="1553"/>
      <c r="D36" s="1442" t="s">
        <v>159</v>
      </c>
      <c r="E36" s="1442"/>
      <c r="F36" s="1487"/>
      <c r="G36" s="1541" t="s">
        <v>187</v>
      </c>
      <c r="H36" s="1566">
        <v>111.5</v>
      </c>
      <c r="I36" s="1505">
        <v>4.82</v>
      </c>
      <c r="J36" s="1542">
        <f>+ROUND(I36*H36,2)</f>
        <v>537.42999999999995</v>
      </c>
      <c r="K36" s="323"/>
      <c r="L36" s="328"/>
      <c r="M36" s="328"/>
      <c r="N36" s="328"/>
      <c r="O36" s="324"/>
      <c r="P36" s="1719"/>
      <c r="Q36" s="324"/>
    </row>
    <row r="37" spans="2:18" ht="16.5">
      <c r="B37" s="1535">
        <f t="shared" si="6"/>
        <v>5.0299999999999994</v>
      </c>
      <c r="C37" s="1553"/>
      <c r="D37" s="1442" t="s">
        <v>160</v>
      </c>
      <c r="E37" s="1442"/>
      <c r="F37" s="1487"/>
      <c r="G37" s="1541" t="s">
        <v>187</v>
      </c>
      <c r="H37" s="1566">
        <v>3985</v>
      </c>
      <c r="I37" s="1505">
        <v>4.8</v>
      </c>
      <c r="J37" s="1542">
        <f t="shared" ref="J37:J38" si="7">+ROUND(I37*H37,2)</f>
        <v>19128</v>
      </c>
      <c r="K37" s="323"/>
      <c r="L37" s="328"/>
      <c r="M37" s="328"/>
      <c r="N37" s="328"/>
      <c r="O37" s="324"/>
      <c r="P37" s="1719"/>
      <c r="Q37" s="324"/>
      <c r="R37" s="324"/>
    </row>
    <row r="38" spans="2:18" ht="16.5">
      <c r="B38" s="1535">
        <f t="shared" si="6"/>
        <v>5.0399999999999991</v>
      </c>
      <c r="C38" s="1553"/>
      <c r="D38" s="1442" t="s">
        <v>336</v>
      </c>
      <c r="E38" s="1442"/>
      <c r="F38" s="1487"/>
      <c r="G38" s="1541" t="s">
        <v>187</v>
      </c>
      <c r="H38" s="1566">
        <v>925.5</v>
      </c>
      <c r="I38" s="1505">
        <v>12.8</v>
      </c>
      <c r="J38" s="1542">
        <f t="shared" si="7"/>
        <v>11846.4</v>
      </c>
      <c r="K38" s="323"/>
      <c r="L38" s="328"/>
      <c r="M38" s="328"/>
      <c r="N38" s="328"/>
      <c r="O38" s="324"/>
      <c r="P38" s="1719"/>
      <c r="Q38" s="328"/>
      <c r="R38" s="324"/>
    </row>
    <row r="39" spans="2:18" ht="16.5">
      <c r="B39" s="1464"/>
      <c r="C39" s="1553"/>
      <c r="D39" s="1442"/>
      <c r="E39" s="1442"/>
      <c r="F39" s="1554" t="str">
        <f>+"SUB-TOTAL   "&amp;B34&amp;":  "</f>
        <v xml:space="preserve">SUB-TOTAL   5:  </v>
      </c>
      <c r="G39" s="1606"/>
      <c r="H39" s="1607"/>
      <c r="I39" s="1607"/>
      <c r="J39" s="1619">
        <f>+SUM(J35:J38)</f>
        <v>31534.940000000002</v>
      </c>
      <c r="K39" s="323"/>
      <c r="L39" s="328"/>
      <c r="M39" s="328"/>
      <c r="N39" s="328"/>
      <c r="O39" s="324"/>
      <c r="P39" s="1719"/>
    </row>
    <row r="40" spans="2:18" ht="16.5">
      <c r="B40" s="1534">
        <f>+B34+1</f>
        <v>6</v>
      </c>
      <c r="C40" s="1553"/>
      <c r="D40" s="1484" t="s">
        <v>145</v>
      </c>
      <c r="E40" s="1442"/>
      <c r="F40" s="1487"/>
      <c r="G40" s="1541"/>
      <c r="H40" s="1566"/>
      <c r="I40" s="1566"/>
      <c r="J40" s="1542"/>
      <c r="K40" s="323"/>
      <c r="L40" s="328"/>
      <c r="M40" s="328"/>
      <c r="N40" s="328"/>
      <c r="O40" s="324"/>
      <c r="P40" s="1719"/>
    </row>
    <row r="41" spans="2:18" ht="16.5">
      <c r="B41" s="1535">
        <f t="shared" ref="B41:B47" si="8">+B40+0.01</f>
        <v>6.01</v>
      </c>
      <c r="C41" s="1553"/>
      <c r="D41" s="1442" t="s">
        <v>570</v>
      </c>
      <c r="E41" s="1867"/>
      <c r="F41" s="1868"/>
      <c r="G41" s="1541" t="s">
        <v>18</v>
      </c>
      <c r="H41" s="1566">
        <v>2</v>
      </c>
      <c r="I41" s="1505">
        <v>55.07</v>
      </c>
      <c r="J41" s="1542">
        <f t="shared" ref="J41:J47" si="9">+ROUND(I41*H41,2)</f>
        <v>110.14</v>
      </c>
      <c r="K41" s="323"/>
      <c r="L41" s="328"/>
      <c r="M41" s="328"/>
      <c r="N41" s="328"/>
      <c r="O41" s="324"/>
      <c r="P41" s="1719"/>
      <c r="Q41" s="329"/>
      <c r="R41" s="324"/>
    </row>
    <row r="42" spans="2:18" ht="16.5">
      <c r="B42" s="1535">
        <f t="shared" si="8"/>
        <v>6.02</v>
      </c>
      <c r="C42" s="1553"/>
      <c r="D42" s="1442" t="s">
        <v>169</v>
      </c>
      <c r="E42" s="1867"/>
      <c r="F42" s="1868"/>
      <c r="G42" s="1541" t="s">
        <v>18</v>
      </c>
      <c r="H42" s="1566">
        <v>43</v>
      </c>
      <c r="I42" s="1505">
        <v>66.86</v>
      </c>
      <c r="J42" s="1542">
        <f t="shared" si="9"/>
        <v>2874.98</v>
      </c>
      <c r="K42" s="323"/>
      <c r="L42" s="328"/>
      <c r="M42" s="328"/>
      <c r="N42" s="328"/>
      <c r="O42" s="324"/>
      <c r="P42" s="1719"/>
      <c r="Q42" s="329"/>
      <c r="R42" s="324"/>
    </row>
    <row r="43" spans="2:18" ht="16.5">
      <c r="B43" s="1535">
        <f t="shared" si="8"/>
        <v>6.0299999999999994</v>
      </c>
      <c r="C43" s="1553"/>
      <c r="D43" s="1442" t="s">
        <v>170</v>
      </c>
      <c r="E43" s="1442"/>
      <c r="F43" s="1487"/>
      <c r="G43" s="1541" t="s">
        <v>18</v>
      </c>
      <c r="H43" s="1566">
        <v>45</v>
      </c>
      <c r="I43" s="1505">
        <v>251.32</v>
      </c>
      <c r="J43" s="1542">
        <f t="shared" si="9"/>
        <v>11309.4</v>
      </c>
      <c r="K43" s="323"/>
      <c r="L43" s="328"/>
      <c r="M43" s="328"/>
      <c r="N43" s="328"/>
      <c r="O43" s="324"/>
      <c r="P43" s="1719"/>
      <c r="Q43" s="328"/>
      <c r="R43" s="324"/>
    </row>
    <row r="44" spans="2:18" ht="16.5">
      <c r="B44" s="1535">
        <f t="shared" si="8"/>
        <v>6.0399999999999991</v>
      </c>
      <c r="C44" s="1553"/>
      <c r="D44" s="1442" t="s">
        <v>171</v>
      </c>
      <c r="E44" s="1442"/>
      <c r="F44" s="1487"/>
      <c r="G44" s="1541" t="s">
        <v>18</v>
      </c>
      <c r="H44" s="1566">
        <v>45</v>
      </c>
      <c r="I44" s="1505">
        <v>38.94</v>
      </c>
      <c r="J44" s="1542">
        <f t="shared" si="9"/>
        <v>1752.3</v>
      </c>
      <c r="K44" s="323"/>
      <c r="L44" s="328"/>
      <c r="M44" s="328"/>
      <c r="N44" s="328"/>
      <c r="O44" s="324"/>
      <c r="P44" s="1719"/>
      <c r="Q44" s="328"/>
      <c r="R44" s="324"/>
    </row>
    <row r="45" spans="2:18" ht="16.5">
      <c r="B45" s="1535">
        <f t="shared" si="8"/>
        <v>6.0499999999999989</v>
      </c>
      <c r="C45" s="1553"/>
      <c r="D45" s="1442" t="s">
        <v>362</v>
      </c>
      <c r="E45" s="1442"/>
      <c r="F45" s="1487"/>
      <c r="G45" s="1541" t="s">
        <v>18</v>
      </c>
      <c r="H45" s="1566">
        <v>45</v>
      </c>
      <c r="I45" s="1505">
        <v>3.31</v>
      </c>
      <c r="J45" s="1542">
        <f t="shared" si="9"/>
        <v>148.94999999999999</v>
      </c>
      <c r="K45" s="323"/>
      <c r="L45" s="328"/>
      <c r="M45" s="328"/>
      <c r="N45" s="328"/>
      <c r="O45" s="324"/>
      <c r="P45" s="1719"/>
      <c r="Q45" s="328"/>
      <c r="R45" s="324"/>
    </row>
    <row r="46" spans="2:18" ht="16.5">
      <c r="B46" s="1535">
        <f t="shared" si="8"/>
        <v>6.0599999999999987</v>
      </c>
      <c r="C46" s="1553"/>
      <c r="D46" s="1442" t="s">
        <v>412</v>
      </c>
      <c r="E46" s="1442"/>
      <c r="F46" s="1487"/>
      <c r="G46" s="1541" t="s">
        <v>18</v>
      </c>
      <c r="H46" s="1566">
        <v>45</v>
      </c>
      <c r="I46" s="1505">
        <v>7.04</v>
      </c>
      <c r="J46" s="1542">
        <f t="shared" si="9"/>
        <v>316.8</v>
      </c>
      <c r="K46" s="323"/>
      <c r="L46" s="328"/>
      <c r="M46" s="328"/>
      <c r="N46" s="328"/>
      <c r="O46" s="324"/>
      <c r="P46" s="1719"/>
      <c r="Q46" s="328"/>
      <c r="R46" s="324"/>
    </row>
    <row r="47" spans="2:18" ht="16.5">
      <c r="B47" s="1535">
        <f t="shared" si="8"/>
        <v>6.0699999999999985</v>
      </c>
      <c r="C47" s="1553"/>
      <c r="D47" s="1442" t="s">
        <v>357</v>
      </c>
      <c r="E47" s="1442"/>
      <c r="F47" s="1487"/>
      <c r="G47" s="1541" t="s">
        <v>18</v>
      </c>
      <c r="H47" s="1566">
        <v>45</v>
      </c>
      <c r="I47" s="1505">
        <v>5.21</v>
      </c>
      <c r="J47" s="1542">
        <f t="shared" si="9"/>
        <v>234.45</v>
      </c>
      <c r="K47" s="323"/>
      <c r="L47" s="328"/>
      <c r="M47" s="328"/>
      <c r="N47" s="328"/>
      <c r="O47" s="324"/>
      <c r="P47" s="1719"/>
      <c r="Q47" s="328"/>
      <c r="R47" s="324"/>
    </row>
    <row r="48" spans="2:18" ht="16.5">
      <c r="B48" s="1464"/>
      <c r="C48" s="1553"/>
      <c r="D48" s="1442"/>
      <c r="E48" s="1442"/>
      <c r="F48" s="1554" t="str">
        <f>+"SUB-TOTAL   "&amp;B40&amp;":  "</f>
        <v xml:space="preserve">SUB-TOTAL   6:  </v>
      </c>
      <c r="G48" s="1606"/>
      <c r="H48" s="1607"/>
      <c r="I48" s="1607"/>
      <c r="J48" s="1619">
        <f>+SUM(J41:J47)</f>
        <v>16747.02</v>
      </c>
      <c r="K48" s="323"/>
      <c r="L48" s="328"/>
      <c r="M48" s="328"/>
      <c r="N48" s="328"/>
      <c r="O48" s="324"/>
      <c r="P48" s="1719"/>
    </row>
    <row r="49" spans="2:18" ht="16.5">
      <c r="B49" s="1534">
        <f>+B40+1</f>
        <v>7</v>
      </c>
      <c r="C49" s="1553"/>
      <c r="D49" s="1484" t="s">
        <v>277</v>
      </c>
      <c r="E49" s="1442"/>
      <c r="F49" s="1487"/>
      <c r="G49" s="1541"/>
      <c r="H49" s="1566"/>
      <c r="I49" s="1566"/>
      <c r="J49" s="1542"/>
      <c r="K49" s="323"/>
      <c r="L49" s="328"/>
      <c r="M49" s="328"/>
      <c r="N49" s="328"/>
      <c r="O49" s="324"/>
      <c r="P49" s="1719"/>
    </row>
    <row r="50" spans="2:18" ht="16.5">
      <c r="B50" s="1535">
        <f t="shared" ref="B50:B61" si="10">+B49+0.01</f>
        <v>7.01</v>
      </c>
      <c r="C50" s="1553"/>
      <c r="D50" s="1442" t="s">
        <v>445</v>
      </c>
      <c r="E50" s="1442"/>
      <c r="F50" s="1487"/>
      <c r="G50" s="1541" t="s">
        <v>187</v>
      </c>
      <c r="H50" s="1566">
        <v>1076</v>
      </c>
      <c r="I50" s="1505">
        <v>4.3099999999999996</v>
      </c>
      <c r="J50" s="1542">
        <f t="shared" ref="J50:J61" si="11">+ROUND(I50*H50,2)</f>
        <v>4637.5600000000004</v>
      </c>
      <c r="K50" s="323"/>
      <c r="L50" s="328"/>
      <c r="M50" s="328"/>
      <c r="N50" s="328"/>
      <c r="O50" s="324"/>
      <c r="P50" s="1719"/>
      <c r="Q50" s="1721"/>
      <c r="R50" s="324"/>
    </row>
    <row r="51" spans="2:18" ht="16.5">
      <c r="B51" s="1535">
        <f t="shared" si="10"/>
        <v>7.02</v>
      </c>
      <c r="C51" s="1553"/>
      <c r="D51" s="1442" t="s">
        <v>152</v>
      </c>
      <c r="E51" s="1442"/>
      <c r="F51" s="1487"/>
      <c r="G51" s="1541" t="s">
        <v>18</v>
      </c>
      <c r="H51" s="1566">
        <v>106</v>
      </c>
      <c r="I51" s="1505">
        <v>13.17</v>
      </c>
      <c r="J51" s="1542">
        <f t="shared" si="11"/>
        <v>1396.02</v>
      </c>
      <c r="K51" s="323"/>
      <c r="L51" s="328"/>
      <c r="M51" s="328"/>
      <c r="N51" s="328"/>
      <c r="O51" s="324"/>
      <c r="P51" s="1719"/>
      <c r="Q51" s="1721"/>
      <c r="R51" s="324"/>
    </row>
    <row r="52" spans="2:18" ht="16.5">
      <c r="B52" s="1535">
        <f t="shared" si="10"/>
        <v>7.0299999999999994</v>
      </c>
      <c r="C52" s="1553"/>
      <c r="D52" s="1442" t="s">
        <v>316</v>
      </c>
      <c r="E52" s="1442"/>
      <c r="F52" s="1487"/>
      <c r="G52" s="1541" t="s">
        <v>18</v>
      </c>
      <c r="H52" s="1566">
        <v>3</v>
      </c>
      <c r="I52" s="1505">
        <v>14.23</v>
      </c>
      <c r="J52" s="1542">
        <f t="shared" si="11"/>
        <v>42.69</v>
      </c>
      <c r="K52" s="323"/>
      <c r="L52" s="328"/>
      <c r="M52" s="328"/>
      <c r="N52" s="328"/>
      <c r="O52" s="324"/>
      <c r="P52" s="1719"/>
      <c r="Q52" s="1721"/>
      <c r="R52" s="324"/>
    </row>
    <row r="53" spans="2:18" ht="16.5">
      <c r="B53" s="1535">
        <f t="shared" si="10"/>
        <v>7.0399999999999991</v>
      </c>
      <c r="C53" s="1553"/>
      <c r="D53" s="1442" t="s">
        <v>153</v>
      </c>
      <c r="E53" s="1867"/>
      <c r="F53" s="1868"/>
      <c r="G53" s="1541" t="s">
        <v>18</v>
      </c>
      <c r="H53" s="1566">
        <v>109</v>
      </c>
      <c r="I53" s="1505">
        <v>46.85</v>
      </c>
      <c r="J53" s="1542">
        <f t="shared" si="11"/>
        <v>5106.6499999999996</v>
      </c>
      <c r="K53" s="323"/>
      <c r="L53" s="328"/>
      <c r="M53" s="328"/>
      <c r="N53" s="328"/>
      <c r="O53" s="324"/>
      <c r="P53" s="1719"/>
      <c r="Q53" s="329"/>
      <c r="R53" s="324"/>
    </row>
    <row r="54" spans="2:18" ht="16.5">
      <c r="B54" s="1535">
        <f t="shared" si="10"/>
        <v>7.0499999999999989</v>
      </c>
      <c r="C54" s="1553"/>
      <c r="D54" s="1442" t="s">
        <v>343</v>
      </c>
      <c r="E54" s="1442"/>
      <c r="F54" s="1487"/>
      <c r="G54" s="1541" t="s">
        <v>18</v>
      </c>
      <c r="H54" s="1566">
        <v>109</v>
      </c>
      <c r="I54" s="1505">
        <v>5.46</v>
      </c>
      <c r="J54" s="1542">
        <f t="shared" si="11"/>
        <v>595.14</v>
      </c>
      <c r="K54" s="323"/>
      <c r="L54" s="328"/>
      <c r="M54" s="328"/>
      <c r="N54" s="328"/>
      <c r="O54" s="324"/>
      <c r="P54" s="1719"/>
      <c r="Q54" s="329"/>
      <c r="R54" s="324"/>
    </row>
    <row r="55" spans="2:18" ht="16.5">
      <c r="B55" s="1535">
        <f t="shared" si="10"/>
        <v>7.0599999999999987</v>
      </c>
      <c r="C55" s="1553"/>
      <c r="D55" s="1442" t="s">
        <v>342</v>
      </c>
      <c r="E55" s="1442"/>
      <c r="F55" s="1487"/>
      <c r="G55" s="1541" t="s">
        <v>18</v>
      </c>
      <c r="H55" s="1566">
        <v>218</v>
      </c>
      <c r="I55" s="1505">
        <v>11.69</v>
      </c>
      <c r="J55" s="1542">
        <f t="shared" si="11"/>
        <v>2548.42</v>
      </c>
      <c r="K55" s="323"/>
      <c r="L55" s="328"/>
      <c r="M55" s="328"/>
      <c r="N55" s="328"/>
      <c r="O55" s="324"/>
      <c r="P55" s="1719"/>
      <c r="Q55" s="1721"/>
    </row>
    <row r="56" spans="2:18" ht="16.5">
      <c r="B56" s="1535">
        <f t="shared" si="10"/>
        <v>7.0699999999999985</v>
      </c>
      <c r="C56" s="1553"/>
      <c r="D56" s="1442" t="s">
        <v>167</v>
      </c>
      <c r="E56" s="1442"/>
      <c r="F56" s="1487"/>
      <c r="G56" s="1541" t="s">
        <v>18</v>
      </c>
      <c r="H56" s="1566">
        <v>218</v>
      </c>
      <c r="I56" s="1505">
        <v>1.67</v>
      </c>
      <c r="J56" s="1542">
        <f t="shared" si="11"/>
        <v>364.06</v>
      </c>
      <c r="K56" s="323"/>
      <c r="L56" s="328"/>
      <c r="M56" s="328"/>
      <c r="N56" s="328"/>
      <c r="O56" s="324"/>
      <c r="P56" s="1719"/>
      <c r="Q56" s="329"/>
      <c r="R56" s="324"/>
    </row>
    <row r="57" spans="2:18" ht="16.5">
      <c r="B57" s="1535">
        <f t="shared" si="10"/>
        <v>7.0799999999999983</v>
      </c>
      <c r="C57" s="1553"/>
      <c r="D57" s="1442" t="s">
        <v>298</v>
      </c>
      <c r="E57" s="1867"/>
      <c r="F57" s="1868"/>
      <c r="G57" s="1541" t="s">
        <v>18</v>
      </c>
      <c r="H57" s="1566">
        <v>14</v>
      </c>
      <c r="I57" s="1505">
        <v>105.33</v>
      </c>
      <c r="J57" s="1542">
        <f t="shared" si="11"/>
        <v>1474.62</v>
      </c>
      <c r="K57" s="323"/>
      <c r="L57" s="328"/>
      <c r="M57" s="328"/>
      <c r="N57" s="328"/>
      <c r="O57" s="324"/>
      <c r="P57" s="1719"/>
      <c r="Q57" s="329"/>
      <c r="R57" s="324"/>
    </row>
    <row r="58" spans="2:18" ht="16.5">
      <c r="B58" s="1535">
        <f t="shared" si="10"/>
        <v>7.0899999999999981</v>
      </c>
      <c r="C58" s="1553"/>
      <c r="D58" s="1442" t="s">
        <v>372</v>
      </c>
      <c r="E58" s="1442"/>
      <c r="F58" s="1487"/>
      <c r="G58" s="1541" t="s">
        <v>187</v>
      </c>
      <c r="H58" s="1566">
        <v>327</v>
      </c>
      <c r="I58" s="1505">
        <v>0.69</v>
      </c>
      <c r="J58" s="1542">
        <f t="shared" si="11"/>
        <v>225.63</v>
      </c>
      <c r="K58" s="323"/>
      <c r="L58" s="328"/>
      <c r="M58" s="328"/>
      <c r="N58" s="328"/>
      <c r="O58" s="324"/>
      <c r="P58" s="1719"/>
      <c r="Q58" s="1721"/>
    </row>
    <row r="59" spans="2:18" ht="16.5">
      <c r="B59" s="1535">
        <f t="shared" si="10"/>
        <v>7.0999999999999979</v>
      </c>
      <c r="C59" s="1553"/>
      <c r="D59" s="1442" t="s">
        <v>446</v>
      </c>
      <c r="E59" s="1442"/>
      <c r="F59" s="1487"/>
      <c r="G59" s="1541" t="s">
        <v>18</v>
      </c>
      <c r="H59" s="1566">
        <v>109</v>
      </c>
      <c r="I59" s="1505">
        <v>40.94</v>
      </c>
      <c r="J59" s="1542">
        <f t="shared" si="11"/>
        <v>4462.46</v>
      </c>
      <c r="K59" s="323"/>
      <c r="L59" s="328"/>
      <c r="M59" s="328"/>
      <c r="N59" s="328"/>
      <c r="O59" s="324"/>
      <c r="P59" s="1719"/>
      <c r="Q59" s="1721"/>
      <c r="R59" s="324"/>
    </row>
    <row r="60" spans="2:18" ht="16.5">
      <c r="B60" s="1535">
        <f t="shared" si="10"/>
        <v>7.1099999999999977</v>
      </c>
      <c r="C60" s="1553"/>
      <c r="D60" s="1442" t="s">
        <v>357</v>
      </c>
      <c r="E60" s="1442"/>
      <c r="F60" s="1487"/>
      <c r="G60" s="1541" t="s">
        <v>18</v>
      </c>
      <c r="H60" s="1566">
        <v>109</v>
      </c>
      <c r="I60" s="1505">
        <v>5.21</v>
      </c>
      <c r="J60" s="1542">
        <f t="shared" si="11"/>
        <v>567.89</v>
      </c>
      <c r="K60" s="323"/>
      <c r="L60" s="328"/>
      <c r="M60" s="328"/>
      <c r="N60" s="328"/>
      <c r="O60" s="324"/>
      <c r="P60" s="1719"/>
      <c r="Q60" s="329"/>
      <c r="R60" s="324"/>
    </row>
    <row r="61" spans="2:18" ht="16.5">
      <c r="B61" s="1535">
        <f t="shared" si="10"/>
        <v>7.1199999999999974</v>
      </c>
      <c r="C61" s="1553"/>
      <c r="D61" s="1442" t="s">
        <v>348</v>
      </c>
      <c r="E61" s="1867"/>
      <c r="F61" s="1868"/>
      <c r="G61" s="1541" t="s">
        <v>18</v>
      </c>
      <c r="H61" s="1566">
        <v>109</v>
      </c>
      <c r="I61" s="1505">
        <v>8.52</v>
      </c>
      <c r="J61" s="1542">
        <f t="shared" si="11"/>
        <v>928.68</v>
      </c>
      <c r="K61" s="323"/>
      <c r="L61" s="328"/>
      <c r="M61" s="328"/>
      <c r="N61" s="328"/>
      <c r="O61" s="324"/>
      <c r="P61" s="1719"/>
      <c r="Q61" s="329"/>
      <c r="R61" s="324"/>
    </row>
    <row r="62" spans="2:18" ht="16.5">
      <c r="B62" s="1464"/>
      <c r="C62" s="1553"/>
      <c r="D62" s="1442"/>
      <c r="E62" s="1442"/>
      <c r="F62" s="1554" t="str">
        <f>+"SUB-TOTAL   "&amp;B49&amp;":  "</f>
        <v xml:space="preserve">SUB-TOTAL   7:  </v>
      </c>
      <c r="G62" s="1606"/>
      <c r="H62" s="1607"/>
      <c r="I62" s="1607"/>
      <c r="J62" s="1619">
        <f>+SUM(J50:J61)</f>
        <v>22349.819999999996</v>
      </c>
      <c r="K62" s="323"/>
      <c r="L62" s="328"/>
      <c r="M62" s="328"/>
      <c r="N62" s="328"/>
      <c r="O62" s="324"/>
      <c r="P62" s="1719"/>
    </row>
    <row r="63" spans="2:18" ht="16.5">
      <c r="B63" s="1534">
        <f>+B49+1</f>
        <v>8</v>
      </c>
      <c r="C63" s="1553"/>
      <c r="D63" s="1484" t="s">
        <v>146</v>
      </c>
      <c r="E63" s="1442"/>
      <c r="F63" s="1487"/>
      <c r="G63" s="1541"/>
      <c r="H63" s="1566"/>
      <c r="I63" s="1566"/>
      <c r="J63" s="1542"/>
      <c r="K63" s="323"/>
      <c r="L63" s="328"/>
      <c r="M63" s="328"/>
      <c r="N63" s="328"/>
      <c r="O63" s="324"/>
      <c r="P63" s="1719"/>
    </row>
    <row r="64" spans="2:18" ht="16.5">
      <c r="B64" s="1535">
        <f>+B63+0.01</f>
        <v>8.01</v>
      </c>
      <c r="C64" s="1553"/>
      <c r="D64" s="1442" t="s">
        <v>548</v>
      </c>
      <c r="E64" s="1442"/>
      <c r="F64" s="1487"/>
      <c r="G64" s="1541" t="s">
        <v>18</v>
      </c>
      <c r="H64" s="1566">
        <v>141</v>
      </c>
      <c r="I64" s="1505">
        <v>12.36</v>
      </c>
      <c r="J64" s="1542">
        <f t="shared" ref="J64:J77" si="12">+ROUND(I64*H64,2)</f>
        <v>1742.76</v>
      </c>
      <c r="K64" s="323"/>
      <c r="L64" s="328"/>
      <c r="M64" s="328"/>
      <c r="N64" s="328"/>
      <c r="O64" s="324"/>
      <c r="P64" s="1719"/>
      <c r="Q64" s="329"/>
      <c r="R64" s="324"/>
    </row>
    <row r="65" spans="2:18" ht="16.5">
      <c r="B65" s="1535">
        <f t="shared" ref="B65:B77" si="13">+B64+0.01</f>
        <v>8.02</v>
      </c>
      <c r="C65" s="1553"/>
      <c r="D65" s="1442" t="s">
        <v>363</v>
      </c>
      <c r="E65" s="1442"/>
      <c r="F65" s="1487"/>
      <c r="G65" s="1541" t="s">
        <v>18</v>
      </c>
      <c r="H65" s="1566">
        <v>22</v>
      </c>
      <c r="I65" s="1505">
        <v>14.34</v>
      </c>
      <c r="J65" s="1542">
        <f t="shared" si="12"/>
        <v>315.48</v>
      </c>
      <c r="K65" s="323"/>
      <c r="L65" s="328"/>
      <c r="M65" s="328"/>
      <c r="N65" s="328"/>
      <c r="O65" s="324"/>
      <c r="P65" s="1719"/>
      <c r="Q65" s="329"/>
      <c r="R65" s="324"/>
    </row>
    <row r="66" spans="2:18" ht="16.5">
      <c r="B66" s="1535">
        <f t="shared" si="13"/>
        <v>8.0299999999999994</v>
      </c>
      <c r="C66" s="1553"/>
      <c r="D66" s="1442" t="s">
        <v>314</v>
      </c>
      <c r="E66" s="1442"/>
      <c r="F66" s="1487"/>
      <c r="G66" s="1541" t="s">
        <v>18</v>
      </c>
      <c r="H66" s="1566">
        <v>248</v>
      </c>
      <c r="I66" s="1505">
        <v>5.57</v>
      </c>
      <c r="J66" s="1542">
        <f t="shared" si="12"/>
        <v>1381.36</v>
      </c>
      <c r="K66" s="323"/>
      <c r="L66" s="328"/>
      <c r="M66" s="328"/>
      <c r="N66" s="328"/>
      <c r="O66" s="324"/>
      <c r="P66" s="1719"/>
      <c r="Q66" s="329"/>
    </row>
    <row r="67" spans="2:18" ht="16.5">
      <c r="B67" s="1535">
        <f t="shared" si="13"/>
        <v>8.0399999999999991</v>
      </c>
      <c r="C67" s="1553"/>
      <c r="D67" s="1442" t="s">
        <v>315</v>
      </c>
      <c r="E67" s="1442"/>
      <c r="F67" s="1487"/>
      <c r="G67" s="1541" t="s">
        <v>18</v>
      </c>
      <c r="H67" s="1566">
        <v>50</v>
      </c>
      <c r="I67" s="1505">
        <v>6.25</v>
      </c>
      <c r="J67" s="1542">
        <f t="shared" si="12"/>
        <v>312.5</v>
      </c>
      <c r="K67" s="323"/>
      <c r="L67" s="328"/>
      <c r="M67" s="328"/>
      <c r="N67" s="328"/>
      <c r="O67" s="324"/>
      <c r="P67" s="1719"/>
      <c r="Q67" s="329"/>
      <c r="R67" s="324"/>
    </row>
    <row r="68" spans="2:18" ht="16.5">
      <c r="B68" s="1535">
        <f t="shared" si="13"/>
        <v>8.0499999999999989</v>
      </c>
      <c r="C68" s="1553"/>
      <c r="D68" s="1442" t="s">
        <v>313</v>
      </c>
      <c r="E68" s="1442"/>
      <c r="F68" s="1487"/>
      <c r="G68" s="1541" t="s">
        <v>18</v>
      </c>
      <c r="H68" s="1566">
        <v>127</v>
      </c>
      <c r="I68" s="1505">
        <v>13.11</v>
      </c>
      <c r="J68" s="1542">
        <f t="shared" si="12"/>
        <v>1664.97</v>
      </c>
      <c r="K68" s="323"/>
      <c r="L68" s="328"/>
      <c r="M68" s="328"/>
      <c r="N68" s="328"/>
      <c r="O68" s="324"/>
      <c r="P68" s="1719"/>
      <c r="Q68" s="329"/>
      <c r="R68" s="324"/>
    </row>
    <row r="69" spans="2:18" ht="16.5">
      <c r="B69" s="1535">
        <f t="shared" si="13"/>
        <v>8.0599999999999987</v>
      </c>
      <c r="C69" s="1553"/>
      <c r="D69" s="1442" t="s">
        <v>293</v>
      </c>
      <c r="E69" s="1442"/>
      <c r="F69" s="1487"/>
      <c r="G69" s="1541" t="s">
        <v>18</v>
      </c>
      <c r="H69" s="1566">
        <v>33</v>
      </c>
      <c r="I69" s="1505">
        <v>14.35</v>
      </c>
      <c r="J69" s="1542">
        <f t="shared" si="12"/>
        <v>473.55</v>
      </c>
      <c r="K69" s="323"/>
      <c r="L69" s="328"/>
      <c r="M69" s="328"/>
      <c r="N69" s="328"/>
      <c r="O69" s="324"/>
      <c r="P69" s="1719"/>
      <c r="Q69" s="329"/>
      <c r="R69" s="324"/>
    </row>
    <row r="70" spans="2:18" ht="16.5">
      <c r="B70" s="1535">
        <f t="shared" si="13"/>
        <v>8.0699999999999985</v>
      </c>
      <c r="C70" s="1553"/>
      <c r="D70" s="1442" t="s">
        <v>12</v>
      </c>
      <c r="E70" s="1442"/>
      <c r="F70" s="1487"/>
      <c r="G70" s="1541" t="s">
        <v>18</v>
      </c>
      <c r="H70" s="1566">
        <v>58</v>
      </c>
      <c r="I70" s="1505">
        <v>11.17</v>
      </c>
      <c r="J70" s="1542">
        <f t="shared" si="12"/>
        <v>647.86</v>
      </c>
      <c r="K70" s="323"/>
      <c r="L70" s="328"/>
      <c r="M70" s="328"/>
      <c r="N70" s="328"/>
      <c r="O70" s="324"/>
      <c r="P70" s="1719"/>
      <c r="Q70" s="329"/>
      <c r="R70" s="324"/>
    </row>
    <row r="71" spans="2:18" ht="16.5">
      <c r="B71" s="1535">
        <f t="shared" si="13"/>
        <v>8.0799999999999983</v>
      </c>
      <c r="C71" s="1553"/>
      <c r="D71" s="1442" t="s">
        <v>299</v>
      </c>
      <c r="E71" s="1442"/>
      <c r="F71" s="1487"/>
      <c r="G71" s="1541" t="s">
        <v>187</v>
      </c>
      <c r="H71" s="1566">
        <v>2</v>
      </c>
      <c r="I71" s="1505">
        <v>6.02</v>
      </c>
      <c r="J71" s="1542">
        <f t="shared" si="12"/>
        <v>12.04</v>
      </c>
      <c r="K71" s="323"/>
      <c r="L71" s="328"/>
      <c r="M71" s="328"/>
      <c r="N71" s="328"/>
      <c r="O71" s="324"/>
      <c r="P71" s="1719"/>
      <c r="Q71" s="329"/>
      <c r="R71" s="324"/>
    </row>
    <row r="72" spans="2:18" ht="16.5">
      <c r="B72" s="1535">
        <f t="shared" si="13"/>
        <v>8.0899999999999981</v>
      </c>
      <c r="C72" s="1553"/>
      <c r="D72" s="1757" t="s">
        <v>971</v>
      </c>
      <c r="E72" s="1442"/>
      <c r="F72" s="1487"/>
      <c r="G72" s="1541" t="s">
        <v>18</v>
      </c>
      <c r="H72" s="1566">
        <v>296</v>
      </c>
      <c r="I72" s="1505">
        <v>1.63</v>
      </c>
      <c r="J72" s="1542">
        <f t="shared" si="12"/>
        <v>482.48</v>
      </c>
      <c r="K72" s="323"/>
      <c r="L72" s="328"/>
      <c r="M72" s="328"/>
      <c r="N72" s="328"/>
      <c r="O72" s="324"/>
      <c r="P72" s="1719"/>
      <c r="Q72" s="329"/>
      <c r="R72" s="324"/>
    </row>
    <row r="73" spans="2:18" ht="16.5">
      <c r="B73" s="1535">
        <f t="shared" si="13"/>
        <v>8.0999999999999979</v>
      </c>
      <c r="C73" s="1553"/>
      <c r="D73" s="1442" t="s">
        <v>167</v>
      </c>
      <c r="E73" s="1442"/>
      <c r="F73" s="1487"/>
      <c r="G73" s="1541" t="s">
        <v>18</v>
      </c>
      <c r="H73" s="1566">
        <v>483</v>
      </c>
      <c r="I73" s="1505">
        <v>1.67</v>
      </c>
      <c r="J73" s="1542">
        <f t="shared" si="12"/>
        <v>806.61</v>
      </c>
      <c r="K73" s="323"/>
      <c r="L73" s="328"/>
      <c r="M73" s="328"/>
      <c r="N73" s="328"/>
      <c r="O73" s="324"/>
      <c r="P73" s="1719"/>
      <c r="Q73" s="329"/>
      <c r="R73" s="324"/>
    </row>
    <row r="74" spans="2:18" ht="16.5">
      <c r="B74" s="1535">
        <f t="shared" si="13"/>
        <v>8.1099999999999977</v>
      </c>
      <c r="C74" s="1553"/>
      <c r="D74" s="1442" t="s">
        <v>447</v>
      </c>
      <c r="E74" s="1442"/>
      <c r="F74" s="1487"/>
      <c r="G74" s="1541" t="s">
        <v>18</v>
      </c>
      <c r="H74" s="1566">
        <v>2</v>
      </c>
      <c r="I74" s="1505">
        <v>133.02000000000001</v>
      </c>
      <c r="J74" s="1542">
        <f t="shared" si="12"/>
        <v>266.04000000000002</v>
      </c>
      <c r="K74" s="323"/>
      <c r="L74" s="328"/>
      <c r="M74" s="328"/>
      <c r="N74" s="328"/>
      <c r="O74" s="324"/>
      <c r="P74" s="1719"/>
      <c r="Q74" s="329"/>
      <c r="R74" s="324"/>
    </row>
    <row r="75" spans="2:18" ht="16.5">
      <c r="B75" s="1535">
        <f t="shared" si="13"/>
        <v>8.1199999999999974</v>
      </c>
      <c r="C75" s="1553"/>
      <c r="D75" s="1485" t="s">
        <v>448</v>
      </c>
      <c r="E75" s="1442"/>
      <c r="F75" s="1487"/>
      <c r="G75" s="1541" t="s">
        <v>18</v>
      </c>
      <c r="H75" s="1566">
        <v>300</v>
      </c>
      <c r="I75" s="1505">
        <v>6.63</v>
      </c>
      <c r="J75" s="1542">
        <f t="shared" si="12"/>
        <v>1989</v>
      </c>
      <c r="K75" s="323"/>
      <c r="L75" s="328"/>
      <c r="M75" s="328"/>
      <c r="N75" s="328"/>
      <c r="O75" s="324"/>
      <c r="P75" s="1719"/>
      <c r="Q75" s="329"/>
    </row>
    <row r="76" spans="2:18" ht="16.5">
      <c r="B76" s="1535">
        <f t="shared" si="13"/>
        <v>8.1299999999999972</v>
      </c>
      <c r="C76" s="1553"/>
      <c r="D76" s="1485" t="s">
        <v>340</v>
      </c>
      <c r="E76" s="1442"/>
      <c r="F76" s="1487"/>
      <c r="G76" s="1541" t="s">
        <v>18</v>
      </c>
      <c r="H76" s="1566">
        <v>9</v>
      </c>
      <c r="I76" s="1505">
        <v>16.84</v>
      </c>
      <c r="J76" s="1542">
        <f t="shared" si="12"/>
        <v>151.56</v>
      </c>
      <c r="K76" s="323"/>
      <c r="L76" s="328"/>
      <c r="M76" s="328"/>
      <c r="N76" s="328"/>
      <c r="O76" s="324"/>
      <c r="P76" s="1719"/>
      <c r="Q76" s="329"/>
    </row>
    <row r="77" spans="2:18" ht="16.5">
      <c r="B77" s="1535">
        <f t="shared" si="13"/>
        <v>8.139999999999997</v>
      </c>
      <c r="C77" s="1553"/>
      <c r="D77" s="1485" t="s">
        <v>294</v>
      </c>
      <c r="E77" s="1442"/>
      <c r="F77" s="1487"/>
      <c r="G77" s="1541" t="s">
        <v>295</v>
      </c>
      <c r="H77" s="1566">
        <v>29</v>
      </c>
      <c r="I77" s="1505">
        <v>23.08</v>
      </c>
      <c r="J77" s="1542">
        <f t="shared" si="12"/>
        <v>669.32</v>
      </c>
      <c r="K77" s="323"/>
      <c r="L77" s="328"/>
      <c r="M77" s="328"/>
      <c r="N77" s="328"/>
      <c r="O77" s="324"/>
      <c r="P77" s="1719"/>
      <c r="Q77" s="329"/>
    </row>
    <row r="78" spans="2:18" ht="16.5">
      <c r="B78" s="1543"/>
      <c r="C78" s="1556"/>
      <c r="D78" s="1522"/>
      <c r="E78" s="1522"/>
      <c r="F78" s="1557" t="str">
        <f>+"SUB-TOTAL   "&amp;B63&amp;":  "</f>
        <v xml:space="preserve">SUB-TOTAL   8:  </v>
      </c>
      <c r="G78" s="1610"/>
      <c r="H78" s="1611"/>
      <c r="I78" s="1611"/>
      <c r="J78" s="1623">
        <f>+SUM(J63:J77)</f>
        <v>10915.529999999999</v>
      </c>
      <c r="K78" s="323"/>
      <c r="L78" s="328"/>
      <c r="M78" s="328"/>
      <c r="N78" s="328"/>
      <c r="O78" s="324"/>
      <c r="P78" s="1719"/>
      <c r="Q78" s="329"/>
    </row>
    <row r="79" spans="2:18" ht="16.5">
      <c r="B79" s="1534">
        <f>1+B63</f>
        <v>9</v>
      </c>
      <c r="C79" s="1553"/>
      <c r="D79" s="1484" t="s">
        <v>172</v>
      </c>
      <c r="E79" s="1442"/>
      <c r="F79" s="1487"/>
      <c r="G79" s="1541"/>
      <c r="H79" s="1566"/>
      <c r="I79" s="1566"/>
      <c r="J79" s="1542"/>
      <c r="K79" s="323"/>
      <c r="L79" s="328"/>
      <c r="M79" s="328"/>
      <c r="N79" s="328"/>
      <c r="O79" s="324"/>
      <c r="P79" s="1719"/>
      <c r="Q79" s="329"/>
    </row>
    <row r="80" spans="2:18" ht="16.5">
      <c r="B80" s="1535">
        <f t="shared" ref="B80:B86" si="14">+B79+0.01</f>
        <v>9.01</v>
      </c>
      <c r="C80" s="1553"/>
      <c r="D80" s="1442" t="s">
        <v>154</v>
      </c>
      <c r="E80" s="1442"/>
      <c r="F80" s="1487"/>
      <c r="G80" s="1541" t="s">
        <v>18</v>
      </c>
      <c r="H80" s="1566">
        <v>72</v>
      </c>
      <c r="I80" s="1505">
        <v>66.7</v>
      </c>
      <c r="J80" s="1542">
        <f t="shared" ref="J80:J86" si="15">+ROUND(I80*H80,2)</f>
        <v>4802.3999999999996</v>
      </c>
      <c r="K80" s="323"/>
      <c r="L80" s="328"/>
      <c r="M80" s="328"/>
      <c r="N80" s="328"/>
      <c r="O80" s="324"/>
      <c r="P80" s="1719"/>
      <c r="Q80" s="329"/>
      <c r="R80" s="324"/>
    </row>
    <row r="81" spans="2:22" ht="16.5">
      <c r="B81" s="1535">
        <f t="shared" si="14"/>
        <v>9.02</v>
      </c>
      <c r="C81" s="1553"/>
      <c r="D81" s="1442" t="s">
        <v>364</v>
      </c>
      <c r="E81" s="1442"/>
      <c r="F81" s="1487"/>
      <c r="G81" s="1541" t="s">
        <v>18</v>
      </c>
      <c r="H81" s="1566">
        <v>72</v>
      </c>
      <c r="I81" s="1505">
        <v>7.89</v>
      </c>
      <c r="J81" s="1542">
        <f t="shared" si="15"/>
        <v>568.08000000000004</v>
      </c>
      <c r="K81" s="323"/>
      <c r="L81" s="328"/>
      <c r="M81" s="328"/>
      <c r="N81" s="328"/>
      <c r="O81" s="324"/>
      <c r="P81" s="1719"/>
      <c r="Q81" s="329"/>
      <c r="R81" s="324"/>
    </row>
    <row r="82" spans="2:22" ht="16.5">
      <c r="B82" s="1535">
        <f t="shared" si="14"/>
        <v>9.0299999999999994</v>
      </c>
      <c r="C82" s="1553"/>
      <c r="D82" s="1442" t="s">
        <v>449</v>
      </c>
      <c r="E82" s="1867"/>
      <c r="F82" s="1868"/>
      <c r="G82" s="1541" t="s">
        <v>18</v>
      </c>
      <c r="H82" s="1566">
        <v>72</v>
      </c>
      <c r="I82" s="1505">
        <v>6.94</v>
      </c>
      <c r="J82" s="1542">
        <f t="shared" si="15"/>
        <v>499.68</v>
      </c>
      <c r="K82" s="323"/>
      <c r="L82" s="328"/>
      <c r="M82" s="328"/>
      <c r="N82" s="328"/>
      <c r="O82" s="324"/>
      <c r="P82" s="1719"/>
      <c r="Q82" s="329"/>
      <c r="R82" s="324"/>
    </row>
    <row r="83" spans="2:22" ht="16.5">
      <c r="B83" s="1535">
        <f t="shared" si="14"/>
        <v>9.0399999999999991</v>
      </c>
      <c r="C83" s="1553"/>
      <c r="D83" s="1442" t="s">
        <v>309</v>
      </c>
      <c r="E83" s="1442"/>
      <c r="F83" s="1487"/>
      <c r="G83" s="1541" t="s">
        <v>18</v>
      </c>
      <c r="H83" s="1566">
        <v>60</v>
      </c>
      <c r="I83" s="1505">
        <v>0.47</v>
      </c>
      <c r="J83" s="1542">
        <f t="shared" si="15"/>
        <v>28.2</v>
      </c>
      <c r="K83" s="323"/>
      <c r="L83" s="328"/>
      <c r="M83" s="328"/>
      <c r="N83" s="328"/>
      <c r="O83" s="324"/>
      <c r="P83" s="1719"/>
      <c r="Q83" s="329"/>
      <c r="R83" s="324"/>
    </row>
    <row r="84" spans="2:22" ht="16.5">
      <c r="B84" s="1535">
        <f t="shared" si="14"/>
        <v>9.0499999999999989</v>
      </c>
      <c r="C84" s="1553"/>
      <c r="D84" s="1442" t="s">
        <v>324</v>
      </c>
      <c r="E84" s="1442"/>
      <c r="F84" s="1487"/>
      <c r="G84" s="1541" t="s">
        <v>18</v>
      </c>
      <c r="H84" s="1566">
        <v>3</v>
      </c>
      <c r="I84" s="1505">
        <v>27.35</v>
      </c>
      <c r="J84" s="1542">
        <f t="shared" si="15"/>
        <v>82.05</v>
      </c>
      <c r="K84" s="323"/>
      <c r="L84" s="328"/>
      <c r="M84" s="328"/>
      <c r="N84" s="328"/>
      <c r="O84" s="1716"/>
      <c r="P84" s="1714"/>
      <c r="Q84" s="517"/>
      <c r="R84" s="1699"/>
      <c r="S84" s="1699"/>
      <c r="T84" s="517"/>
      <c r="U84" s="517"/>
      <c r="V84" s="517"/>
    </row>
    <row r="85" spans="2:22" ht="16.5">
      <c r="B85" s="1535">
        <f t="shared" si="14"/>
        <v>9.0599999999999987</v>
      </c>
      <c r="C85" s="1553"/>
      <c r="D85" s="1442" t="s">
        <v>300</v>
      </c>
      <c r="E85" s="1442"/>
      <c r="F85" s="1487"/>
      <c r="G85" s="1541" t="s">
        <v>18</v>
      </c>
      <c r="H85" s="1566">
        <v>72</v>
      </c>
      <c r="I85" s="1505">
        <v>16.25</v>
      </c>
      <c r="J85" s="1542">
        <f t="shared" si="15"/>
        <v>1170</v>
      </c>
      <c r="K85" s="323"/>
      <c r="L85" s="328"/>
      <c r="M85" s="328"/>
      <c r="N85" s="328"/>
      <c r="O85" s="1755"/>
      <c r="P85" s="1755"/>
      <c r="Q85" s="1755"/>
      <c r="R85" s="1699"/>
      <c r="S85" s="1699"/>
      <c r="T85" s="517"/>
      <c r="U85" s="517"/>
      <c r="V85" s="517"/>
    </row>
    <row r="86" spans="2:22" ht="16.5">
      <c r="B86" s="1535">
        <f t="shared" si="14"/>
        <v>9.0699999999999985</v>
      </c>
      <c r="C86" s="1553"/>
      <c r="D86" s="1442" t="s">
        <v>848</v>
      </c>
      <c r="E86" s="1442"/>
      <c r="F86" s="1487"/>
      <c r="G86" s="1541" t="s">
        <v>18</v>
      </c>
      <c r="H86" s="1566">
        <v>68</v>
      </c>
      <c r="I86" s="1600">
        <v>2.39</v>
      </c>
      <c r="J86" s="1542">
        <f t="shared" si="15"/>
        <v>162.52000000000001</v>
      </c>
      <c r="K86" s="323"/>
      <c r="L86" s="328"/>
      <c r="M86" s="328"/>
      <c r="N86" s="328"/>
      <c r="O86" s="1756"/>
      <c r="P86" s="517"/>
      <c r="Q86" s="517"/>
      <c r="R86" s="1699"/>
      <c r="S86" s="1699"/>
      <c r="T86" s="517"/>
      <c r="U86" s="1756"/>
      <c r="V86" s="517"/>
    </row>
    <row r="87" spans="2:22" ht="16.5">
      <c r="B87" s="1464"/>
      <c r="C87" s="1553"/>
      <c r="D87" s="1442"/>
      <c r="E87" s="1442"/>
      <c r="F87" s="1554" t="str">
        <f>+"SUB-TOTAL   "&amp;B79&amp;":  "</f>
        <v xml:space="preserve">SUB-TOTAL   9:  </v>
      </c>
      <c r="G87" s="1606"/>
      <c r="H87" s="1607"/>
      <c r="I87" s="1566"/>
      <c r="J87" s="1619">
        <f>+SUM(J80:J86)</f>
        <v>7312.93</v>
      </c>
      <c r="K87" s="323"/>
      <c r="L87" s="328"/>
      <c r="M87" s="328"/>
      <c r="N87" s="328"/>
      <c r="O87" s="324"/>
      <c r="P87" s="1719"/>
      <c r="Q87" s="329"/>
    </row>
    <row r="88" spans="2:22" ht="16.5">
      <c r="B88" s="1534">
        <f>1+B79</f>
        <v>10</v>
      </c>
      <c r="C88" s="1553"/>
      <c r="D88" s="1484" t="s">
        <v>173</v>
      </c>
      <c r="E88" s="1442"/>
      <c r="F88" s="1487"/>
      <c r="G88" s="1541"/>
      <c r="H88" s="1566"/>
      <c r="I88" s="1566"/>
      <c r="J88" s="1542"/>
      <c r="K88" s="323"/>
      <c r="L88" s="328"/>
      <c r="M88" s="328"/>
      <c r="N88" s="328"/>
      <c r="O88" s="324"/>
      <c r="P88" s="1719"/>
      <c r="Q88" s="329"/>
    </row>
    <row r="89" spans="2:22" ht="16.5">
      <c r="B89" s="1535">
        <f t="shared" ref="B89:B101" si="16">+B88+0.01</f>
        <v>10.01</v>
      </c>
      <c r="C89" s="1553"/>
      <c r="D89" s="1442" t="s">
        <v>304</v>
      </c>
      <c r="E89" s="1442"/>
      <c r="F89" s="1487"/>
      <c r="G89" s="1541" t="s">
        <v>18</v>
      </c>
      <c r="H89" s="1566">
        <v>147</v>
      </c>
      <c r="I89" s="1505">
        <v>29.39</v>
      </c>
      <c r="J89" s="1542">
        <f>+ROUND(I89*H89,2)</f>
        <v>4320.33</v>
      </c>
      <c r="K89" s="323"/>
      <c r="L89" s="328"/>
      <c r="M89" s="328"/>
      <c r="N89" s="328"/>
      <c r="O89" s="324"/>
      <c r="P89" s="1719"/>
      <c r="Q89" s="329"/>
      <c r="R89" s="324"/>
    </row>
    <row r="90" spans="2:22" ht="16.5">
      <c r="B90" s="1535">
        <f t="shared" si="16"/>
        <v>10.02</v>
      </c>
      <c r="C90" s="1553"/>
      <c r="D90" s="1442" t="s">
        <v>549</v>
      </c>
      <c r="E90" s="1442"/>
      <c r="F90" s="1487"/>
      <c r="G90" s="1541" t="s">
        <v>18</v>
      </c>
      <c r="H90" s="1566">
        <v>68</v>
      </c>
      <c r="I90" s="1505">
        <v>45.75</v>
      </c>
      <c r="J90" s="1542">
        <f>+ROUND(I90*H90,2)</f>
        <v>3111</v>
      </c>
      <c r="K90" s="323"/>
      <c r="L90" s="328"/>
      <c r="M90" s="328"/>
      <c r="N90" s="328"/>
      <c r="O90" s="324"/>
      <c r="P90" s="1719"/>
      <c r="Q90" s="329"/>
      <c r="R90" s="324"/>
    </row>
    <row r="91" spans="2:22" ht="16.5">
      <c r="B91" s="1535">
        <f t="shared" si="16"/>
        <v>10.029999999999999</v>
      </c>
      <c r="C91" s="1553"/>
      <c r="D91" s="1442" t="s">
        <v>310</v>
      </c>
      <c r="E91" s="1442"/>
      <c r="F91" s="1487"/>
      <c r="G91" s="1541" t="s">
        <v>18</v>
      </c>
      <c r="H91" s="1566">
        <v>28</v>
      </c>
      <c r="I91" s="1505">
        <v>62.96</v>
      </c>
      <c r="J91" s="1542">
        <f>+ROUND(I91*H91,2)</f>
        <v>1762.88</v>
      </c>
      <c r="K91" s="323"/>
      <c r="L91" s="328"/>
      <c r="M91" s="328"/>
      <c r="N91" s="328"/>
      <c r="O91" s="324"/>
      <c r="P91" s="1719"/>
      <c r="Q91" s="329"/>
      <c r="R91" s="324"/>
    </row>
    <row r="92" spans="2:22" ht="16.5">
      <c r="B92" s="1535">
        <f t="shared" si="16"/>
        <v>10.039999999999999</v>
      </c>
      <c r="C92" s="1553"/>
      <c r="D92" s="1442" t="s">
        <v>550</v>
      </c>
      <c r="E92" s="1442"/>
      <c r="F92" s="1487"/>
      <c r="G92" s="1541" t="s">
        <v>18</v>
      </c>
      <c r="H92" s="1566">
        <v>40</v>
      </c>
      <c r="I92" s="1505">
        <v>117.61</v>
      </c>
      <c r="J92" s="1542">
        <f>+ROUND(I92*H92,2)</f>
        <v>4704.3999999999996</v>
      </c>
      <c r="K92" s="323"/>
      <c r="L92" s="328"/>
      <c r="M92" s="328"/>
      <c r="N92" s="328"/>
      <c r="O92" s="324"/>
      <c r="P92" s="1719"/>
      <c r="Q92" s="329"/>
      <c r="R92" s="324"/>
    </row>
    <row r="93" spans="2:22" ht="16.5">
      <c r="B93" s="1535">
        <f t="shared" si="16"/>
        <v>10.049999999999999</v>
      </c>
      <c r="C93" s="1553"/>
      <c r="D93" s="1442" t="s">
        <v>290</v>
      </c>
      <c r="E93" s="1442"/>
      <c r="F93" s="1487"/>
      <c r="G93" s="1541" t="s">
        <v>18</v>
      </c>
      <c r="H93" s="1566">
        <v>39</v>
      </c>
      <c r="I93" s="1505">
        <v>1.47</v>
      </c>
      <c r="J93" s="1542">
        <f>+ROUND(I93*H93,2)</f>
        <v>57.33</v>
      </c>
      <c r="K93" s="323"/>
      <c r="L93" s="328"/>
      <c r="M93" s="328"/>
      <c r="N93" s="328"/>
      <c r="O93" s="324"/>
      <c r="P93" s="1719"/>
      <c r="Q93" s="329"/>
      <c r="R93" s="324"/>
    </row>
    <row r="94" spans="2:22" ht="16.5">
      <c r="B94" s="1535">
        <f t="shared" si="16"/>
        <v>10.059999999999999</v>
      </c>
      <c r="C94" s="1553"/>
      <c r="D94" s="1442" t="s">
        <v>821</v>
      </c>
      <c r="E94" s="1442"/>
      <c r="F94" s="1487"/>
      <c r="G94" s="1541" t="s">
        <v>18</v>
      </c>
      <c r="H94" s="1566">
        <v>39</v>
      </c>
      <c r="I94" s="1505">
        <v>0.4</v>
      </c>
      <c r="J94" s="1542">
        <f t="shared" ref="J94" si="17">+ROUND(I94*H94,2)</f>
        <v>15.6</v>
      </c>
      <c r="K94" s="323"/>
      <c r="L94" s="328"/>
      <c r="M94" s="328"/>
      <c r="N94" s="328"/>
      <c r="O94" s="324"/>
      <c r="P94" s="1719"/>
      <c r="Q94" s="329"/>
      <c r="R94" s="324"/>
    </row>
    <row r="95" spans="2:22" ht="16.5">
      <c r="B95" s="1535">
        <f t="shared" si="16"/>
        <v>10.069999999999999</v>
      </c>
      <c r="C95" s="1553"/>
      <c r="D95" s="1442" t="s">
        <v>372</v>
      </c>
      <c r="E95" s="1442"/>
      <c r="F95" s="1487"/>
      <c r="G95" s="1541" t="s">
        <v>187</v>
      </c>
      <c r="H95" s="1566">
        <v>933</v>
      </c>
      <c r="I95" s="1505">
        <v>0.69</v>
      </c>
      <c r="J95" s="1542">
        <f t="shared" ref="J95:J101" si="18">+ROUND(I95*H95,2)</f>
        <v>643.77</v>
      </c>
      <c r="K95" s="323"/>
      <c r="L95" s="328"/>
      <c r="M95" s="328"/>
      <c r="N95" s="328"/>
      <c r="O95" s="324"/>
      <c r="P95" s="1719"/>
      <c r="Q95" s="329"/>
      <c r="R95" s="324"/>
    </row>
    <row r="96" spans="2:22" ht="16.5">
      <c r="B96" s="1535">
        <f t="shared" si="16"/>
        <v>10.079999999999998</v>
      </c>
      <c r="C96" s="1553"/>
      <c r="D96" s="1442" t="s">
        <v>357</v>
      </c>
      <c r="E96" s="1442"/>
      <c r="F96" s="1487"/>
      <c r="G96" s="1541" t="s">
        <v>18</v>
      </c>
      <c r="H96" s="1566">
        <v>175</v>
      </c>
      <c r="I96" s="1505">
        <v>5.21</v>
      </c>
      <c r="J96" s="1542">
        <f t="shared" si="18"/>
        <v>911.75</v>
      </c>
      <c r="K96" s="323"/>
      <c r="L96" s="328"/>
      <c r="M96" s="328"/>
      <c r="N96" s="328"/>
      <c r="O96" s="324"/>
      <c r="P96" s="1719"/>
      <c r="Q96" s="329"/>
      <c r="R96" s="324"/>
    </row>
    <row r="97" spans="2:18" ht="16.5">
      <c r="B97" s="1535">
        <f t="shared" si="16"/>
        <v>10.089999999999998</v>
      </c>
      <c r="C97" s="1553"/>
      <c r="D97" s="1442" t="s">
        <v>412</v>
      </c>
      <c r="E97" s="1442"/>
      <c r="F97" s="1487"/>
      <c r="G97" s="1541" t="s">
        <v>18</v>
      </c>
      <c r="H97" s="1566">
        <v>175</v>
      </c>
      <c r="I97" s="1505">
        <v>7.04</v>
      </c>
      <c r="J97" s="1542">
        <f t="shared" si="18"/>
        <v>1232</v>
      </c>
      <c r="K97" s="323"/>
      <c r="L97" s="328"/>
      <c r="M97" s="328"/>
      <c r="N97" s="328"/>
      <c r="O97" s="324"/>
      <c r="P97" s="1719"/>
      <c r="Q97" s="329"/>
      <c r="R97" s="324"/>
    </row>
    <row r="98" spans="2:18" ht="16.5">
      <c r="B98" s="1535">
        <f t="shared" si="16"/>
        <v>10.099999999999998</v>
      </c>
      <c r="C98" s="1553"/>
      <c r="D98" s="1442" t="s">
        <v>174</v>
      </c>
      <c r="E98" s="1442"/>
      <c r="F98" s="1487"/>
      <c r="G98" s="1541" t="s">
        <v>18</v>
      </c>
      <c r="H98" s="1566">
        <v>350</v>
      </c>
      <c r="I98" s="1505">
        <v>2.85</v>
      </c>
      <c r="J98" s="1542">
        <f t="shared" si="18"/>
        <v>997.5</v>
      </c>
      <c r="K98" s="323"/>
      <c r="L98" s="328"/>
      <c r="M98" s="328"/>
      <c r="N98" s="328"/>
      <c r="O98" s="324"/>
      <c r="P98" s="1719"/>
      <c r="Q98" s="329"/>
    </row>
    <row r="99" spans="2:18" ht="16.5">
      <c r="B99" s="1535">
        <f t="shared" si="16"/>
        <v>10.109999999999998</v>
      </c>
      <c r="C99" s="1553"/>
      <c r="D99" s="1442" t="s">
        <v>359</v>
      </c>
      <c r="E99" s="1442"/>
      <c r="F99" s="1487"/>
      <c r="G99" s="1541" t="s">
        <v>18</v>
      </c>
      <c r="H99" s="1566">
        <v>756</v>
      </c>
      <c r="I99" s="1505">
        <v>0.4</v>
      </c>
      <c r="J99" s="1542">
        <f t="shared" si="18"/>
        <v>302.39999999999998</v>
      </c>
      <c r="K99" s="323"/>
      <c r="L99" s="328"/>
      <c r="M99" s="328"/>
      <c r="N99" s="328"/>
      <c r="O99" s="324"/>
      <c r="P99" s="1719"/>
      <c r="Q99" s="329"/>
    </row>
    <row r="100" spans="2:18" ht="16.5">
      <c r="B100" s="1535">
        <f t="shared" si="16"/>
        <v>10.119999999999997</v>
      </c>
      <c r="C100" s="1553"/>
      <c r="D100" s="1442" t="s">
        <v>366</v>
      </c>
      <c r="E100" s="1442"/>
      <c r="F100" s="1487"/>
      <c r="G100" s="1541" t="s">
        <v>18</v>
      </c>
      <c r="H100" s="1566">
        <v>175</v>
      </c>
      <c r="I100" s="1505">
        <v>61.52</v>
      </c>
      <c r="J100" s="1542">
        <f t="shared" si="18"/>
        <v>10766</v>
      </c>
      <c r="K100" s="323"/>
      <c r="L100" s="328"/>
      <c r="M100" s="328"/>
      <c r="N100" s="328"/>
      <c r="O100" s="324"/>
      <c r="P100" s="1719"/>
      <c r="Q100" s="329"/>
    </row>
    <row r="101" spans="2:18" ht="16.5">
      <c r="B101" s="1535">
        <f t="shared" si="16"/>
        <v>10.129999999999997</v>
      </c>
      <c r="C101" s="1553"/>
      <c r="D101" s="1442" t="s">
        <v>367</v>
      </c>
      <c r="E101" s="1442"/>
      <c r="F101" s="1487"/>
      <c r="G101" s="1541" t="s">
        <v>18</v>
      </c>
      <c r="H101" s="1566">
        <v>175</v>
      </c>
      <c r="I101" s="1505">
        <v>54.01</v>
      </c>
      <c r="J101" s="1542">
        <f t="shared" si="18"/>
        <v>9451.75</v>
      </c>
      <c r="K101" s="323"/>
      <c r="L101" s="328"/>
      <c r="M101" s="328"/>
      <c r="N101" s="328"/>
      <c r="O101" s="324"/>
      <c r="P101" s="1719"/>
      <c r="Q101" s="329"/>
      <c r="R101" s="324"/>
    </row>
    <row r="102" spans="2:18" ht="16.5">
      <c r="B102" s="1464"/>
      <c r="C102" s="1553"/>
      <c r="D102" s="1442"/>
      <c r="E102" s="1442"/>
      <c r="F102" s="1554" t="str">
        <f>+"SUB-TOTAL   "&amp;B88&amp;":  "</f>
        <v xml:space="preserve">SUB-TOTAL   10:  </v>
      </c>
      <c r="G102" s="1606"/>
      <c r="H102" s="1607"/>
      <c r="I102" s="1607"/>
      <c r="J102" s="1619">
        <f>+SUM(J89:J101)</f>
        <v>38276.71</v>
      </c>
      <c r="K102" s="323"/>
      <c r="L102" s="323"/>
      <c r="M102" s="323"/>
      <c r="N102" s="323"/>
      <c r="P102" s="571"/>
    </row>
    <row r="103" spans="2:18" ht="16.5">
      <c r="B103" s="1655"/>
      <c r="C103" s="1559"/>
      <c r="D103" s="1561" t="s">
        <v>202</v>
      </c>
      <c r="E103" s="1560"/>
      <c r="F103" s="1560"/>
      <c r="G103" s="1562"/>
      <c r="H103" s="1563"/>
      <c r="I103" s="1500"/>
      <c r="J103" s="1662">
        <f>+ROUND(SUM(J9:J102)/2,2)</f>
        <v>301377.09999999998</v>
      </c>
      <c r="K103" s="509"/>
      <c r="L103" s="509"/>
      <c r="M103" s="509"/>
      <c r="N103" s="509"/>
      <c r="P103" s="581"/>
      <c r="Q103" s="323"/>
      <c r="R103" s="569"/>
    </row>
    <row r="104" spans="2:18" ht="14.25">
      <c r="B104" s="572"/>
      <c r="C104" s="573"/>
      <c r="D104" s="573"/>
      <c r="G104" s="323"/>
      <c r="H104" s="525"/>
      <c r="I104" s="525"/>
      <c r="K104" s="509"/>
      <c r="L104" s="509"/>
      <c r="M104" s="509"/>
      <c r="N104" s="509"/>
      <c r="P104" s="581"/>
    </row>
    <row r="106" spans="2:18">
      <c r="J106" s="1717">
        <f>+J102+J87+J78+J62+J48+J39+J33+J22+J15+J12</f>
        <v>301377.09999999998</v>
      </c>
      <c r="K106" s="1722"/>
      <c r="L106" s="1722"/>
      <c r="M106" s="1722"/>
      <c r="N106" s="1722"/>
    </row>
    <row r="107" spans="2:18">
      <c r="H107" s="528"/>
      <c r="I107" s="528"/>
      <c r="J107" s="1419" t="b">
        <f>J106=J103</f>
        <v>1</v>
      </c>
    </row>
    <row r="108" spans="2:18">
      <c r="H108" s="528"/>
      <c r="I108" s="528"/>
      <c r="J108" s="1420"/>
    </row>
    <row r="109" spans="2:18">
      <c r="J109" s="1418"/>
    </row>
  </sheetData>
  <mergeCells count="1">
    <mergeCell ref="C7:F7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4" orientation="portrait" r:id="rId1"/>
  <rowBreaks count="1" manualBreakCount="1">
    <brk id="55" min="1" max="9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105"/>
  <sheetViews>
    <sheetView view="pageBreakPreview" topLeftCell="A50" zoomScale="80" zoomScaleNormal="100" zoomScaleSheetLayoutView="80" workbookViewId="0">
      <selection activeCell="I4" sqref="I4"/>
    </sheetView>
  </sheetViews>
  <sheetFormatPr baseColWidth="10" defaultColWidth="9.33203125" defaultRowHeight="12.75"/>
  <cols>
    <col min="3" max="3" width="0" hidden="1" customWidth="1"/>
    <col min="6" max="6" width="74" customWidth="1"/>
    <col min="10" max="10" width="14" customWidth="1"/>
  </cols>
  <sheetData>
    <row r="1" spans="1:15" ht="18">
      <c r="B1" s="1429" t="s">
        <v>127</v>
      </c>
      <c r="C1" s="1430"/>
      <c r="D1" s="1430"/>
      <c r="E1" s="1431"/>
      <c r="F1" s="1431"/>
      <c r="G1" s="1432"/>
      <c r="H1" s="1432"/>
      <c r="I1" s="303"/>
      <c r="J1" s="303"/>
      <c r="L1" s="303"/>
      <c r="M1" s="303"/>
    </row>
    <row r="2" spans="1:15" ht="18">
      <c r="B2" s="1433" t="s">
        <v>966</v>
      </c>
      <c r="C2" s="1430"/>
      <c r="D2" s="1430"/>
      <c r="E2" s="1431"/>
      <c r="F2" s="1431"/>
      <c r="G2" s="1434"/>
      <c r="H2" s="1434"/>
      <c r="I2" s="303"/>
      <c r="J2" s="303"/>
      <c r="L2" s="303"/>
      <c r="M2" s="303"/>
    </row>
    <row r="3" spans="1:15" ht="18">
      <c r="B3" s="1435" t="s">
        <v>9</v>
      </c>
      <c r="C3" s="1430"/>
      <c r="D3" s="1430"/>
      <c r="E3" s="1910" t="s">
        <v>10</v>
      </c>
      <c r="F3" s="1437" t="s">
        <v>544</v>
      </c>
      <c r="G3" s="1434"/>
      <c r="H3" s="1434"/>
      <c r="I3" s="303"/>
      <c r="J3" s="303"/>
      <c r="L3" s="303"/>
      <c r="M3" s="303"/>
    </row>
    <row r="4" spans="1:15" ht="18">
      <c r="B4" s="1433" t="s">
        <v>130</v>
      </c>
      <c r="C4" s="303"/>
      <c r="D4" s="303"/>
      <c r="E4" s="1911" t="s">
        <v>10</v>
      </c>
      <c r="F4" s="1438" t="s">
        <v>141</v>
      </c>
      <c r="G4" s="1434"/>
      <c r="H4" s="1434"/>
      <c r="I4" s="303"/>
      <c r="J4" s="303"/>
      <c r="L4" s="303"/>
      <c r="M4" s="303"/>
    </row>
    <row r="5" spans="1:15" ht="18">
      <c r="B5" s="304" t="s">
        <v>964</v>
      </c>
      <c r="C5" s="303"/>
      <c r="D5" s="303"/>
      <c r="E5" s="304"/>
      <c r="F5" s="303"/>
      <c r="G5" s="1434"/>
      <c r="H5" s="1434"/>
      <c r="I5" s="303"/>
      <c r="J5" s="303"/>
      <c r="L5" s="303"/>
      <c r="M5" s="303"/>
    </row>
    <row r="6" spans="1:15" ht="15" hidden="1">
      <c r="B6" s="515"/>
      <c r="C6" s="516"/>
      <c r="D6" s="516"/>
      <c r="E6" s="516"/>
      <c r="F6" s="515"/>
      <c r="G6" s="517"/>
      <c r="H6" s="306"/>
      <c r="I6" s="306"/>
      <c r="J6" s="306"/>
      <c r="L6" s="306"/>
      <c r="M6" s="306"/>
    </row>
    <row r="7" spans="1:15" ht="49.5">
      <c r="A7" s="508"/>
      <c r="B7" s="1453" t="s">
        <v>959</v>
      </c>
      <c r="C7" s="2056" t="s">
        <v>958</v>
      </c>
      <c r="D7" s="2057"/>
      <c r="E7" s="2057"/>
      <c r="F7" s="2058"/>
      <c r="G7" s="1454" t="s">
        <v>376</v>
      </c>
      <c r="H7" s="1455" t="s">
        <v>960</v>
      </c>
      <c r="I7" s="1455" t="s">
        <v>961</v>
      </c>
      <c r="J7" s="1455" t="s">
        <v>1004</v>
      </c>
      <c r="K7" s="327"/>
      <c r="L7" s="1455" t="s">
        <v>961</v>
      </c>
      <c r="M7" s="1906">
        <v>0.9</v>
      </c>
    </row>
    <row r="8" spans="1:15">
      <c r="B8" s="1531"/>
      <c r="C8" s="1550"/>
      <c r="D8" s="1551"/>
      <c r="E8" s="1551"/>
      <c r="F8" s="1552"/>
      <c r="G8" s="1532"/>
      <c r="H8" s="1533"/>
      <c r="I8" s="1533"/>
      <c r="J8" s="1532"/>
      <c r="K8" s="327"/>
      <c r="L8" s="1533"/>
      <c r="M8" s="1533"/>
    </row>
    <row r="9" spans="1:15" ht="16.5">
      <c r="B9" s="1615">
        <v>1</v>
      </c>
      <c r="C9" s="1555"/>
      <c r="D9" s="1575" t="s">
        <v>408</v>
      </c>
      <c r="E9" s="1508"/>
      <c r="F9" s="1579"/>
      <c r="G9" s="1541"/>
      <c r="H9" s="1566"/>
      <c r="I9" s="1501"/>
      <c r="J9" s="1542"/>
      <c r="L9" s="1501"/>
      <c r="M9" s="1501"/>
      <c r="N9" s="1405"/>
      <c r="O9" s="1404"/>
    </row>
    <row r="10" spans="1:15" ht="16.5">
      <c r="B10" s="1616">
        <f t="shared" ref="B10:B24" si="0">+B9+0.01</f>
        <v>1.01</v>
      </c>
      <c r="C10" s="1555"/>
      <c r="D10" s="1508" t="s">
        <v>451</v>
      </c>
      <c r="E10" s="1508"/>
      <c r="F10" s="1579"/>
      <c r="G10" s="1541" t="s">
        <v>18</v>
      </c>
      <c r="H10" s="1566">
        <v>153</v>
      </c>
      <c r="I10" s="1501">
        <v>153.05000000000001</v>
      </c>
      <c r="J10" s="1542">
        <f t="shared" ref="J10:J24" si="1">+ROUND(I10*H10,2)</f>
        <v>23416.65</v>
      </c>
      <c r="K10" s="325"/>
      <c r="L10" s="1501">
        <v>170.05</v>
      </c>
      <c r="M10" s="1501">
        <f>+ROUND(L10*$M$7,2)</f>
        <v>153.05000000000001</v>
      </c>
      <c r="N10" s="1405"/>
      <c r="O10" s="1404"/>
    </row>
    <row r="11" spans="1:15" ht="16.5">
      <c r="B11" s="1616">
        <f t="shared" si="0"/>
        <v>1.02</v>
      </c>
      <c r="C11" s="1553"/>
      <c r="D11" s="1508" t="s">
        <v>450</v>
      </c>
      <c r="E11" s="1508"/>
      <c r="F11" s="1579"/>
      <c r="G11" s="1541" t="s">
        <v>18</v>
      </c>
      <c r="H11" s="1566">
        <v>79</v>
      </c>
      <c r="I11" s="1501">
        <v>164.1</v>
      </c>
      <c r="J11" s="1542">
        <f t="shared" si="1"/>
        <v>12963.9</v>
      </c>
      <c r="K11" s="323"/>
      <c r="L11" s="1501">
        <v>182.32999999999998</v>
      </c>
      <c r="M11" s="1501">
        <f t="shared" ref="M11:M24" si="2">+ROUND(L11*$M$7,2)</f>
        <v>164.1</v>
      </c>
      <c r="N11" s="1405"/>
      <c r="O11" s="1404"/>
    </row>
    <row r="12" spans="1:15" ht="16.5">
      <c r="B12" s="1616">
        <f t="shared" si="0"/>
        <v>1.03</v>
      </c>
      <c r="C12" s="1553"/>
      <c r="D12" s="1508" t="s">
        <v>885</v>
      </c>
      <c r="E12" s="1873"/>
      <c r="F12" s="1874"/>
      <c r="G12" s="1541" t="s">
        <v>18</v>
      </c>
      <c r="H12" s="1566">
        <v>9</v>
      </c>
      <c r="I12" s="1501">
        <v>211.63</v>
      </c>
      <c r="J12" s="1542">
        <f t="shared" si="1"/>
        <v>1904.67</v>
      </c>
      <c r="K12" s="323"/>
      <c r="L12" s="1501">
        <v>235.14</v>
      </c>
      <c r="M12" s="1501">
        <f t="shared" si="2"/>
        <v>211.63</v>
      </c>
      <c r="N12" s="1405"/>
      <c r="O12" s="1404"/>
    </row>
    <row r="13" spans="1:15" ht="16.5">
      <c r="B13" s="1616">
        <f t="shared" si="0"/>
        <v>1.04</v>
      </c>
      <c r="C13" s="1553"/>
      <c r="D13" s="1508" t="s">
        <v>423</v>
      </c>
      <c r="E13" s="1873"/>
      <c r="F13" s="1874"/>
      <c r="G13" s="1541" t="s">
        <v>18</v>
      </c>
      <c r="H13" s="1566">
        <v>105</v>
      </c>
      <c r="I13" s="1501">
        <v>62.87</v>
      </c>
      <c r="J13" s="1542">
        <f t="shared" si="1"/>
        <v>6601.35</v>
      </c>
      <c r="K13" s="323"/>
      <c r="L13" s="1501">
        <v>69.86</v>
      </c>
      <c r="M13" s="1501">
        <f t="shared" si="2"/>
        <v>62.87</v>
      </c>
      <c r="N13" s="1405"/>
      <c r="O13" s="1404"/>
    </row>
    <row r="14" spans="1:15" ht="16.5">
      <c r="B14" s="1616">
        <f t="shared" si="0"/>
        <v>1.05</v>
      </c>
      <c r="C14" s="1555"/>
      <c r="D14" s="1508" t="s">
        <v>881</v>
      </c>
      <c r="E14" s="1873"/>
      <c r="F14" s="1874"/>
      <c r="G14" s="1541" t="s">
        <v>18</v>
      </c>
      <c r="H14" s="1566">
        <v>4</v>
      </c>
      <c r="I14" s="1501">
        <v>73.709999999999994</v>
      </c>
      <c r="J14" s="1542">
        <f t="shared" si="1"/>
        <v>294.83999999999997</v>
      </c>
      <c r="K14" s="325"/>
      <c r="L14" s="1501">
        <v>81.900000000000006</v>
      </c>
      <c r="M14" s="1501">
        <f t="shared" si="2"/>
        <v>73.709999999999994</v>
      </c>
      <c r="N14" s="1405"/>
      <c r="O14" s="1404"/>
    </row>
    <row r="15" spans="1:15" ht="16.5">
      <c r="B15" s="1616">
        <f t="shared" si="0"/>
        <v>1.06</v>
      </c>
      <c r="C15" s="1555"/>
      <c r="D15" s="1508" t="s">
        <v>425</v>
      </c>
      <c r="E15" s="1873"/>
      <c r="F15" s="1874"/>
      <c r="G15" s="1541" t="s">
        <v>272</v>
      </c>
      <c r="H15" s="1566">
        <v>1</v>
      </c>
      <c r="I15" s="1501">
        <v>1571.83</v>
      </c>
      <c r="J15" s="1542">
        <f t="shared" si="1"/>
        <v>1571.83</v>
      </c>
      <c r="K15" s="325"/>
      <c r="L15" s="1501">
        <v>1746.4799999999998</v>
      </c>
      <c r="M15" s="1501">
        <f t="shared" si="2"/>
        <v>1571.83</v>
      </c>
      <c r="N15" s="1405"/>
      <c r="O15" s="1404"/>
    </row>
    <row r="16" spans="1:15" ht="16.5">
      <c r="B16" s="1616">
        <f t="shared" si="0"/>
        <v>1.07</v>
      </c>
      <c r="C16" s="1555"/>
      <c r="D16" s="1508" t="s">
        <v>883</v>
      </c>
      <c r="E16" s="1873"/>
      <c r="F16" s="1874"/>
      <c r="G16" s="1541" t="s">
        <v>272</v>
      </c>
      <c r="H16" s="1566">
        <v>1</v>
      </c>
      <c r="I16" s="1501">
        <v>2275.69</v>
      </c>
      <c r="J16" s="1542">
        <f t="shared" si="1"/>
        <v>2275.69</v>
      </c>
      <c r="K16" s="325"/>
      <c r="L16" s="1501">
        <v>2528.54</v>
      </c>
      <c r="M16" s="1501">
        <f t="shared" si="2"/>
        <v>2275.69</v>
      </c>
      <c r="N16" s="1405"/>
      <c r="O16" s="1404"/>
    </row>
    <row r="17" spans="2:19" ht="16.5">
      <c r="B17" s="1616">
        <f t="shared" si="0"/>
        <v>1.08</v>
      </c>
      <c r="C17" s="1555"/>
      <c r="D17" s="1508" t="s">
        <v>823</v>
      </c>
      <c r="E17" s="1873"/>
      <c r="F17" s="1874"/>
      <c r="G17" s="1541" t="s">
        <v>191</v>
      </c>
      <c r="H17" s="1566">
        <v>1.46</v>
      </c>
      <c r="I17" s="1501">
        <v>68.03</v>
      </c>
      <c r="J17" s="1542">
        <f t="shared" si="1"/>
        <v>99.32</v>
      </c>
      <c r="K17" s="325"/>
      <c r="L17" s="1501">
        <v>75.59</v>
      </c>
      <c r="M17" s="1501">
        <f t="shared" si="2"/>
        <v>68.03</v>
      </c>
      <c r="N17" s="1405"/>
      <c r="O17" s="1404"/>
    </row>
    <row r="18" spans="2:19" ht="16.5">
      <c r="B18" s="1616">
        <f t="shared" si="0"/>
        <v>1.0900000000000001</v>
      </c>
      <c r="C18" s="1555"/>
      <c r="D18" s="1508" t="s">
        <v>824</v>
      </c>
      <c r="E18" s="1873"/>
      <c r="F18" s="1874"/>
      <c r="G18" s="1541" t="s">
        <v>191</v>
      </c>
      <c r="H18" s="1566">
        <v>0.05</v>
      </c>
      <c r="I18" s="1501">
        <v>59.41</v>
      </c>
      <c r="J18" s="1542">
        <f t="shared" si="1"/>
        <v>2.97</v>
      </c>
      <c r="K18" s="325"/>
      <c r="L18" s="1501">
        <v>66.010000000000005</v>
      </c>
      <c r="M18" s="1501">
        <f t="shared" si="2"/>
        <v>59.41</v>
      </c>
      <c r="N18" s="1405"/>
      <c r="O18" s="1404"/>
    </row>
    <row r="19" spans="2:19" ht="16.5">
      <c r="B19" s="1616">
        <f t="shared" si="0"/>
        <v>1.1000000000000001</v>
      </c>
      <c r="C19" s="1555"/>
      <c r="D19" s="1508" t="s">
        <v>825</v>
      </c>
      <c r="E19" s="1873"/>
      <c r="F19" s="1874"/>
      <c r="G19" s="1541" t="s">
        <v>191</v>
      </c>
      <c r="H19" s="1566">
        <v>7.08</v>
      </c>
      <c r="I19" s="1501">
        <v>55.09</v>
      </c>
      <c r="J19" s="1542">
        <f t="shared" si="1"/>
        <v>390.04</v>
      </c>
      <c r="K19" s="325"/>
      <c r="L19" s="1501">
        <v>61.21</v>
      </c>
      <c r="M19" s="1501">
        <f t="shared" si="2"/>
        <v>55.09</v>
      </c>
      <c r="N19" s="1405"/>
      <c r="O19" s="1404"/>
    </row>
    <row r="20" spans="2:19" ht="16.5">
      <c r="B20" s="1616">
        <f t="shared" si="0"/>
        <v>1.1100000000000001</v>
      </c>
      <c r="C20" s="1555"/>
      <c r="D20" s="1508" t="s">
        <v>826</v>
      </c>
      <c r="E20" s="1873"/>
      <c r="F20" s="1874"/>
      <c r="G20" s="1541" t="s">
        <v>191</v>
      </c>
      <c r="H20" s="1566">
        <v>0.18</v>
      </c>
      <c r="I20" s="1501">
        <v>53.76</v>
      </c>
      <c r="J20" s="1542">
        <f t="shared" si="1"/>
        <v>9.68</v>
      </c>
      <c r="K20" s="325"/>
      <c r="L20" s="1501">
        <v>59.730000000000004</v>
      </c>
      <c r="M20" s="1501">
        <f t="shared" si="2"/>
        <v>53.76</v>
      </c>
      <c r="N20" s="1405"/>
      <c r="O20" s="1404"/>
    </row>
    <row r="21" spans="2:19" ht="16.5">
      <c r="B21" s="1616">
        <f t="shared" si="0"/>
        <v>1.1200000000000001</v>
      </c>
      <c r="C21" s="1555"/>
      <c r="D21" s="1508" t="s">
        <v>827</v>
      </c>
      <c r="E21" s="1873"/>
      <c r="F21" s="1874"/>
      <c r="G21" s="1541" t="s">
        <v>191</v>
      </c>
      <c r="H21" s="1566">
        <v>3.52</v>
      </c>
      <c r="I21" s="1501">
        <v>42.66</v>
      </c>
      <c r="J21" s="1542">
        <f t="shared" si="1"/>
        <v>150.16</v>
      </c>
      <c r="K21" s="325"/>
      <c r="L21" s="1501">
        <v>47.400000000000006</v>
      </c>
      <c r="M21" s="1501">
        <f t="shared" si="2"/>
        <v>42.66</v>
      </c>
      <c r="N21" s="1405"/>
      <c r="O21" s="1404"/>
    </row>
    <row r="22" spans="2:19" ht="16.5">
      <c r="B22" s="1616">
        <f t="shared" si="0"/>
        <v>1.1300000000000001</v>
      </c>
      <c r="C22" s="1555"/>
      <c r="D22" s="1508" t="s">
        <v>886</v>
      </c>
      <c r="E22" s="1873"/>
      <c r="F22" s="1874"/>
      <c r="G22" s="1541" t="s">
        <v>191</v>
      </c>
      <c r="H22" s="1566">
        <v>0.54</v>
      </c>
      <c r="I22" s="1501">
        <v>74.959999999999994</v>
      </c>
      <c r="J22" s="1542">
        <f t="shared" si="1"/>
        <v>40.479999999999997</v>
      </c>
      <c r="K22" s="325"/>
      <c r="L22" s="1501">
        <v>83.289999999999992</v>
      </c>
      <c r="M22" s="1501">
        <f t="shared" si="2"/>
        <v>74.959999999999994</v>
      </c>
      <c r="N22" s="1405"/>
      <c r="O22" s="1404"/>
    </row>
    <row r="23" spans="2:19" ht="16.5">
      <c r="B23" s="1616">
        <f t="shared" si="0"/>
        <v>1.1400000000000001</v>
      </c>
      <c r="C23" s="1555"/>
      <c r="D23" s="1508" t="s">
        <v>736</v>
      </c>
      <c r="E23" s="1873"/>
      <c r="F23" s="1874"/>
      <c r="G23" s="1541" t="s">
        <v>191</v>
      </c>
      <c r="H23" s="1566">
        <v>0.88000000000000012</v>
      </c>
      <c r="I23" s="1501">
        <v>70.349999999999994</v>
      </c>
      <c r="J23" s="1542">
        <f t="shared" si="1"/>
        <v>61.91</v>
      </c>
      <c r="K23" s="325"/>
      <c r="L23" s="1501">
        <v>78.17</v>
      </c>
      <c r="M23" s="1501">
        <f t="shared" si="2"/>
        <v>70.349999999999994</v>
      </c>
      <c r="N23" s="1405"/>
      <c r="O23" s="1404"/>
    </row>
    <row r="24" spans="2:19" ht="16.5">
      <c r="B24" s="1616">
        <f t="shared" si="0"/>
        <v>1.1500000000000001</v>
      </c>
      <c r="C24" s="1555"/>
      <c r="D24" s="1508" t="s">
        <v>889</v>
      </c>
      <c r="E24" s="1873"/>
      <c r="F24" s="1874"/>
      <c r="G24" s="1541" t="s">
        <v>191</v>
      </c>
      <c r="H24" s="1566">
        <v>0.05</v>
      </c>
      <c r="I24" s="1501">
        <v>91.14</v>
      </c>
      <c r="J24" s="1542">
        <f t="shared" si="1"/>
        <v>4.5599999999999996</v>
      </c>
      <c r="K24" s="325"/>
      <c r="L24" s="1501">
        <v>101.27</v>
      </c>
      <c r="M24" s="1501">
        <f t="shared" si="2"/>
        <v>91.14</v>
      </c>
      <c r="N24" s="1405"/>
      <c r="O24" s="1404"/>
    </row>
    <row r="25" spans="2:19" ht="16.5">
      <c r="B25" s="1540"/>
      <c r="C25" s="1555"/>
      <c r="D25" s="1508"/>
      <c r="E25" s="1508"/>
      <c r="F25" s="1605" t="str">
        <f>+"SUB-TOTAL   "&amp;B9&amp;":  "</f>
        <v xml:space="preserve">SUB-TOTAL   1:  </v>
      </c>
      <c r="G25" s="1606"/>
      <c r="H25" s="1607"/>
      <c r="I25" s="1565"/>
      <c r="J25" s="1619">
        <f>SUM(J10:J24)</f>
        <v>49788.05000000001</v>
      </c>
      <c r="L25" s="1565"/>
      <c r="M25" s="1565"/>
      <c r="N25" s="1405"/>
      <c r="O25" s="1404"/>
    </row>
    <row r="26" spans="2:19" ht="16.5">
      <c r="B26" s="1615">
        <v>2</v>
      </c>
      <c r="C26" s="1555"/>
      <c r="D26" s="1575" t="s">
        <v>383</v>
      </c>
      <c r="E26" s="1508"/>
      <c r="F26" s="1579"/>
      <c r="G26" s="1541"/>
      <c r="H26" s="1566"/>
      <c r="I26" s="1501"/>
      <c r="J26" s="1542"/>
      <c r="L26" s="1501"/>
      <c r="M26" s="1501"/>
      <c r="N26" s="1405"/>
      <c r="O26" s="1404"/>
      <c r="P26" s="325"/>
      <c r="Q26" s="325"/>
      <c r="R26" s="325"/>
      <c r="S26" s="325"/>
    </row>
    <row r="27" spans="2:19" ht="16.5">
      <c r="B27" s="1616">
        <f t="shared" ref="B27:B34" si="3">+B26+0.01</f>
        <v>2.0099999999999998</v>
      </c>
      <c r="C27" s="1555"/>
      <c r="D27" s="1508" t="s">
        <v>452</v>
      </c>
      <c r="E27" s="1508"/>
      <c r="F27" s="1579"/>
      <c r="G27" s="1541" t="s">
        <v>962</v>
      </c>
      <c r="H27" s="1566">
        <v>126.36</v>
      </c>
      <c r="I27" s="1501">
        <v>61.15</v>
      </c>
      <c r="J27" s="1542">
        <f t="shared" ref="J27:J34" si="4">+ROUND(I27*H27,2)</f>
        <v>7726.91</v>
      </c>
      <c r="K27" s="325"/>
      <c r="L27" s="1501">
        <v>67.94</v>
      </c>
      <c r="M27" s="1501">
        <f t="shared" ref="M27:M34" si="5">+ROUND(L27*$M$7,2)</f>
        <v>61.15</v>
      </c>
      <c r="N27" s="1405"/>
      <c r="O27" s="1404"/>
    </row>
    <row r="28" spans="2:19" ht="16.5">
      <c r="B28" s="1616">
        <f t="shared" si="3"/>
        <v>2.0199999999999996</v>
      </c>
      <c r="C28" s="1555"/>
      <c r="D28" s="1508" t="s">
        <v>453</v>
      </c>
      <c r="E28" s="1508"/>
      <c r="F28" s="1579"/>
      <c r="G28" s="1541" t="s">
        <v>962</v>
      </c>
      <c r="H28" s="1566">
        <v>2.94</v>
      </c>
      <c r="I28" s="1501">
        <v>208.14</v>
      </c>
      <c r="J28" s="1542">
        <f t="shared" si="4"/>
        <v>611.92999999999995</v>
      </c>
      <c r="K28" s="325"/>
      <c r="L28" s="1501">
        <v>231.26999999999998</v>
      </c>
      <c r="M28" s="1501">
        <f t="shared" si="5"/>
        <v>208.14</v>
      </c>
      <c r="N28" s="1405"/>
      <c r="O28" s="1404"/>
    </row>
    <row r="29" spans="2:19" ht="16.5">
      <c r="B29" s="1616">
        <f t="shared" si="3"/>
        <v>2.0299999999999994</v>
      </c>
      <c r="C29" s="1555"/>
      <c r="D29" s="1508" t="s">
        <v>455</v>
      </c>
      <c r="E29" s="1508"/>
      <c r="F29" s="1579"/>
      <c r="G29" s="1541" t="s">
        <v>18</v>
      </c>
      <c r="H29" s="1566">
        <v>153</v>
      </c>
      <c r="I29" s="1501">
        <v>72.7</v>
      </c>
      <c r="J29" s="1542">
        <f t="shared" si="4"/>
        <v>11123.1</v>
      </c>
      <c r="K29" s="325"/>
      <c r="L29" s="1501">
        <v>80.78</v>
      </c>
      <c r="M29" s="1501">
        <f t="shared" si="5"/>
        <v>72.7</v>
      </c>
      <c r="N29" s="1405"/>
      <c r="O29" s="1404"/>
    </row>
    <row r="30" spans="2:19" ht="16.5">
      <c r="B30" s="1616">
        <f t="shared" si="3"/>
        <v>2.0399999999999991</v>
      </c>
      <c r="C30" s="1555"/>
      <c r="D30" s="1508" t="s">
        <v>454</v>
      </c>
      <c r="E30" s="1508"/>
      <c r="F30" s="1579"/>
      <c r="G30" s="1541" t="s">
        <v>18</v>
      </c>
      <c r="H30" s="1566">
        <v>79</v>
      </c>
      <c r="I30" s="1501">
        <v>81.34</v>
      </c>
      <c r="J30" s="1542">
        <f t="shared" si="4"/>
        <v>6425.86</v>
      </c>
      <c r="K30" s="325"/>
      <c r="L30" s="1501">
        <v>90.38</v>
      </c>
      <c r="M30" s="1501">
        <f t="shared" si="5"/>
        <v>81.34</v>
      </c>
      <c r="N30" s="1405"/>
      <c r="O30" s="1404"/>
    </row>
    <row r="31" spans="2:19" ht="16.5">
      <c r="B31" s="1616">
        <f t="shared" si="3"/>
        <v>2.0499999999999989</v>
      </c>
      <c r="C31" s="1555"/>
      <c r="D31" s="1508" t="s">
        <v>828</v>
      </c>
      <c r="E31" s="1508"/>
      <c r="F31" s="1579"/>
      <c r="G31" s="1541" t="s">
        <v>18</v>
      </c>
      <c r="H31" s="1566">
        <v>9</v>
      </c>
      <c r="I31" s="1501">
        <v>57.73</v>
      </c>
      <c r="J31" s="1542">
        <f t="shared" si="4"/>
        <v>519.57000000000005</v>
      </c>
      <c r="K31" s="325"/>
      <c r="L31" s="1501">
        <v>64.14</v>
      </c>
      <c r="M31" s="1501">
        <f t="shared" si="5"/>
        <v>57.73</v>
      </c>
      <c r="N31" s="1405"/>
      <c r="O31" s="1404"/>
    </row>
    <row r="32" spans="2:19" ht="16.5">
      <c r="B32" s="1616">
        <f t="shared" si="3"/>
        <v>2.0599999999999987</v>
      </c>
      <c r="C32" s="1555"/>
      <c r="D32" s="1508" t="s">
        <v>829</v>
      </c>
      <c r="E32" s="1508"/>
      <c r="F32" s="1579"/>
      <c r="G32" s="1541" t="s">
        <v>18</v>
      </c>
      <c r="H32" s="1566">
        <v>225</v>
      </c>
      <c r="I32" s="1501">
        <v>197.37</v>
      </c>
      <c r="J32" s="1542">
        <f t="shared" si="4"/>
        <v>44408.25</v>
      </c>
      <c r="K32" s="325"/>
      <c r="L32" s="1501">
        <v>219.3</v>
      </c>
      <c r="M32" s="1501">
        <f t="shared" si="5"/>
        <v>197.37</v>
      </c>
      <c r="N32" s="1405"/>
      <c r="O32" s="1404"/>
    </row>
    <row r="33" spans="2:15" ht="16.5">
      <c r="B33" s="1616">
        <f t="shared" si="3"/>
        <v>2.0699999999999985</v>
      </c>
      <c r="C33" s="1555"/>
      <c r="D33" s="1508" t="s">
        <v>830</v>
      </c>
      <c r="E33" s="1508"/>
      <c r="F33" s="1579"/>
      <c r="G33" s="1541" t="s">
        <v>18</v>
      </c>
      <c r="H33" s="1566">
        <v>7</v>
      </c>
      <c r="I33" s="1501">
        <v>191.97</v>
      </c>
      <c r="J33" s="1542">
        <f t="shared" si="4"/>
        <v>1343.79</v>
      </c>
      <c r="K33" s="325"/>
      <c r="L33" s="1501">
        <v>213.3</v>
      </c>
      <c r="M33" s="1501">
        <f t="shared" si="5"/>
        <v>191.97</v>
      </c>
      <c r="N33" s="1405"/>
      <c r="O33" s="1404"/>
    </row>
    <row r="34" spans="2:15" ht="16.5">
      <c r="B34" s="1616">
        <f t="shared" si="3"/>
        <v>2.0799999999999983</v>
      </c>
      <c r="C34" s="1555"/>
      <c r="D34" s="1508" t="s">
        <v>831</v>
      </c>
      <c r="E34" s="1508"/>
      <c r="F34" s="1579"/>
      <c r="G34" s="1541" t="s">
        <v>962</v>
      </c>
      <c r="H34" s="1566">
        <v>4.32</v>
      </c>
      <c r="I34" s="1501">
        <v>90.22</v>
      </c>
      <c r="J34" s="1542">
        <f t="shared" si="4"/>
        <v>389.75</v>
      </c>
      <c r="K34" s="325"/>
      <c r="L34" s="1501">
        <v>100.24</v>
      </c>
      <c r="M34" s="1501">
        <f t="shared" si="5"/>
        <v>90.22</v>
      </c>
      <c r="N34" s="1405"/>
      <c r="O34" s="1404"/>
    </row>
    <row r="35" spans="2:15" ht="16.5">
      <c r="B35" s="1540"/>
      <c r="C35" s="1555"/>
      <c r="D35" s="1508"/>
      <c r="E35" s="1508"/>
      <c r="F35" s="1605" t="str">
        <f>+"SUB-TOTAL   "&amp;B26&amp;":  "</f>
        <v xml:space="preserve">SUB-TOTAL   2:  </v>
      </c>
      <c r="G35" s="1606"/>
      <c r="H35" s="1607"/>
      <c r="I35" s="1565"/>
      <c r="J35" s="1619">
        <f>SUM(J27:J34)</f>
        <v>72549.159999999989</v>
      </c>
      <c r="L35" s="1565"/>
      <c r="M35" s="1565"/>
      <c r="N35" s="1405"/>
      <c r="O35" s="1404"/>
    </row>
    <row r="36" spans="2:15" ht="16.5">
      <c r="B36" s="1615">
        <v>3</v>
      </c>
      <c r="C36" s="1555"/>
      <c r="D36" s="1575" t="s">
        <v>205</v>
      </c>
      <c r="E36" s="1508"/>
      <c r="F36" s="1579"/>
      <c r="G36" s="1541"/>
      <c r="H36" s="1566"/>
      <c r="I36" s="1501"/>
      <c r="J36" s="1542"/>
      <c r="L36" s="1501"/>
      <c r="M36" s="1501"/>
      <c r="N36" s="1405"/>
      <c r="O36" s="1404"/>
    </row>
    <row r="37" spans="2:15" ht="16.5">
      <c r="B37" s="1616">
        <f>+B36+0.01</f>
        <v>3.01</v>
      </c>
      <c r="C37" s="1555"/>
      <c r="D37" s="1508" t="s">
        <v>452</v>
      </c>
      <c r="E37" s="1508"/>
      <c r="F37" s="1579"/>
      <c r="G37" s="1541" t="s">
        <v>962</v>
      </c>
      <c r="H37" s="1566">
        <v>101.44</v>
      </c>
      <c r="I37" s="1501">
        <v>61.15</v>
      </c>
      <c r="J37" s="1542">
        <f t="shared" ref="J37:J42" si="6">+ROUND(I37*H37,2)</f>
        <v>6203.06</v>
      </c>
      <c r="K37" s="325"/>
      <c r="L37" s="1501">
        <v>67.94</v>
      </c>
      <c r="M37" s="1501">
        <f t="shared" ref="M37:M42" si="7">+ROUND(L37*$M$7,2)</f>
        <v>61.15</v>
      </c>
      <c r="N37" s="1405"/>
      <c r="O37" s="1404"/>
    </row>
    <row r="38" spans="2:15" ht="16.5">
      <c r="B38" s="1616">
        <f t="shared" ref="B38:B42" si="8">+B37+0.01</f>
        <v>3.0199999999999996</v>
      </c>
      <c r="C38" s="1555"/>
      <c r="D38" s="1508" t="s">
        <v>456</v>
      </c>
      <c r="E38" s="1508"/>
      <c r="F38" s="1579"/>
      <c r="G38" s="1541" t="s">
        <v>962</v>
      </c>
      <c r="H38" s="1566">
        <v>12.48</v>
      </c>
      <c r="I38" s="1501">
        <v>208.14</v>
      </c>
      <c r="J38" s="1542">
        <f t="shared" si="6"/>
        <v>2597.59</v>
      </c>
      <c r="K38" s="325"/>
      <c r="L38" s="1501">
        <v>231.26999999999998</v>
      </c>
      <c r="M38" s="1501">
        <f t="shared" si="7"/>
        <v>208.14</v>
      </c>
      <c r="N38" s="1405"/>
      <c r="O38" s="1404"/>
    </row>
    <row r="39" spans="2:15" ht="16.5">
      <c r="B39" s="1616">
        <f t="shared" si="8"/>
        <v>3.0299999999999994</v>
      </c>
      <c r="C39" s="1555"/>
      <c r="D39" s="1508" t="s">
        <v>457</v>
      </c>
      <c r="E39" s="1508"/>
      <c r="F39" s="1579"/>
      <c r="G39" s="1541" t="s">
        <v>18</v>
      </c>
      <c r="H39" s="1566">
        <v>95</v>
      </c>
      <c r="I39" s="1501">
        <v>58.28</v>
      </c>
      <c r="J39" s="1542">
        <f t="shared" si="6"/>
        <v>5536.6</v>
      </c>
      <c r="K39" s="325"/>
      <c r="L39" s="1501">
        <v>64.759999999999991</v>
      </c>
      <c r="M39" s="1501">
        <f t="shared" si="7"/>
        <v>58.28</v>
      </c>
      <c r="N39" s="1405"/>
      <c r="O39" s="1404"/>
    </row>
    <row r="40" spans="2:15" ht="16.5">
      <c r="B40" s="1616">
        <f t="shared" si="8"/>
        <v>3.0399999999999991</v>
      </c>
      <c r="C40" s="1555"/>
      <c r="D40" s="1508" t="s">
        <v>458</v>
      </c>
      <c r="E40" s="1508"/>
      <c r="F40" s="1579"/>
      <c r="G40" s="1541" t="s">
        <v>18</v>
      </c>
      <c r="H40" s="1566">
        <v>14</v>
      </c>
      <c r="I40" s="1501">
        <v>64.03</v>
      </c>
      <c r="J40" s="1542">
        <f t="shared" si="6"/>
        <v>896.42</v>
      </c>
      <c r="K40" s="325"/>
      <c r="L40" s="1501">
        <v>71.14</v>
      </c>
      <c r="M40" s="1501">
        <f t="shared" si="7"/>
        <v>64.03</v>
      </c>
      <c r="N40" s="1405"/>
      <c r="O40" s="1404"/>
    </row>
    <row r="41" spans="2:15" ht="16.5">
      <c r="B41" s="1616">
        <f t="shared" si="8"/>
        <v>3.0499999999999989</v>
      </c>
      <c r="C41" s="1555"/>
      <c r="D41" s="1508" t="s">
        <v>431</v>
      </c>
      <c r="E41" s="1508"/>
      <c r="F41" s="1579"/>
      <c r="G41" s="1541" t="s">
        <v>962</v>
      </c>
      <c r="H41" s="1566">
        <v>99.5</v>
      </c>
      <c r="I41" s="1501">
        <v>90.22</v>
      </c>
      <c r="J41" s="1542">
        <f t="shared" si="6"/>
        <v>8976.89</v>
      </c>
      <c r="K41" s="325"/>
      <c r="L41" s="1501">
        <v>100.24</v>
      </c>
      <c r="M41" s="1501">
        <f t="shared" si="7"/>
        <v>90.22</v>
      </c>
      <c r="N41" s="1405"/>
      <c r="O41" s="1404"/>
    </row>
    <row r="42" spans="2:15" ht="16.5">
      <c r="B42" s="1616">
        <f t="shared" si="8"/>
        <v>3.0599999999999987</v>
      </c>
      <c r="C42" s="1555"/>
      <c r="D42" s="1508" t="s">
        <v>432</v>
      </c>
      <c r="E42" s="1508"/>
      <c r="F42" s="1579"/>
      <c r="G42" s="1541" t="s">
        <v>962</v>
      </c>
      <c r="H42" s="1566">
        <v>12.24</v>
      </c>
      <c r="I42" s="1501">
        <v>96.57</v>
      </c>
      <c r="J42" s="1542">
        <f t="shared" si="6"/>
        <v>1182.02</v>
      </c>
      <c r="K42" s="325"/>
      <c r="L42" s="1501">
        <v>107.3</v>
      </c>
      <c r="M42" s="1501">
        <f t="shared" si="7"/>
        <v>96.57</v>
      </c>
      <c r="N42" s="1405"/>
      <c r="O42" s="1404"/>
    </row>
    <row r="43" spans="2:15" ht="16.5">
      <c r="B43" s="1540"/>
      <c r="C43" s="1555"/>
      <c r="D43" s="1508"/>
      <c r="E43" s="1508"/>
      <c r="F43" s="1605" t="str">
        <f>+"SUB-TOTAL   "&amp;B36&amp;":  "</f>
        <v xml:space="preserve">SUB-TOTAL   3:  </v>
      </c>
      <c r="G43" s="1606"/>
      <c r="H43" s="1607"/>
      <c r="I43" s="1565"/>
      <c r="J43" s="1619">
        <f>SUM(J37:J42)</f>
        <v>25392.58</v>
      </c>
      <c r="L43" s="1565"/>
      <c r="M43" s="1565"/>
      <c r="N43" s="1405"/>
      <c r="O43" s="1404"/>
    </row>
    <row r="44" spans="2:15" ht="16.5">
      <c r="B44" s="1615">
        <v>4</v>
      </c>
      <c r="C44" s="1555"/>
      <c r="D44" s="1575" t="s">
        <v>206</v>
      </c>
      <c r="E44" s="1508"/>
      <c r="F44" s="1579"/>
      <c r="G44" s="1541"/>
      <c r="H44" s="1566"/>
      <c r="I44" s="1501"/>
      <c r="J44" s="1542"/>
      <c r="L44" s="1501"/>
      <c r="M44" s="1501"/>
      <c r="N44" s="1405"/>
      <c r="O44" s="1404"/>
    </row>
    <row r="45" spans="2:15" ht="16.5">
      <c r="B45" s="1616">
        <f>+B44+0.01</f>
        <v>4.01</v>
      </c>
      <c r="C45" s="1555"/>
      <c r="D45" s="1508" t="s">
        <v>945</v>
      </c>
      <c r="E45" s="1508"/>
      <c r="F45" s="1579"/>
      <c r="G45" s="1541" t="s">
        <v>295</v>
      </c>
      <c r="H45" s="1566">
        <v>142</v>
      </c>
      <c r="I45" s="1501">
        <v>24.88</v>
      </c>
      <c r="J45" s="1542">
        <f t="shared" ref="J45:J51" si="9">+ROUND(I45*H45,2)</f>
        <v>3532.96</v>
      </c>
      <c r="K45" s="325"/>
      <c r="L45" s="1501">
        <v>27.64</v>
      </c>
      <c r="M45" s="1501">
        <f t="shared" ref="M45:M51" si="10">+ROUND(L45*$M$7,2)</f>
        <v>24.88</v>
      </c>
      <c r="N45" s="1405"/>
      <c r="O45" s="1404"/>
    </row>
    <row r="46" spans="2:15" ht="16.5">
      <c r="B46" s="1616">
        <f t="shared" ref="B46:B51" si="11">+B45+0.01</f>
        <v>4.0199999999999996</v>
      </c>
      <c r="C46" s="1555"/>
      <c r="D46" s="1508" t="s">
        <v>946</v>
      </c>
      <c r="E46" s="1508"/>
      <c r="F46" s="1579"/>
      <c r="G46" s="1541" t="s">
        <v>295</v>
      </c>
      <c r="H46" s="1566">
        <v>1</v>
      </c>
      <c r="I46" s="1501">
        <v>31.13</v>
      </c>
      <c r="J46" s="1542">
        <f t="shared" si="9"/>
        <v>31.13</v>
      </c>
      <c r="K46" s="325"/>
      <c r="L46" s="1501">
        <v>34.590000000000003</v>
      </c>
      <c r="M46" s="1501">
        <f t="shared" si="10"/>
        <v>31.13</v>
      </c>
      <c r="N46" s="1405"/>
      <c r="O46" s="1404"/>
    </row>
    <row r="47" spans="2:15" ht="16.5">
      <c r="B47" s="1616">
        <f t="shared" si="11"/>
        <v>4.0299999999999994</v>
      </c>
      <c r="C47" s="1555"/>
      <c r="D47" s="1508" t="s">
        <v>947</v>
      </c>
      <c r="E47" s="1508"/>
      <c r="F47" s="1579"/>
      <c r="G47" s="1541" t="s">
        <v>295</v>
      </c>
      <c r="H47" s="1566">
        <v>77</v>
      </c>
      <c r="I47" s="1501">
        <v>24.58</v>
      </c>
      <c r="J47" s="1542">
        <f t="shared" si="9"/>
        <v>1892.66</v>
      </c>
      <c r="K47" s="325"/>
      <c r="L47" s="1501">
        <v>27.310000000000002</v>
      </c>
      <c r="M47" s="1501">
        <f t="shared" si="10"/>
        <v>24.58</v>
      </c>
      <c r="N47" s="1405"/>
      <c r="O47" s="1404"/>
    </row>
    <row r="48" spans="2:15" ht="16.5">
      <c r="B48" s="1616">
        <f t="shared" si="11"/>
        <v>4.0399999999999991</v>
      </c>
      <c r="C48" s="1555"/>
      <c r="D48" s="1508" t="s">
        <v>948</v>
      </c>
      <c r="E48" s="1508"/>
      <c r="F48" s="1579"/>
      <c r="G48" s="1541" t="s">
        <v>295</v>
      </c>
      <c r="H48" s="1566">
        <v>2</v>
      </c>
      <c r="I48" s="1501">
        <v>34.229999999999997</v>
      </c>
      <c r="J48" s="1542">
        <f t="shared" si="9"/>
        <v>68.459999999999994</v>
      </c>
      <c r="K48" s="325"/>
      <c r="L48" s="1501">
        <v>38.03</v>
      </c>
      <c r="M48" s="1501">
        <f t="shared" si="10"/>
        <v>34.229999999999997</v>
      </c>
      <c r="N48" s="1405"/>
      <c r="O48" s="1404"/>
    </row>
    <row r="49" spans="2:15" ht="16.5">
      <c r="B49" s="1616">
        <f t="shared" si="11"/>
        <v>4.0499999999999989</v>
      </c>
      <c r="C49" s="1555"/>
      <c r="D49" s="1508" t="s">
        <v>949</v>
      </c>
      <c r="E49" s="1873"/>
      <c r="F49" s="1874"/>
      <c r="G49" s="1541" t="s">
        <v>295</v>
      </c>
      <c r="H49" s="1566">
        <v>51</v>
      </c>
      <c r="I49" s="1501">
        <v>31.13</v>
      </c>
      <c r="J49" s="1542">
        <f t="shared" si="9"/>
        <v>1587.63</v>
      </c>
      <c r="K49" s="325"/>
      <c r="L49" s="1501">
        <v>34.590000000000003</v>
      </c>
      <c r="M49" s="1501">
        <f t="shared" si="10"/>
        <v>31.13</v>
      </c>
      <c r="N49" s="1405"/>
      <c r="O49" s="1404"/>
    </row>
    <row r="50" spans="2:15" ht="16.5">
      <c r="B50" s="1616">
        <f t="shared" si="11"/>
        <v>4.0599999999999987</v>
      </c>
      <c r="C50" s="1553"/>
      <c r="D50" s="1508" t="s">
        <v>950</v>
      </c>
      <c r="E50" s="1508"/>
      <c r="F50" s="1579"/>
      <c r="G50" s="1541" t="s">
        <v>295</v>
      </c>
      <c r="H50" s="1566">
        <v>21</v>
      </c>
      <c r="I50" s="1501">
        <v>38.840000000000003</v>
      </c>
      <c r="J50" s="1542">
        <f t="shared" si="9"/>
        <v>815.64</v>
      </c>
      <c r="K50" s="323"/>
      <c r="L50" s="1501">
        <v>43.150000000000006</v>
      </c>
      <c r="M50" s="1501">
        <f t="shared" si="10"/>
        <v>38.840000000000003</v>
      </c>
      <c r="N50" s="1405"/>
      <c r="O50" s="1404"/>
    </row>
    <row r="51" spans="2:15" ht="16.5">
      <c r="B51" s="1616">
        <f t="shared" si="11"/>
        <v>4.0699999999999985</v>
      </c>
      <c r="C51" s="1553"/>
      <c r="D51" s="1508" t="s">
        <v>951</v>
      </c>
      <c r="E51" s="1508"/>
      <c r="F51" s="1579"/>
      <c r="G51" s="1541" t="s">
        <v>295</v>
      </c>
      <c r="H51" s="1566">
        <v>4</v>
      </c>
      <c r="I51" s="1501">
        <v>46.54</v>
      </c>
      <c r="J51" s="1542">
        <f t="shared" si="9"/>
        <v>186.16</v>
      </c>
      <c r="K51" s="323"/>
      <c r="L51" s="1501">
        <v>51.709999999999994</v>
      </c>
      <c r="M51" s="1501">
        <f t="shared" si="10"/>
        <v>46.54</v>
      </c>
      <c r="N51" s="1405"/>
      <c r="O51" s="1404"/>
    </row>
    <row r="52" spans="2:15" ht="16.5">
      <c r="B52" s="1540"/>
      <c r="C52" s="1555"/>
      <c r="D52" s="1508"/>
      <c r="E52" s="1508"/>
      <c r="F52" s="1605" t="str">
        <f>+"SUB-TOTAL   "&amp;B44&amp;":  "</f>
        <v xml:space="preserve">SUB-TOTAL   4:  </v>
      </c>
      <c r="G52" s="1606"/>
      <c r="H52" s="1607"/>
      <c r="I52" s="1565"/>
      <c r="J52" s="1619">
        <f>SUM(J45:J51)</f>
        <v>8114.64</v>
      </c>
      <c r="L52" s="1565"/>
      <c r="M52" s="1565"/>
      <c r="N52" s="1405"/>
      <c r="O52" s="1404"/>
    </row>
    <row r="53" spans="2:15" ht="16.5">
      <c r="B53" s="1615">
        <v>5</v>
      </c>
      <c r="C53" s="1555"/>
      <c r="D53" s="1575" t="s">
        <v>175</v>
      </c>
      <c r="E53" s="1508"/>
      <c r="F53" s="1579"/>
      <c r="G53" s="1541"/>
      <c r="H53" s="1566"/>
      <c r="I53" s="1501"/>
      <c r="J53" s="1542"/>
      <c r="L53" s="1501"/>
      <c r="M53" s="1501"/>
      <c r="N53" s="1405"/>
      <c r="O53" s="1404"/>
    </row>
    <row r="54" spans="2:15" ht="16.5">
      <c r="B54" s="1540"/>
      <c r="C54" s="1555"/>
      <c r="D54" s="1508" t="s">
        <v>459</v>
      </c>
      <c r="E54" s="1508"/>
      <c r="F54" s="1579"/>
      <c r="G54" s="1541"/>
      <c r="H54" s="1566"/>
      <c r="I54" s="1501"/>
      <c r="J54" s="1542"/>
      <c r="L54" s="1501"/>
      <c r="M54" s="1501"/>
      <c r="N54" s="1405"/>
      <c r="O54" s="1404"/>
    </row>
    <row r="55" spans="2:15" ht="16.5">
      <c r="B55" s="1616">
        <f>+B53+0.01</f>
        <v>5.01</v>
      </c>
      <c r="C55" s="1555"/>
      <c r="D55" s="1508" t="s">
        <v>822</v>
      </c>
      <c r="E55" s="1508"/>
      <c r="F55" s="1579"/>
      <c r="G55" s="1541" t="s">
        <v>191</v>
      </c>
      <c r="H55" s="1566">
        <v>1.46</v>
      </c>
      <c r="I55" s="1501">
        <v>1274.0999999999999</v>
      </c>
      <c r="J55" s="1542">
        <f t="shared" ref="J55:J59" si="12">+ROUND(I55*H55,2)</f>
        <v>1860.19</v>
      </c>
      <c r="K55" s="325"/>
      <c r="L55" s="1501">
        <v>1415.67</v>
      </c>
      <c r="M55" s="1501">
        <f t="shared" ref="M55:M59" si="13">+ROUND(L55*$M$7,2)</f>
        <v>1274.0999999999999</v>
      </c>
      <c r="N55" s="1405"/>
      <c r="O55" s="1404"/>
    </row>
    <row r="56" spans="2:15" ht="16.5">
      <c r="B56" s="1616">
        <f>+B55+0.01</f>
        <v>5.0199999999999996</v>
      </c>
      <c r="C56" s="1555"/>
      <c r="D56" s="1508" t="s">
        <v>551</v>
      </c>
      <c r="E56" s="1508"/>
      <c r="F56" s="1579"/>
      <c r="G56" s="1541" t="s">
        <v>191</v>
      </c>
      <c r="H56" s="1566">
        <v>0.05</v>
      </c>
      <c r="I56" s="1501">
        <v>1025.75</v>
      </c>
      <c r="J56" s="1542">
        <f t="shared" si="12"/>
        <v>51.29</v>
      </c>
      <c r="K56" s="325"/>
      <c r="L56" s="1501">
        <v>1139.72</v>
      </c>
      <c r="M56" s="1501">
        <f t="shared" si="13"/>
        <v>1025.75</v>
      </c>
      <c r="N56" s="1405"/>
      <c r="O56" s="1404"/>
    </row>
    <row r="57" spans="2:15" ht="16.5">
      <c r="B57" s="1616">
        <f t="shared" ref="B57:B59" si="14">+B56+0.01</f>
        <v>5.0299999999999994</v>
      </c>
      <c r="C57" s="1555"/>
      <c r="D57" s="1508" t="s">
        <v>460</v>
      </c>
      <c r="E57" s="1508"/>
      <c r="F57" s="1579"/>
      <c r="G57" s="1541" t="s">
        <v>191</v>
      </c>
      <c r="H57" s="1566">
        <v>7.08</v>
      </c>
      <c r="I57" s="1501">
        <v>1066.56</v>
      </c>
      <c r="J57" s="1542">
        <f t="shared" si="12"/>
        <v>7551.24</v>
      </c>
      <c r="K57" s="325"/>
      <c r="L57" s="1501">
        <v>1185.07</v>
      </c>
      <c r="M57" s="1501">
        <f t="shared" si="13"/>
        <v>1066.56</v>
      </c>
      <c r="N57" s="1405"/>
      <c r="O57" s="1404"/>
    </row>
    <row r="58" spans="2:15" ht="16.5">
      <c r="B58" s="1616">
        <f t="shared" si="14"/>
        <v>5.0399999999999991</v>
      </c>
      <c r="C58" s="1555"/>
      <c r="D58" s="1508" t="s">
        <v>461</v>
      </c>
      <c r="E58" s="1508"/>
      <c r="F58" s="1579"/>
      <c r="G58" s="1541" t="s">
        <v>191</v>
      </c>
      <c r="H58" s="1566">
        <v>0.18</v>
      </c>
      <c r="I58" s="1501">
        <v>860.76</v>
      </c>
      <c r="J58" s="1542">
        <f t="shared" si="12"/>
        <v>154.94</v>
      </c>
      <c r="K58" s="325"/>
      <c r="L58" s="1501">
        <v>956.4</v>
      </c>
      <c r="M58" s="1501">
        <f t="shared" si="13"/>
        <v>860.76</v>
      </c>
      <c r="N58" s="1405"/>
      <c r="O58" s="1404"/>
    </row>
    <row r="59" spans="2:15" ht="16.5">
      <c r="B59" s="1616">
        <f t="shared" si="14"/>
        <v>5.0499999999999989</v>
      </c>
      <c r="C59" s="1555"/>
      <c r="D59" s="1508" t="s">
        <v>462</v>
      </c>
      <c r="E59" s="1508"/>
      <c r="F59" s="1579"/>
      <c r="G59" s="1541" t="s">
        <v>191</v>
      </c>
      <c r="H59" s="1566">
        <v>4.0600000000000005</v>
      </c>
      <c r="I59" s="1501">
        <v>834.36</v>
      </c>
      <c r="J59" s="1542">
        <f t="shared" si="12"/>
        <v>3387.5</v>
      </c>
      <c r="K59" s="325"/>
      <c r="L59" s="1501">
        <v>927.06999999999994</v>
      </c>
      <c r="M59" s="1501">
        <f t="shared" si="13"/>
        <v>834.36</v>
      </c>
      <c r="N59" s="1405"/>
      <c r="O59" s="1404"/>
    </row>
    <row r="60" spans="2:15" ht="16.5">
      <c r="B60" s="1622"/>
      <c r="C60" s="1630"/>
      <c r="D60" s="1608"/>
      <c r="E60" s="1608"/>
      <c r="F60" s="1609" t="str">
        <f>+"SUB-TOTAL   "&amp;B53&amp;":  "</f>
        <v xml:space="preserve">SUB-TOTAL   5:  </v>
      </c>
      <c r="G60" s="1610"/>
      <c r="H60" s="1611"/>
      <c r="I60" s="1567"/>
      <c r="J60" s="1623">
        <f>+SUM(J54:J59)</f>
        <v>13005.16</v>
      </c>
      <c r="L60" s="1567"/>
      <c r="M60" s="1567"/>
      <c r="N60" s="1405"/>
      <c r="O60" s="1404"/>
    </row>
    <row r="61" spans="2:15" ht="16.5">
      <c r="B61" s="1615">
        <v>6</v>
      </c>
      <c r="C61" s="1555"/>
      <c r="D61" s="1575" t="s">
        <v>283</v>
      </c>
      <c r="E61" s="1508"/>
      <c r="F61" s="1579"/>
      <c r="G61" s="1541"/>
      <c r="H61" s="1566"/>
      <c r="I61" s="1501"/>
      <c r="J61" s="1542"/>
      <c r="L61" s="1501"/>
      <c r="M61" s="1501"/>
      <c r="N61" s="1405"/>
      <c r="O61" s="1404"/>
    </row>
    <row r="62" spans="2:15" ht="16.5">
      <c r="B62" s="1616">
        <f>+B61+0.01</f>
        <v>6.01</v>
      </c>
      <c r="C62" s="1555"/>
      <c r="D62" s="1508" t="s">
        <v>452</v>
      </c>
      <c r="E62" s="1508"/>
      <c r="F62" s="1579"/>
      <c r="G62" s="1541" t="s">
        <v>962</v>
      </c>
      <c r="H62" s="1566">
        <v>98.91</v>
      </c>
      <c r="I62" s="1501">
        <v>61.15</v>
      </c>
      <c r="J62" s="1542">
        <f>+ROUND(I62*H62,2)</f>
        <v>6048.35</v>
      </c>
      <c r="K62" s="325"/>
      <c r="L62" s="1501">
        <v>67.94</v>
      </c>
      <c r="M62" s="1501">
        <f t="shared" ref="M62:M66" si="15">+ROUND(L62*$M$7,2)</f>
        <v>61.15</v>
      </c>
      <c r="N62" s="1405"/>
      <c r="O62" s="1404"/>
    </row>
    <row r="63" spans="2:15" ht="16.5">
      <c r="B63" s="1616">
        <f t="shared" ref="B63:B66" si="16">+B62+0.01</f>
        <v>6.02</v>
      </c>
      <c r="C63" s="1555"/>
      <c r="D63" s="1508" t="s">
        <v>456</v>
      </c>
      <c r="E63" s="1508"/>
      <c r="F63" s="1579"/>
      <c r="G63" s="1541" t="s">
        <v>962</v>
      </c>
      <c r="H63" s="1566">
        <v>14.129999999999999</v>
      </c>
      <c r="I63" s="1501">
        <v>208.14</v>
      </c>
      <c r="J63" s="1542">
        <f>+ROUND(I63*H63,2)</f>
        <v>2941.02</v>
      </c>
      <c r="K63" s="325"/>
      <c r="L63" s="1501">
        <v>231.26999999999998</v>
      </c>
      <c r="M63" s="1501">
        <f t="shared" si="15"/>
        <v>208.14</v>
      </c>
      <c r="N63" s="1405"/>
      <c r="O63" s="1404"/>
    </row>
    <row r="64" spans="2:15" ht="16.5">
      <c r="B64" s="1616">
        <f t="shared" si="16"/>
        <v>6.0299999999999994</v>
      </c>
      <c r="C64" s="1553"/>
      <c r="D64" s="1508" t="s">
        <v>475</v>
      </c>
      <c r="E64" s="1873"/>
      <c r="F64" s="1874"/>
      <c r="G64" s="1541" t="s">
        <v>18</v>
      </c>
      <c r="H64" s="1566">
        <v>69</v>
      </c>
      <c r="I64" s="1501">
        <v>49.91</v>
      </c>
      <c r="J64" s="1542">
        <f t="shared" ref="J64:J65" si="17">+ROUND(I64*H64,2)</f>
        <v>3443.79</v>
      </c>
      <c r="K64" s="323"/>
      <c r="L64" s="1501">
        <v>55.46</v>
      </c>
      <c r="M64" s="1501">
        <f t="shared" si="15"/>
        <v>49.91</v>
      </c>
      <c r="N64" s="1405"/>
      <c r="O64" s="1404"/>
    </row>
    <row r="65" spans="2:15" ht="16.5">
      <c r="B65" s="1616">
        <f t="shared" si="16"/>
        <v>6.0399999999999991</v>
      </c>
      <c r="C65" s="1553"/>
      <c r="D65" s="1508" t="s">
        <v>857</v>
      </c>
      <c r="E65" s="1508"/>
      <c r="F65" s="1579"/>
      <c r="G65" s="1541" t="s">
        <v>18</v>
      </c>
      <c r="H65" s="1566">
        <v>3</v>
      </c>
      <c r="I65" s="1501">
        <v>59.05</v>
      </c>
      <c r="J65" s="1542">
        <f t="shared" si="17"/>
        <v>177.15</v>
      </c>
      <c r="K65" s="323"/>
      <c r="L65" s="1501">
        <v>65.610000000000014</v>
      </c>
      <c r="M65" s="1501">
        <f t="shared" si="15"/>
        <v>59.05</v>
      </c>
      <c r="N65" s="1405"/>
      <c r="O65" s="1404"/>
    </row>
    <row r="66" spans="2:15" ht="16.5">
      <c r="B66" s="1616">
        <f t="shared" si="16"/>
        <v>6.0499999999999989</v>
      </c>
      <c r="C66" s="1555"/>
      <c r="D66" s="1508" t="s">
        <v>476</v>
      </c>
      <c r="E66" s="1508"/>
      <c r="F66" s="1579"/>
      <c r="G66" s="1541" t="s">
        <v>962</v>
      </c>
      <c r="H66" s="1566">
        <v>113.04</v>
      </c>
      <c r="I66" s="1501">
        <v>68.819999999999993</v>
      </c>
      <c r="J66" s="1542">
        <f>+ROUND(I66*H66,2)</f>
        <v>7779.41</v>
      </c>
      <c r="K66" s="325"/>
      <c r="L66" s="1501">
        <v>76.47</v>
      </c>
      <c r="M66" s="1501">
        <f t="shared" si="15"/>
        <v>68.819999999999993</v>
      </c>
      <c r="N66" s="1405"/>
      <c r="O66" s="1404"/>
    </row>
    <row r="67" spans="2:15" ht="16.5">
      <c r="B67" s="1540"/>
      <c r="C67" s="1555"/>
      <c r="D67" s="1508"/>
      <c r="E67" s="1508"/>
      <c r="F67" s="1605" t="str">
        <f>+"SUB-TOTAL   "&amp;B61&amp;":  "</f>
        <v xml:space="preserve">SUB-TOTAL   6:  </v>
      </c>
      <c r="G67" s="1606"/>
      <c r="H67" s="1607"/>
      <c r="I67" s="1565"/>
      <c r="J67" s="1619">
        <f>+SUM(J62:J66)</f>
        <v>20389.72</v>
      </c>
      <c r="L67" s="1565"/>
      <c r="M67" s="1565"/>
      <c r="N67" s="1405"/>
      <c r="O67" s="1404"/>
    </row>
    <row r="68" spans="2:15" ht="16.5">
      <c r="B68" s="1615">
        <v>7</v>
      </c>
      <c r="C68" s="1555"/>
      <c r="D68" s="1575" t="s">
        <v>176</v>
      </c>
      <c r="E68" s="1508"/>
      <c r="F68" s="1579"/>
      <c r="G68" s="1541"/>
      <c r="H68" s="1566"/>
      <c r="I68" s="1501"/>
      <c r="J68" s="1542"/>
      <c r="L68" s="1501"/>
      <c r="M68" s="1501"/>
      <c r="N68" s="1405"/>
      <c r="O68" s="1404"/>
    </row>
    <row r="69" spans="2:15" ht="16.5">
      <c r="B69" s="1616">
        <f>+B68+0.01</f>
        <v>7.01</v>
      </c>
      <c r="C69" s="1555"/>
      <c r="D69" s="1508" t="s">
        <v>745</v>
      </c>
      <c r="E69" s="1508"/>
      <c r="F69" s="1579"/>
      <c r="G69" s="1541" t="s">
        <v>18</v>
      </c>
      <c r="H69" s="1566">
        <v>45</v>
      </c>
      <c r="I69" s="1501">
        <v>32.799999999999997</v>
      </c>
      <c r="J69" s="1542">
        <f>+ROUND(I69*H69,2)</f>
        <v>1476</v>
      </c>
      <c r="K69" s="325"/>
      <c r="L69" s="1501">
        <v>36.44</v>
      </c>
      <c r="M69" s="1501">
        <f t="shared" ref="M69:M70" si="18">+ROUND(L69*$M$7,2)</f>
        <v>32.799999999999997</v>
      </c>
      <c r="N69" s="1405"/>
      <c r="O69" s="1404"/>
    </row>
    <row r="70" spans="2:15" ht="16.5">
      <c r="B70" s="1616">
        <f>+B69+0.01</f>
        <v>7.02</v>
      </c>
      <c r="C70" s="1555"/>
      <c r="D70" s="1508" t="s">
        <v>463</v>
      </c>
      <c r="E70" s="1508"/>
      <c r="F70" s="1579"/>
      <c r="G70" s="1541" t="s">
        <v>18</v>
      </c>
      <c r="H70" s="1566">
        <v>45</v>
      </c>
      <c r="I70" s="1501">
        <v>58.39</v>
      </c>
      <c r="J70" s="1542">
        <f>+ROUND(I70*H70,2)</f>
        <v>2627.55</v>
      </c>
      <c r="K70" s="325"/>
      <c r="L70" s="1501">
        <v>64.88</v>
      </c>
      <c r="M70" s="1501">
        <f t="shared" si="18"/>
        <v>58.39</v>
      </c>
      <c r="N70" s="1405"/>
      <c r="O70" s="1404"/>
    </row>
    <row r="71" spans="2:15" ht="16.5">
      <c r="B71" s="1540"/>
      <c r="C71" s="1555"/>
      <c r="D71" s="1508"/>
      <c r="E71" s="1508"/>
      <c r="F71" s="1605" t="str">
        <f>+"SUB-TOTAL   "&amp;B68&amp;":  "</f>
        <v xml:space="preserve">SUB-TOTAL   7:  </v>
      </c>
      <c r="G71" s="1606"/>
      <c r="H71" s="1607"/>
      <c r="I71" s="1565"/>
      <c r="J71" s="1619">
        <f>+SUM(J69:J70)</f>
        <v>4103.55</v>
      </c>
      <c r="L71" s="1565"/>
      <c r="M71" s="1565"/>
      <c r="N71" s="1405"/>
      <c r="O71" s="1404"/>
    </row>
    <row r="72" spans="2:15" ht="16.5">
      <c r="B72" s="1615">
        <v>8</v>
      </c>
      <c r="C72" s="1555"/>
      <c r="D72" s="1575" t="s">
        <v>173</v>
      </c>
      <c r="E72" s="1508"/>
      <c r="F72" s="1579"/>
      <c r="G72" s="1541"/>
      <c r="H72" s="1566"/>
      <c r="I72" s="1501"/>
      <c r="J72" s="1542"/>
      <c r="L72" s="1501"/>
      <c r="M72" s="1501"/>
      <c r="N72" s="1405"/>
      <c r="O72" s="1404"/>
    </row>
    <row r="73" spans="2:15" ht="16.5">
      <c r="B73" s="1616"/>
      <c r="C73" s="1555"/>
      <c r="D73" s="1508" t="s">
        <v>477</v>
      </c>
      <c r="E73" s="1886"/>
      <c r="F73" s="1887"/>
      <c r="G73" s="1541"/>
      <c r="H73" s="1566"/>
      <c r="I73" s="1501"/>
      <c r="J73" s="1542"/>
      <c r="L73" s="1501"/>
      <c r="M73" s="1501"/>
      <c r="N73" s="1405"/>
      <c r="O73" s="1404"/>
    </row>
    <row r="74" spans="2:15" ht="16.5">
      <c r="B74" s="1616">
        <f>+B72+0.01</f>
        <v>8.01</v>
      </c>
      <c r="C74" s="1553"/>
      <c r="D74" s="1508" t="s">
        <v>464</v>
      </c>
      <c r="E74" s="1508"/>
      <c r="F74" s="1579"/>
      <c r="G74" s="1541" t="s">
        <v>18</v>
      </c>
      <c r="H74" s="1566">
        <v>68</v>
      </c>
      <c r="I74" s="1501">
        <v>53.11</v>
      </c>
      <c r="J74" s="1542">
        <f>+ROUND(I74*H74,2)</f>
        <v>3611.48</v>
      </c>
      <c r="K74" s="323"/>
      <c r="L74" s="1501">
        <v>59.01</v>
      </c>
      <c r="M74" s="1501">
        <f t="shared" ref="M74:M80" si="19">+ROUND(L74*$M$7,2)</f>
        <v>53.11</v>
      </c>
      <c r="N74" s="1405"/>
      <c r="O74" s="1404"/>
    </row>
    <row r="75" spans="2:15" ht="16.5">
      <c r="B75" s="1616">
        <f>+B74+0.01</f>
        <v>8.02</v>
      </c>
      <c r="C75" s="1553"/>
      <c r="D75" s="1508" t="s">
        <v>465</v>
      </c>
      <c r="E75" s="1508"/>
      <c r="F75" s="1579"/>
      <c r="G75" s="1541" t="s">
        <v>18</v>
      </c>
      <c r="H75" s="1566">
        <v>40</v>
      </c>
      <c r="I75" s="1501">
        <v>61.41</v>
      </c>
      <c r="J75" s="1542">
        <f t="shared" ref="J75:J78" si="20">+ROUND(I75*H75,2)</f>
        <v>2456.4</v>
      </c>
      <c r="K75" s="323"/>
      <c r="L75" s="1501">
        <v>68.23</v>
      </c>
      <c r="M75" s="1501">
        <f t="shared" si="19"/>
        <v>61.41</v>
      </c>
      <c r="N75" s="1405"/>
      <c r="O75" s="1404"/>
    </row>
    <row r="76" spans="2:15" ht="16.5">
      <c r="B76" s="1616">
        <f t="shared" ref="B76:B80" si="21">+B75+0.01</f>
        <v>8.0299999999999994</v>
      </c>
      <c r="C76" s="1553"/>
      <c r="D76" s="1508" t="s">
        <v>466</v>
      </c>
      <c r="E76" s="1508"/>
      <c r="F76" s="1579"/>
      <c r="G76" s="1541" t="s">
        <v>18</v>
      </c>
      <c r="H76" s="1566">
        <v>39</v>
      </c>
      <c r="I76" s="1501">
        <v>59.13</v>
      </c>
      <c r="J76" s="1542">
        <f t="shared" si="20"/>
        <v>2306.0700000000002</v>
      </c>
      <c r="K76" s="323"/>
      <c r="L76" s="1501">
        <v>65.7</v>
      </c>
      <c r="M76" s="1501">
        <f t="shared" si="19"/>
        <v>59.13</v>
      </c>
      <c r="N76" s="1405"/>
      <c r="O76" s="1404"/>
    </row>
    <row r="77" spans="2:15" ht="16.5">
      <c r="B77" s="1616">
        <f t="shared" si="21"/>
        <v>8.0399999999999991</v>
      </c>
      <c r="C77" s="1553"/>
      <c r="D77" s="1508" t="s">
        <v>467</v>
      </c>
      <c r="E77" s="1508"/>
      <c r="F77" s="1579"/>
      <c r="G77" s="1541" t="s">
        <v>18</v>
      </c>
      <c r="H77" s="1566">
        <v>28</v>
      </c>
      <c r="I77" s="1501">
        <v>71.58</v>
      </c>
      <c r="J77" s="1542">
        <f t="shared" si="20"/>
        <v>2004.24</v>
      </c>
      <c r="K77" s="323"/>
      <c r="L77" s="1501">
        <v>79.53</v>
      </c>
      <c r="M77" s="1501">
        <f t="shared" si="19"/>
        <v>71.58</v>
      </c>
      <c r="N77" s="1405"/>
      <c r="O77" s="1404"/>
    </row>
    <row r="78" spans="2:15" ht="16.5">
      <c r="B78" s="1616">
        <f t="shared" si="21"/>
        <v>8.0499999999999989</v>
      </c>
      <c r="C78" s="1553"/>
      <c r="D78" s="1508" t="s">
        <v>468</v>
      </c>
      <c r="E78" s="1508"/>
      <c r="F78" s="1579"/>
      <c r="G78" s="1541" t="s">
        <v>18</v>
      </c>
      <c r="H78" s="1566">
        <v>175</v>
      </c>
      <c r="I78" s="1501">
        <v>19.12</v>
      </c>
      <c r="J78" s="1542">
        <f t="shared" si="20"/>
        <v>3346</v>
      </c>
      <c r="K78" s="323"/>
      <c r="L78" s="1501">
        <v>21.240000000000002</v>
      </c>
      <c r="M78" s="1501">
        <f t="shared" si="19"/>
        <v>19.12</v>
      </c>
      <c r="N78" s="1405"/>
      <c r="O78" s="1404"/>
    </row>
    <row r="79" spans="2:15" ht="16.5">
      <c r="B79" s="1616">
        <f t="shared" si="21"/>
        <v>8.0599999999999987</v>
      </c>
      <c r="C79" s="1555"/>
      <c r="D79" s="1508" t="s">
        <v>469</v>
      </c>
      <c r="E79" s="1508"/>
      <c r="F79" s="1579"/>
      <c r="G79" s="1541" t="s">
        <v>18</v>
      </c>
      <c r="H79" s="1566">
        <v>175</v>
      </c>
      <c r="I79" s="1501">
        <v>24.45</v>
      </c>
      <c r="J79" s="1542">
        <f t="shared" ref="J79" si="22">+ROUND(I79*H79,2)</f>
        <v>4278.75</v>
      </c>
      <c r="K79" s="325"/>
      <c r="L79" s="1501">
        <v>27.17</v>
      </c>
      <c r="M79" s="1501">
        <f t="shared" si="19"/>
        <v>24.45</v>
      </c>
      <c r="N79" s="1405"/>
      <c r="O79" s="1404"/>
    </row>
    <row r="80" spans="2:15" ht="16.5">
      <c r="B80" s="1616">
        <f t="shared" si="21"/>
        <v>8.0699999999999985</v>
      </c>
      <c r="C80" s="1555"/>
      <c r="D80" s="1508" t="s">
        <v>470</v>
      </c>
      <c r="E80" s="1508"/>
      <c r="F80" s="1579"/>
      <c r="G80" s="1541" t="s">
        <v>18</v>
      </c>
      <c r="H80" s="1566">
        <v>108</v>
      </c>
      <c r="I80" s="1501">
        <v>334.65</v>
      </c>
      <c r="J80" s="1542">
        <f>+ROUND(I80*H80,2)</f>
        <v>36142.199999999997</v>
      </c>
      <c r="K80" s="325"/>
      <c r="L80" s="1501">
        <v>371.83</v>
      </c>
      <c r="M80" s="1501">
        <f t="shared" si="19"/>
        <v>334.65</v>
      </c>
      <c r="N80" s="1405"/>
      <c r="O80" s="1404"/>
    </row>
    <row r="81" spans="2:15" ht="16.5">
      <c r="B81" s="1540"/>
      <c r="C81" s="1555"/>
      <c r="D81" s="1508"/>
      <c r="E81" s="1508"/>
      <c r="F81" s="1605" t="str">
        <f>+"SUB-TOTAL   "&amp;B72&amp;":  "</f>
        <v xml:space="preserve">SUB-TOTAL   8:  </v>
      </c>
      <c r="G81" s="1606"/>
      <c r="H81" s="1607"/>
      <c r="I81" s="1565"/>
      <c r="J81" s="1619">
        <f>+SUM(J74:J80)</f>
        <v>54145.14</v>
      </c>
      <c r="L81" s="1565"/>
      <c r="M81" s="1565"/>
      <c r="N81" s="1405"/>
      <c r="O81" s="1404"/>
    </row>
    <row r="82" spans="2:15" ht="16.5">
      <c r="B82" s="1615">
        <f>1+B72</f>
        <v>9</v>
      </c>
      <c r="C82" s="1555"/>
      <c r="D82" s="1575" t="s">
        <v>552</v>
      </c>
      <c r="E82" s="1508"/>
      <c r="F82" s="1579"/>
      <c r="G82" s="1541"/>
      <c r="H82" s="1566"/>
      <c r="I82" s="1501"/>
      <c r="J82" s="1542"/>
      <c r="L82" s="1501"/>
      <c r="M82" s="1501"/>
      <c r="N82" s="1405"/>
      <c r="O82" s="1404"/>
    </row>
    <row r="83" spans="2:15" ht="16.5">
      <c r="B83" s="1616">
        <f>+B82+0.01</f>
        <v>9.01</v>
      </c>
      <c r="C83" s="1555"/>
      <c r="D83" s="1508" t="s">
        <v>952</v>
      </c>
      <c r="E83" s="1508"/>
      <c r="F83" s="1579"/>
      <c r="G83" s="1541" t="s">
        <v>18</v>
      </c>
      <c r="H83" s="1566">
        <v>7</v>
      </c>
      <c r="I83" s="1501">
        <v>67.709999999999994</v>
      </c>
      <c r="J83" s="1542">
        <f t="shared" ref="J83:J89" si="23">+ROUND(I83*H83,2)</f>
        <v>473.97</v>
      </c>
      <c r="K83" s="325"/>
      <c r="L83" s="1501">
        <v>75.22999999999999</v>
      </c>
      <c r="M83" s="1501">
        <f t="shared" ref="M83:M89" si="24">+ROUND(L83*$M$7,2)</f>
        <v>67.709999999999994</v>
      </c>
      <c r="N83" s="1405"/>
      <c r="O83" s="1404"/>
    </row>
    <row r="84" spans="2:15" ht="16.5">
      <c r="B84" s="1616">
        <f t="shared" ref="B84:B89" si="25">+B83+0.01</f>
        <v>9.02</v>
      </c>
      <c r="C84" s="1555"/>
      <c r="D84" s="1508" t="s">
        <v>955</v>
      </c>
      <c r="E84" s="1508"/>
      <c r="F84" s="1579"/>
      <c r="G84" s="1541" t="s">
        <v>191</v>
      </c>
      <c r="H84" s="1566">
        <v>0.35</v>
      </c>
      <c r="I84" s="1501">
        <v>741.66</v>
      </c>
      <c r="J84" s="1542">
        <f t="shared" si="23"/>
        <v>259.58</v>
      </c>
      <c r="K84" s="325"/>
      <c r="L84" s="1501">
        <v>824.07</v>
      </c>
      <c r="M84" s="1501">
        <f t="shared" si="24"/>
        <v>741.66</v>
      </c>
      <c r="N84" s="1405"/>
      <c r="O84" s="1404"/>
    </row>
    <row r="85" spans="2:15" ht="16.5">
      <c r="B85" s="1616">
        <f t="shared" si="25"/>
        <v>9.0299999999999994</v>
      </c>
      <c r="C85" s="1555"/>
      <c r="D85" s="1508" t="s">
        <v>954</v>
      </c>
      <c r="E85" s="1508"/>
      <c r="F85" s="1579"/>
      <c r="G85" s="1541" t="s">
        <v>18</v>
      </c>
      <c r="H85" s="1566">
        <v>3</v>
      </c>
      <c r="I85" s="1501">
        <v>35.42</v>
      </c>
      <c r="J85" s="1542">
        <f t="shared" si="23"/>
        <v>106.26</v>
      </c>
      <c r="K85" s="325"/>
      <c r="L85" s="1501">
        <v>39.36</v>
      </c>
      <c r="M85" s="1501">
        <f t="shared" si="24"/>
        <v>35.42</v>
      </c>
      <c r="N85" s="1405"/>
      <c r="O85" s="1404"/>
    </row>
    <row r="86" spans="2:15" ht="16.5">
      <c r="B86" s="1616">
        <f t="shared" si="25"/>
        <v>9.0399999999999991</v>
      </c>
      <c r="C86" s="1555"/>
      <c r="D86" s="1508" t="s">
        <v>953</v>
      </c>
      <c r="E86" s="1508"/>
      <c r="F86" s="1579"/>
      <c r="G86" s="1541" t="s">
        <v>18</v>
      </c>
      <c r="H86" s="1566">
        <v>6</v>
      </c>
      <c r="I86" s="1501">
        <v>81.180000000000007</v>
      </c>
      <c r="J86" s="1542">
        <f t="shared" si="23"/>
        <v>487.08</v>
      </c>
      <c r="K86" s="325"/>
      <c r="L86" s="1501">
        <v>90.199999999999989</v>
      </c>
      <c r="M86" s="1501">
        <f t="shared" si="24"/>
        <v>81.180000000000007</v>
      </c>
      <c r="N86" s="1405"/>
      <c r="O86" s="1404"/>
    </row>
    <row r="87" spans="2:15" ht="16.5">
      <c r="B87" s="1616">
        <f t="shared" si="25"/>
        <v>9.0499999999999989</v>
      </c>
      <c r="C87" s="1555"/>
      <c r="D87" s="1508" t="s">
        <v>832</v>
      </c>
      <c r="E87" s="1508"/>
      <c r="F87" s="1579"/>
      <c r="G87" s="1541" t="s">
        <v>295</v>
      </c>
      <c r="H87" s="1566">
        <v>7</v>
      </c>
      <c r="I87" s="1501">
        <v>61.17</v>
      </c>
      <c r="J87" s="1542">
        <f t="shared" si="23"/>
        <v>428.19</v>
      </c>
      <c r="K87" s="325"/>
      <c r="L87" s="1501">
        <v>67.97</v>
      </c>
      <c r="M87" s="1501">
        <f t="shared" si="24"/>
        <v>61.17</v>
      </c>
      <c r="N87" s="1405"/>
      <c r="O87" s="1404"/>
    </row>
    <row r="88" spans="2:15" ht="16.5">
      <c r="B88" s="1616">
        <f t="shared" si="25"/>
        <v>9.0599999999999987</v>
      </c>
      <c r="C88" s="1555"/>
      <c r="D88" s="1508" t="s">
        <v>956</v>
      </c>
      <c r="E88" s="1508"/>
      <c r="F88" s="1579"/>
      <c r="G88" s="1541" t="s">
        <v>18</v>
      </c>
      <c r="H88" s="1566">
        <v>3</v>
      </c>
      <c r="I88" s="1501">
        <v>18.38</v>
      </c>
      <c r="J88" s="1542">
        <f t="shared" si="23"/>
        <v>55.14</v>
      </c>
      <c r="K88" s="325"/>
      <c r="L88" s="1501">
        <v>20.420000000000002</v>
      </c>
      <c r="M88" s="1501">
        <f t="shared" si="24"/>
        <v>18.38</v>
      </c>
      <c r="N88" s="1405"/>
      <c r="O88" s="1404"/>
    </row>
    <row r="89" spans="2:15" ht="16.5">
      <c r="B89" s="1616">
        <f t="shared" si="25"/>
        <v>9.0699999999999985</v>
      </c>
      <c r="C89" s="1555"/>
      <c r="D89" s="1508" t="s">
        <v>833</v>
      </c>
      <c r="E89" s="1873"/>
      <c r="F89" s="1874"/>
      <c r="G89" s="1541" t="s">
        <v>272</v>
      </c>
      <c r="H89" s="1566">
        <v>1</v>
      </c>
      <c r="I89" s="1501">
        <v>2262.12</v>
      </c>
      <c r="J89" s="1542">
        <f t="shared" si="23"/>
        <v>2262.12</v>
      </c>
      <c r="K89" s="325"/>
      <c r="L89" s="1501">
        <v>2513.4700000000003</v>
      </c>
      <c r="M89" s="1501">
        <f t="shared" si="24"/>
        <v>2262.12</v>
      </c>
      <c r="N89" s="1405"/>
      <c r="O89" s="1404"/>
    </row>
    <row r="90" spans="2:15" ht="16.5">
      <c r="B90" s="1540"/>
      <c r="C90" s="1555"/>
      <c r="D90" s="1508"/>
      <c r="E90" s="1508"/>
      <c r="F90" s="1605" t="str">
        <f>+"SUB-TOTAL   "&amp;B82&amp;":  "</f>
        <v xml:space="preserve">SUB-TOTAL   9:  </v>
      </c>
      <c r="G90" s="1606"/>
      <c r="H90" s="1607"/>
      <c r="I90" s="1565"/>
      <c r="J90" s="1619">
        <f>SUM(J83:J89)</f>
        <v>4072.34</v>
      </c>
      <c r="K90" s="323"/>
      <c r="L90" s="1565"/>
      <c r="M90" s="1565"/>
      <c r="N90" s="1405"/>
      <c r="O90" s="1404"/>
    </row>
    <row r="91" spans="2:15" ht="16.5">
      <c r="B91" s="1615">
        <f>1+B82</f>
        <v>10</v>
      </c>
      <c r="C91" s="1555"/>
      <c r="D91" s="1575" t="s">
        <v>177</v>
      </c>
      <c r="E91" s="1508"/>
      <c r="F91" s="1579"/>
      <c r="G91" s="1541"/>
      <c r="H91" s="1566"/>
      <c r="I91" s="1501"/>
      <c r="J91" s="1542"/>
      <c r="L91" s="1501"/>
      <c r="M91" s="1501"/>
      <c r="N91" s="1405"/>
      <c r="O91" s="1404"/>
    </row>
    <row r="92" spans="2:15" ht="16.5">
      <c r="B92" s="1616">
        <f t="shared" ref="B92:B93" si="26">+B91+0.01</f>
        <v>10.01</v>
      </c>
      <c r="C92" s="1555"/>
      <c r="D92" s="1508" t="s">
        <v>478</v>
      </c>
      <c r="E92" s="1508"/>
      <c r="F92" s="1579"/>
      <c r="G92" s="1541" t="s">
        <v>148</v>
      </c>
      <c r="H92" s="1566">
        <v>20</v>
      </c>
      <c r="I92" s="1501">
        <v>805.01</v>
      </c>
      <c r="J92" s="1542">
        <f t="shared" ref="J92:J93" si="27">+ROUND(I92*H92,2)</f>
        <v>16100.2</v>
      </c>
      <c r="K92" s="325"/>
      <c r="L92" s="1501">
        <v>894.45</v>
      </c>
      <c r="M92" s="1501">
        <f t="shared" ref="M92:M93" si="28">+ROUND(L92*$M$7,2)</f>
        <v>805.01</v>
      </c>
      <c r="N92" s="1405"/>
      <c r="O92" s="1404"/>
    </row>
    <row r="93" spans="2:15" ht="16.5">
      <c r="B93" s="1616">
        <f t="shared" si="26"/>
        <v>10.02</v>
      </c>
      <c r="C93" s="1555"/>
      <c r="D93" s="1508" t="s">
        <v>479</v>
      </c>
      <c r="E93" s="1886"/>
      <c r="F93" s="1887"/>
      <c r="G93" s="1541" t="s">
        <v>148</v>
      </c>
      <c r="H93" s="1566">
        <v>20</v>
      </c>
      <c r="I93" s="1501">
        <v>294.98</v>
      </c>
      <c r="J93" s="1542">
        <f t="shared" si="27"/>
        <v>5899.6</v>
      </c>
      <c r="K93" s="325"/>
      <c r="L93" s="1501">
        <v>327.76</v>
      </c>
      <c r="M93" s="1501">
        <f t="shared" si="28"/>
        <v>294.98</v>
      </c>
      <c r="N93" s="1405"/>
      <c r="O93" s="1404"/>
    </row>
    <row r="94" spans="2:15" ht="16.5">
      <c r="B94" s="1540"/>
      <c r="C94" s="1555"/>
      <c r="D94" s="1508"/>
      <c r="E94" s="1508"/>
      <c r="F94" s="1605" t="str">
        <f>+"SUB-TOTAL   "&amp;B91&amp;":  "</f>
        <v xml:space="preserve">SUB-TOTAL   10:  </v>
      </c>
      <c r="G94" s="1606"/>
      <c r="H94" s="1618"/>
      <c r="I94" s="1618"/>
      <c r="J94" s="1619">
        <f>SUM(J92:J93)</f>
        <v>21999.800000000003</v>
      </c>
      <c r="K94" s="323"/>
      <c r="L94" s="1618"/>
      <c r="M94" s="1618"/>
      <c r="N94" s="535"/>
    </row>
    <row r="95" spans="2:15" ht="16.5">
      <c r="B95" s="1622"/>
      <c r="C95" s="1630"/>
      <c r="D95" s="1608"/>
      <c r="E95" s="1608"/>
      <c r="F95" s="1609"/>
      <c r="G95" s="1626"/>
      <c r="H95" s="1642"/>
      <c r="I95" s="1642"/>
      <c r="J95" s="1617"/>
      <c r="K95" s="323"/>
      <c r="L95" s="1642"/>
      <c r="M95" s="1642"/>
      <c r="N95" s="535"/>
    </row>
    <row r="96" spans="2:15" ht="26.25" customHeight="1">
      <c r="B96" s="1655"/>
      <c r="C96" s="1559"/>
      <c r="D96" s="1633" t="s">
        <v>384</v>
      </c>
      <c r="E96" s="1634"/>
      <c r="F96" s="1634"/>
      <c r="G96" s="1643"/>
      <c r="H96" s="1644"/>
      <c r="I96" s="1664"/>
      <c r="J96" s="1668">
        <f>+ROUND(SUM(J9:J95)/2,2)</f>
        <v>273560.14</v>
      </c>
      <c r="K96" s="509"/>
      <c r="L96" s="1664"/>
      <c r="M96" s="1664"/>
      <c r="N96" s="535"/>
    </row>
    <row r="97" spans="2:13" ht="16.5">
      <c r="B97" s="1442"/>
      <c r="C97" s="1442"/>
      <c r="D97" s="1508" t="s">
        <v>386</v>
      </c>
      <c r="E97" s="1508"/>
      <c r="F97" s="1508"/>
      <c r="G97" s="1519"/>
      <c r="H97" s="1663"/>
      <c r="I97" s="1663"/>
      <c r="J97" s="1508"/>
      <c r="K97" s="509"/>
      <c r="L97" s="1663"/>
      <c r="M97" s="1663"/>
    </row>
    <row r="98" spans="2:13">
      <c r="G98" s="323"/>
      <c r="H98" s="510"/>
      <c r="I98" s="510"/>
      <c r="K98" s="323"/>
      <c r="L98" s="510"/>
      <c r="M98" s="510"/>
    </row>
    <row r="99" spans="2:13">
      <c r="G99" s="323"/>
      <c r="H99" s="510"/>
      <c r="I99" s="510"/>
      <c r="J99" s="1717">
        <f>+J94+J90+J81+J71+J67+J60+J52+J43+J35+J25</f>
        <v>273560.13999999996</v>
      </c>
      <c r="K99" s="323"/>
      <c r="L99" s="510"/>
      <c r="M99" s="510"/>
    </row>
    <row r="100" spans="2:13">
      <c r="G100" s="323"/>
      <c r="H100" s="569"/>
      <c r="I100" s="569"/>
      <c r="J100" s="1419" t="b">
        <f>J99=J96</f>
        <v>1</v>
      </c>
      <c r="K100" s="323"/>
      <c r="L100" s="569"/>
      <c r="M100" s="569"/>
    </row>
    <row r="101" spans="2:13">
      <c r="G101" s="323"/>
      <c r="H101" s="569"/>
      <c r="I101" s="569"/>
      <c r="J101" s="1420"/>
      <c r="K101" s="323"/>
      <c r="L101" s="569"/>
      <c r="M101" s="569"/>
    </row>
    <row r="102" spans="2:13">
      <c r="G102" s="323"/>
      <c r="H102" s="569"/>
      <c r="I102" s="569"/>
      <c r="J102" s="1418"/>
      <c r="K102" s="323"/>
      <c r="L102" s="569"/>
      <c r="M102" s="569"/>
    </row>
    <row r="103" spans="2:13">
      <c r="G103" s="323"/>
      <c r="H103" s="569"/>
      <c r="I103" s="569"/>
      <c r="K103" s="323"/>
      <c r="L103" s="569"/>
      <c r="M103" s="569"/>
    </row>
    <row r="104" spans="2:13">
      <c r="G104" s="323"/>
      <c r="H104" s="569"/>
      <c r="I104" s="569"/>
      <c r="K104" s="323"/>
      <c r="L104" s="569"/>
      <c r="M104" s="569"/>
    </row>
    <row r="105" spans="2:13">
      <c r="G105" s="323"/>
      <c r="H105" s="569"/>
      <c r="I105" s="569"/>
      <c r="K105" s="323"/>
      <c r="L105" s="569"/>
      <c r="M105" s="569"/>
    </row>
  </sheetData>
  <mergeCells count="1">
    <mergeCell ref="C7:F7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5" orientation="portrait" r:id="rId1"/>
  <rowBreaks count="1" manualBreakCount="1">
    <brk id="52" min="1" max="9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W109"/>
  <sheetViews>
    <sheetView view="pageBreakPreview" zoomScale="90" zoomScaleNormal="100" zoomScaleSheetLayoutView="90" workbookViewId="0">
      <selection activeCell="I4" sqref="I4"/>
    </sheetView>
  </sheetViews>
  <sheetFormatPr baseColWidth="10" defaultColWidth="9.33203125" defaultRowHeight="12.75"/>
  <cols>
    <col min="3" max="3" width="0" hidden="1" customWidth="1"/>
    <col min="6" max="6" width="75.33203125" customWidth="1"/>
    <col min="10" max="10" width="13" customWidth="1"/>
  </cols>
  <sheetData>
    <row r="1" spans="1:22" ht="18">
      <c r="B1" s="1429" t="s">
        <v>127</v>
      </c>
      <c r="C1" s="1430"/>
      <c r="D1" s="1430"/>
      <c r="E1" s="1431"/>
      <c r="F1" s="1431"/>
      <c r="G1" s="1432"/>
      <c r="H1" s="1432"/>
      <c r="I1" s="303"/>
      <c r="J1" s="303"/>
    </row>
    <row r="2" spans="1:22" ht="18">
      <c r="B2" s="1433" t="s">
        <v>967</v>
      </c>
      <c r="C2" s="1430"/>
      <c r="D2" s="1430"/>
      <c r="E2" s="1431"/>
      <c r="F2" s="1431"/>
      <c r="G2" s="1434"/>
      <c r="H2" s="1434"/>
      <c r="I2" s="303"/>
      <c r="J2" s="303"/>
    </row>
    <row r="3" spans="1:22" ht="18">
      <c r="B3" s="1435" t="s">
        <v>9</v>
      </c>
      <c r="C3" s="1430"/>
      <c r="D3" s="1430"/>
      <c r="E3" s="1910" t="s">
        <v>10</v>
      </c>
      <c r="F3" s="1437" t="s">
        <v>544</v>
      </c>
      <c r="G3" s="1434"/>
      <c r="H3" s="1434"/>
      <c r="I3" s="303"/>
      <c r="J3" s="303"/>
    </row>
    <row r="4" spans="1:22" ht="18">
      <c r="B4" s="1433" t="s">
        <v>130</v>
      </c>
      <c r="C4" s="303"/>
      <c r="D4" s="303"/>
      <c r="E4" s="1911" t="s">
        <v>10</v>
      </c>
      <c r="F4" s="1438" t="s">
        <v>141</v>
      </c>
      <c r="G4" s="1434"/>
      <c r="H4" s="1434"/>
      <c r="I4" s="303"/>
      <c r="J4" s="303"/>
    </row>
    <row r="5" spans="1:22" ht="18">
      <c r="B5" s="304" t="s">
        <v>286</v>
      </c>
      <c r="C5" s="303"/>
      <c r="D5" s="303"/>
      <c r="E5" s="304"/>
      <c r="F5" s="303"/>
      <c r="G5" s="1434"/>
      <c r="H5" s="1434"/>
      <c r="I5" s="303"/>
      <c r="J5" s="303"/>
    </row>
    <row r="6" spans="1:22" ht="15" hidden="1">
      <c r="B6" s="515"/>
      <c r="C6" s="516"/>
      <c r="D6" s="516"/>
      <c r="E6" s="516"/>
      <c r="F6" s="515"/>
      <c r="G6" s="517"/>
      <c r="H6" s="306"/>
      <c r="I6" s="306"/>
      <c r="J6" s="306"/>
    </row>
    <row r="7" spans="1:22" ht="49.5">
      <c r="A7" s="508"/>
      <c r="B7" s="1453" t="s">
        <v>959</v>
      </c>
      <c r="C7" s="2056" t="s">
        <v>958</v>
      </c>
      <c r="D7" s="2057"/>
      <c r="E7" s="2057"/>
      <c r="F7" s="2058"/>
      <c r="G7" s="1454" t="s">
        <v>376</v>
      </c>
      <c r="H7" s="1455" t="s">
        <v>960</v>
      </c>
      <c r="I7" s="1455" t="s">
        <v>961</v>
      </c>
      <c r="J7" s="1455" t="s">
        <v>1004</v>
      </c>
      <c r="K7" s="327"/>
      <c r="N7" s="322"/>
    </row>
    <row r="8" spans="1:22">
      <c r="B8" s="1531"/>
      <c r="C8" s="1550"/>
      <c r="D8" s="1551"/>
      <c r="E8" s="1551"/>
      <c r="F8" s="1552"/>
      <c r="G8" s="1532"/>
      <c r="H8" s="1665"/>
      <c r="I8" s="1665"/>
      <c r="J8" s="1666"/>
      <c r="K8" s="509"/>
      <c r="L8" s="509"/>
      <c r="M8" s="509"/>
      <c r="N8" s="509"/>
    </row>
    <row r="9" spans="1:22" ht="16.5">
      <c r="B9" s="1615">
        <v>1</v>
      </c>
      <c r="C9" s="1555"/>
      <c r="D9" s="1575" t="s">
        <v>568</v>
      </c>
      <c r="E9" s="1508"/>
      <c r="F9" s="1579"/>
      <c r="G9" s="1541"/>
      <c r="H9" s="1566"/>
      <c r="I9" s="1566"/>
      <c r="J9" s="1616"/>
      <c r="K9" s="578"/>
      <c r="L9" s="578"/>
      <c r="M9" s="1166"/>
      <c r="N9" s="1723" t="s">
        <v>979</v>
      </c>
      <c r="O9" s="1723"/>
      <c r="S9" s="1726"/>
      <c r="T9" s="1726"/>
      <c r="U9" s="1726"/>
      <c r="V9" s="1093"/>
    </row>
    <row r="10" spans="1:22" ht="16.5">
      <c r="B10" s="1616">
        <f>+B9+0.01</f>
        <v>1.01</v>
      </c>
      <c r="C10" s="1555"/>
      <c r="D10" s="1508" t="str">
        <f>+'SUMINISTRO RS'!D10</f>
        <v>Poste de C.A.C. de 8 m/200 daN (Incluye perilla)</v>
      </c>
      <c r="E10" s="1508"/>
      <c r="F10" s="1579"/>
      <c r="G10" s="1541" t="str">
        <f>+'SUMINISTRO RS'!G10</f>
        <v>u</v>
      </c>
      <c r="H10" s="1566">
        <f>+'SUMINISTRO RS'!H10</f>
        <v>153</v>
      </c>
      <c r="I10" s="1502">
        <v>132.13</v>
      </c>
      <c r="J10" s="1542">
        <f t="shared" ref="J10:J11" si="0">+ROUND(I10*H10,2)</f>
        <v>20215.89</v>
      </c>
      <c r="K10" s="1424"/>
      <c r="L10" s="1728"/>
      <c r="M10" s="1723" t="s">
        <v>872</v>
      </c>
      <c r="N10" s="1723">
        <v>44440</v>
      </c>
      <c r="O10" s="1723">
        <v>44682</v>
      </c>
      <c r="P10" s="1723" t="s">
        <v>980</v>
      </c>
      <c r="Q10" s="616"/>
      <c r="R10" s="616"/>
      <c r="S10" s="1410"/>
      <c r="U10" s="1411"/>
      <c r="V10" s="1362"/>
    </row>
    <row r="11" spans="1:22" ht="16.5">
      <c r="B11" s="1616">
        <f t="shared" ref="B11" si="1">+B10+0.01</f>
        <v>1.02</v>
      </c>
      <c r="C11" s="1555"/>
      <c r="D11" s="1508" t="str">
        <f>+'SUMINISTRO RS'!D11</f>
        <v>Poste de C.A.C. de 8 m/300 daN (Incluye perilla)</v>
      </c>
      <c r="E11" s="1508"/>
      <c r="F11" s="1579"/>
      <c r="G11" s="1541" t="str">
        <f>+'SUMINISTRO RS'!G11</f>
        <v>u</v>
      </c>
      <c r="H11" s="1566">
        <f>+'SUMINISTRO RS'!H11</f>
        <v>79</v>
      </c>
      <c r="I11" s="1502">
        <v>136.68</v>
      </c>
      <c r="J11" s="1542">
        <f t="shared" si="0"/>
        <v>10797.72</v>
      </c>
      <c r="K11" s="1727"/>
      <c r="L11" s="1728"/>
      <c r="M11" s="1176">
        <v>32</v>
      </c>
      <c r="N11" s="1176">
        <v>507.42</v>
      </c>
      <c r="O11" s="1176">
        <v>513.36</v>
      </c>
      <c r="P11" s="1724">
        <f>+O11/N11</f>
        <v>1.0117062788222775</v>
      </c>
      <c r="Q11" s="616"/>
      <c r="R11" s="1386"/>
      <c r="S11" s="1410"/>
      <c r="T11" s="661"/>
      <c r="U11" s="1411"/>
      <c r="V11" s="1362"/>
    </row>
    <row r="12" spans="1:22" ht="16.5">
      <c r="B12" s="1540"/>
      <c r="C12" s="1555"/>
      <c r="D12" s="1508"/>
      <c r="E12" s="1508"/>
      <c r="F12" s="1605" t="str">
        <f>+"SUB-TOTAL   "&amp;B9&amp;":  "</f>
        <v xml:space="preserve">SUB-TOTAL   1:  </v>
      </c>
      <c r="G12" s="1606"/>
      <c r="H12" s="1607"/>
      <c r="I12" s="1607"/>
      <c r="J12" s="1619">
        <f>SUM(J10:J11)</f>
        <v>31013.61</v>
      </c>
      <c r="K12" s="1729"/>
      <c r="L12" s="1728"/>
      <c r="M12" s="518"/>
      <c r="N12" s="326"/>
      <c r="O12" s="616"/>
      <c r="P12" s="616"/>
      <c r="Q12" s="616"/>
      <c r="R12" s="326"/>
      <c r="S12" s="1361"/>
      <c r="V12" s="1362"/>
    </row>
    <row r="13" spans="1:22" ht="16.5">
      <c r="B13" s="1615">
        <f>1+B9</f>
        <v>2</v>
      </c>
      <c r="C13" s="1555"/>
      <c r="D13" s="1575" t="s">
        <v>327</v>
      </c>
      <c r="E13" s="1508"/>
      <c r="F13" s="1579"/>
      <c r="G13" s="1541"/>
      <c r="H13" s="1566"/>
      <c r="I13" s="1566"/>
      <c r="J13" s="1542"/>
      <c r="K13" s="1727"/>
      <c r="L13" s="1728"/>
      <c r="M13" s="518"/>
      <c r="N13" s="326"/>
      <c r="O13" s="616"/>
      <c r="P13" s="616"/>
      <c r="Q13" s="616"/>
      <c r="R13" s="326"/>
      <c r="S13" s="1361"/>
      <c r="V13" s="1362"/>
    </row>
    <row r="14" spans="1:22" ht="16.5">
      <c r="B14" s="1616">
        <f>+B13+0.01</f>
        <v>2.0099999999999998</v>
      </c>
      <c r="C14" s="1555"/>
      <c r="D14" s="1508" t="str">
        <f>+'SUMINISTRO RS'!D14</f>
        <v>Poste de madera importada (Pino Amarillo del Sur) de 8 m, Clase 7</v>
      </c>
      <c r="E14" s="1508"/>
      <c r="F14" s="1579"/>
      <c r="G14" s="1626" t="str">
        <f>+'SUMINISTRO RS'!G14</f>
        <v>u</v>
      </c>
      <c r="H14" s="1646">
        <f>+'SUMINISTRO RS'!H14</f>
        <v>9</v>
      </c>
      <c r="I14" s="1601">
        <v>93.17</v>
      </c>
      <c r="J14" s="1542">
        <f>+ROUND(I14*H14,2)</f>
        <v>838.53</v>
      </c>
      <c r="K14" s="1727"/>
      <c r="L14" s="1728"/>
      <c r="M14" s="518"/>
      <c r="N14" s="326"/>
      <c r="O14" s="616"/>
      <c r="P14" s="616"/>
      <c r="Q14" s="616"/>
      <c r="R14" s="1386"/>
      <c r="S14" s="1410"/>
      <c r="T14" s="661"/>
      <c r="U14" s="1411"/>
      <c r="V14" s="1362"/>
    </row>
    <row r="15" spans="1:22" ht="16.5">
      <c r="B15" s="1540"/>
      <c r="C15" s="1555"/>
      <c r="D15" s="1508"/>
      <c r="E15" s="1508"/>
      <c r="F15" s="1605" t="str">
        <f>+"SUB-TOTAL   "&amp;B13&amp;":  "</f>
        <v xml:space="preserve">SUB-TOTAL   2:  </v>
      </c>
      <c r="G15" s="1541"/>
      <c r="H15" s="1566"/>
      <c r="I15" s="1607"/>
      <c r="J15" s="1619">
        <f>SUM(J14)</f>
        <v>838.53</v>
      </c>
      <c r="K15" s="1729"/>
      <c r="L15" s="1728"/>
      <c r="M15" s="518"/>
      <c r="N15" s="326"/>
      <c r="O15" s="616"/>
      <c r="P15" s="616"/>
      <c r="Q15" s="616"/>
      <c r="R15" s="1386"/>
      <c r="S15" s="307"/>
      <c r="T15" s="661"/>
      <c r="V15" s="1362"/>
    </row>
    <row r="16" spans="1:22" ht="16.5">
      <c r="B16" s="1615">
        <f>+B13+1</f>
        <v>3</v>
      </c>
      <c r="C16" s="1555"/>
      <c r="D16" s="1575" t="s">
        <v>142</v>
      </c>
      <c r="E16" s="1508"/>
      <c r="F16" s="1579"/>
      <c r="G16" s="1541"/>
      <c r="H16" s="1566"/>
      <c r="I16" s="1501"/>
      <c r="J16" s="1542"/>
      <c r="K16" s="1727"/>
      <c r="L16" s="1728"/>
      <c r="M16" s="518"/>
      <c r="N16" s="326"/>
      <c r="O16" s="616"/>
      <c r="P16" s="616"/>
      <c r="Q16" s="616"/>
      <c r="R16" s="1386"/>
      <c r="S16" s="307"/>
      <c r="T16" s="661"/>
      <c r="V16" s="1362"/>
    </row>
    <row r="17" spans="2:22" ht="16.5">
      <c r="B17" s="1616">
        <f>+B16+0.01</f>
        <v>3.01</v>
      </c>
      <c r="C17" s="1555"/>
      <c r="D17" s="1508" t="str">
        <f>+'SUMINISTRO RS'!D17</f>
        <v>Conductor Autoportante de Aluminio 2X25+16/25 mm²</v>
      </c>
      <c r="E17" s="1508"/>
      <c r="F17" s="1579"/>
      <c r="G17" s="1541" t="str">
        <f>+'SUMINISTRO RS'!G17</f>
        <v>km</v>
      </c>
      <c r="H17" s="1566">
        <f>+'SUMINISTRO RS'!H17</f>
        <v>1.46</v>
      </c>
      <c r="I17" s="1502">
        <v>86.41</v>
      </c>
      <c r="J17" s="1542">
        <f t="shared" ref="J17:J21" si="2">+ROUND(I17*H17,2)</f>
        <v>126.16</v>
      </c>
      <c r="K17" s="1727"/>
      <c r="L17" s="1728"/>
      <c r="M17" s="518"/>
      <c r="N17" s="326"/>
      <c r="O17" s="616"/>
      <c r="P17" s="616"/>
      <c r="Q17" s="616"/>
      <c r="R17" s="1388"/>
      <c r="S17" s="1410"/>
      <c r="T17" s="661"/>
      <c r="U17" s="1411"/>
      <c r="V17" s="1362"/>
    </row>
    <row r="18" spans="2:22" ht="16.5">
      <c r="B18" s="1616">
        <f t="shared" ref="B18:B21" si="3">+B17+0.01</f>
        <v>3.0199999999999996</v>
      </c>
      <c r="C18" s="1555"/>
      <c r="D18" s="1508" t="str">
        <f>+'SUMINISTRO RS'!D18</f>
        <v>Conductor Autoportante de Aluminio 2X16+16/25 mm²</v>
      </c>
      <c r="E18" s="1508"/>
      <c r="F18" s="1579"/>
      <c r="G18" s="1541" t="str">
        <f>+'SUMINISTRO RS'!G18</f>
        <v>km</v>
      </c>
      <c r="H18" s="1566">
        <f>+'SUMINISTRO RS'!H18</f>
        <v>0.05</v>
      </c>
      <c r="I18" s="1502">
        <v>79.37</v>
      </c>
      <c r="J18" s="1542">
        <f t="shared" si="2"/>
        <v>3.97</v>
      </c>
      <c r="K18" s="1727"/>
      <c r="L18" s="1728"/>
      <c r="M18" s="518"/>
      <c r="N18" s="326"/>
      <c r="O18" s="616"/>
      <c r="P18" s="616"/>
      <c r="Q18" s="616"/>
      <c r="R18" s="1386"/>
      <c r="S18" s="1410"/>
      <c r="T18" s="661"/>
      <c r="U18" s="1411"/>
      <c r="V18" s="1362"/>
    </row>
    <row r="19" spans="2:22" ht="16.5">
      <c r="B19" s="1616">
        <f t="shared" si="3"/>
        <v>3.0299999999999994</v>
      </c>
      <c r="C19" s="1555"/>
      <c r="D19" s="1508" t="str">
        <f>+'SUMINISTRO RS'!D19</f>
        <v>Conductor Autoportante de Aluminio 2X25/25 mm²</v>
      </c>
      <c r="E19" s="1508"/>
      <c r="F19" s="1579"/>
      <c r="G19" s="1541" t="str">
        <f>+'SUMINISTRO RS'!G19</f>
        <v>km</v>
      </c>
      <c r="H19" s="1566">
        <f>+'SUMINISTRO RS'!H19</f>
        <v>7.08</v>
      </c>
      <c r="I19" s="1502">
        <v>104.03</v>
      </c>
      <c r="J19" s="1542">
        <f t="shared" si="2"/>
        <v>736.53</v>
      </c>
      <c r="K19" s="1727"/>
      <c r="L19" s="1728"/>
      <c r="M19" s="518"/>
      <c r="N19" s="326"/>
      <c r="O19" s="616"/>
      <c r="P19" s="616"/>
      <c r="Q19" s="616"/>
      <c r="R19" s="1386"/>
      <c r="S19" s="1410"/>
      <c r="T19" s="661"/>
      <c r="U19" s="1411"/>
      <c r="V19" s="1362"/>
    </row>
    <row r="20" spans="2:22" ht="16.5">
      <c r="B20" s="1616">
        <f t="shared" si="3"/>
        <v>3.0399999999999991</v>
      </c>
      <c r="C20" s="1555"/>
      <c r="D20" s="1508" t="str">
        <f>+'SUMINISTRO RS'!D20</f>
        <v>Conductor Autoportante de Aluminio 1X16+16/25 mm²</v>
      </c>
      <c r="E20" s="1508"/>
      <c r="F20" s="1579"/>
      <c r="G20" s="1541" t="str">
        <f>+'SUMINISTRO RS'!G20</f>
        <v>km</v>
      </c>
      <c r="H20" s="1566">
        <f>+'SUMINISTRO RS'!H20</f>
        <v>0.18</v>
      </c>
      <c r="I20" s="1660">
        <v>68.78</v>
      </c>
      <c r="J20" s="1542">
        <f t="shared" si="2"/>
        <v>12.38</v>
      </c>
      <c r="K20" s="1727"/>
      <c r="L20" s="1728"/>
      <c r="M20" s="518"/>
      <c r="N20" s="326"/>
      <c r="O20" s="616"/>
      <c r="P20" s="616"/>
      <c r="Q20" s="616"/>
      <c r="R20" s="1386"/>
      <c r="S20" s="1410"/>
      <c r="T20" s="661"/>
      <c r="U20" s="1411"/>
      <c r="V20" s="1362"/>
    </row>
    <row r="21" spans="2:22" ht="16.5">
      <c r="B21" s="1616">
        <f t="shared" si="3"/>
        <v>3.0499999999999989</v>
      </c>
      <c r="C21" s="1555"/>
      <c r="D21" s="1508" t="str">
        <f>+'SUMINISTRO RS'!D21</f>
        <v>Conductor Autoportante de Aluminio 1X16/25 mm²</v>
      </c>
      <c r="E21" s="1508"/>
      <c r="F21" s="1579"/>
      <c r="G21" s="1626" t="str">
        <f>+'SUMINISTRO RS'!G21</f>
        <v>km</v>
      </c>
      <c r="H21" s="1646">
        <f>+'SUMINISTRO RS'!H21</f>
        <v>4.0600000000000005</v>
      </c>
      <c r="I21" s="1502">
        <v>38.799999999999997</v>
      </c>
      <c r="J21" s="1542">
        <f t="shared" si="2"/>
        <v>157.53</v>
      </c>
      <c r="K21" s="1727"/>
      <c r="L21" s="1728"/>
      <c r="M21" s="518"/>
      <c r="N21" s="326"/>
      <c r="O21" s="616"/>
      <c r="P21" s="616"/>
      <c r="Q21" s="616"/>
      <c r="R21" s="1386"/>
      <c r="S21" s="1410"/>
      <c r="T21" s="661"/>
      <c r="U21" s="1411"/>
      <c r="V21" s="1362"/>
    </row>
    <row r="22" spans="2:22" ht="16.5">
      <c r="B22" s="1540"/>
      <c r="C22" s="1555"/>
      <c r="D22" s="1508"/>
      <c r="E22" s="1508"/>
      <c r="F22" s="1605" t="str">
        <f>+"SUB-TOTAL   "&amp;B16&amp;":  "</f>
        <v xml:space="preserve">SUB-TOTAL   3:  </v>
      </c>
      <c r="G22" s="1541"/>
      <c r="H22" s="1566"/>
      <c r="I22" s="1607"/>
      <c r="J22" s="1619">
        <f>+SUM(J17:J21)</f>
        <v>1036.57</v>
      </c>
      <c r="K22" s="1729"/>
      <c r="L22" s="1728"/>
      <c r="M22" s="518"/>
      <c r="N22" s="326"/>
      <c r="O22" s="616"/>
      <c r="P22" s="616"/>
      <c r="Q22" s="616"/>
      <c r="R22" s="1386"/>
      <c r="S22" s="307"/>
      <c r="T22" s="661"/>
      <c r="U22" s="324"/>
      <c r="V22" s="1362"/>
    </row>
    <row r="23" spans="2:22" ht="16.5">
      <c r="B23" s="1615">
        <f>+B16+1</f>
        <v>4</v>
      </c>
      <c r="C23" s="1555"/>
      <c r="D23" s="1575" t="s">
        <v>143</v>
      </c>
      <c r="E23" s="1508"/>
      <c r="F23" s="1579"/>
      <c r="G23" s="1541"/>
      <c r="H23" s="1566"/>
      <c r="I23" s="1566"/>
      <c r="J23" s="1542"/>
      <c r="K23" s="1727"/>
      <c r="L23" s="1728"/>
      <c r="M23" s="518"/>
      <c r="N23" s="326"/>
      <c r="O23" s="616"/>
      <c r="P23" s="616"/>
      <c r="Q23" s="616"/>
      <c r="R23" s="1386"/>
      <c r="S23" s="307"/>
      <c r="T23" s="661"/>
      <c r="U23" s="324"/>
      <c r="V23" s="1362"/>
    </row>
    <row r="24" spans="2:22" ht="16.5">
      <c r="B24" s="1616">
        <f t="shared" ref="B24:B32" si="4">+B23+0.01</f>
        <v>4.01</v>
      </c>
      <c r="C24" s="1555"/>
      <c r="D24" s="1508" t="str">
        <f>+'SUMINISTRO RS'!D24</f>
        <v>Grapa de Suspensión Angular para Conductor de Aleacion de Aluminio de 25 mm2</v>
      </c>
      <c r="E24" s="1508"/>
      <c r="F24" s="1579"/>
      <c r="G24" s="1541" t="str">
        <f>+'SUMINISTRO RS'!G24</f>
        <v>u</v>
      </c>
      <c r="H24" s="1566">
        <f>+'SUMINISTRO RS'!H24</f>
        <v>163</v>
      </c>
      <c r="I24" s="1502">
        <v>0.12</v>
      </c>
      <c r="J24" s="1542">
        <f t="shared" ref="J24:J32" si="5">+ROUND(I24*H24,2)</f>
        <v>19.559999999999999</v>
      </c>
      <c r="K24" s="1727"/>
      <c r="L24" s="1728"/>
      <c r="M24" s="518"/>
      <c r="N24" s="326"/>
      <c r="O24" s="616"/>
      <c r="P24" s="616"/>
      <c r="Q24" s="616"/>
      <c r="R24" s="1386"/>
      <c r="S24" s="1410"/>
      <c r="T24" s="661"/>
      <c r="U24" s="1411"/>
      <c r="V24" s="1362"/>
    </row>
    <row r="25" spans="2:22" ht="16.5">
      <c r="B25" s="1616">
        <f t="shared" si="4"/>
        <v>4.0199999999999996</v>
      </c>
      <c r="C25" s="1555"/>
      <c r="D25" s="1508" t="str">
        <f>+'SUMINISTRO RS'!D25</f>
        <v>Grapa de Anclaje Cónica para Conductor de Aleación de Aluminio de 25 mm2</v>
      </c>
      <c r="E25" s="1508"/>
      <c r="F25" s="1579"/>
      <c r="G25" s="1541" t="str">
        <f>+'SUMINISTRO RS'!G25</f>
        <v>u</v>
      </c>
      <c r="H25" s="1566">
        <f>+'SUMINISTRO RS'!H25</f>
        <v>218</v>
      </c>
      <c r="I25" s="1502">
        <v>0.06</v>
      </c>
      <c r="J25" s="1542">
        <f t="shared" si="5"/>
        <v>13.08</v>
      </c>
      <c r="K25" s="1727"/>
      <c r="L25" s="1728"/>
      <c r="M25" s="518"/>
      <c r="N25" s="326"/>
      <c r="O25" s="616"/>
      <c r="P25" s="616"/>
      <c r="Q25" s="616"/>
      <c r="R25" s="1386"/>
      <c r="S25" s="1410"/>
      <c r="T25" s="661"/>
      <c r="U25" s="1411"/>
      <c r="V25" s="1362"/>
    </row>
    <row r="26" spans="2:22" ht="16.5">
      <c r="B26" s="1616">
        <f t="shared" si="4"/>
        <v>4.0299999999999994</v>
      </c>
      <c r="C26" s="1555"/>
      <c r="D26" s="1508" t="str">
        <f>+'SUMINISTRO RS'!D26</f>
        <v>Conector Bimetálico para Al 25 mm2 / Cu 4-10 mm2, para Neutro Desnudo, tipo Cuña</v>
      </c>
      <c r="E26" s="1508"/>
      <c r="F26" s="1579"/>
      <c r="G26" s="1541" t="str">
        <f>+'SUMINISTRO RS'!G26</f>
        <v>u</v>
      </c>
      <c r="H26" s="1566">
        <f>+'SUMINISTRO RS'!H26</f>
        <v>2</v>
      </c>
      <c r="I26" s="1502">
        <v>0.02</v>
      </c>
      <c r="J26" s="1542">
        <f t="shared" si="5"/>
        <v>0.04</v>
      </c>
      <c r="K26" s="1727"/>
      <c r="L26" s="1728"/>
      <c r="M26" s="518"/>
      <c r="N26" s="326"/>
      <c r="O26" s="616"/>
      <c r="P26" s="616"/>
      <c r="Q26" s="616"/>
      <c r="R26" s="1386"/>
      <c r="S26" s="1410"/>
      <c r="T26" s="661"/>
      <c r="U26" s="1411"/>
      <c r="V26" s="1362"/>
    </row>
    <row r="27" spans="2:22" ht="16.5">
      <c r="B27" s="1616">
        <f t="shared" si="4"/>
        <v>4.0399999999999991</v>
      </c>
      <c r="C27" s="1555"/>
      <c r="D27" s="1508" t="str">
        <f>+'SUMINISTRO RS'!D27</f>
        <v>Conector Bimetalico Aislado, para Al 16-35 mm2 / Cu 4-10 mm2, para Fase Aislada, tipo Perforación</v>
      </c>
      <c r="E27" s="1508"/>
      <c r="F27" s="1579"/>
      <c r="G27" s="1541" t="str">
        <f>+'SUMINISTRO RS'!G27</f>
        <v>u</v>
      </c>
      <c r="H27" s="1566">
        <f>+'SUMINISTRO RS'!H27</f>
        <v>4</v>
      </c>
      <c r="I27" s="1502">
        <v>0.03</v>
      </c>
      <c r="J27" s="1542">
        <f t="shared" si="5"/>
        <v>0.12</v>
      </c>
      <c r="K27" s="1727"/>
      <c r="L27" s="1728"/>
      <c r="M27" s="518"/>
      <c r="N27" s="326"/>
      <c r="O27" s="616"/>
      <c r="P27" s="616"/>
      <c r="Q27" s="616"/>
      <c r="R27" s="1386"/>
      <c r="S27" s="1410"/>
      <c r="T27" s="661"/>
      <c r="U27" s="1411"/>
      <c r="V27" s="1362"/>
    </row>
    <row r="28" spans="2:22" ht="16.5">
      <c r="B28" s="1616">
        <f t="shared" si="4"/>
        <v>4.0499999999999989</v>
      </c>
      <c r="C28" s="1555"/>
      <c r="D28" s="1508" t="str">
        <f>+'SUMINISTRO RS'!D28</f>
        <v>Conector para Al 25 mm², para Neutro Desnudo, tipo Cuña</v>
      </c>
      <c r="E28" s="1508"/>
      <c r="F28" s="1579"/>
      <c r="G28" s="1541" t="str">
        <f>+'SUMINISTRO RS'!G28</f>
        <v>u</v>
      </c>
      <c r="H28" s="1566">
        <f>+'SUMINISTRO RS'!H28</f>
        <v>26</v>
      </c>
      <c r="I28" s="1502">
        <v>0.02</v>
      </c>
      <c r="J28" s="1542">
        <f t="shared" si="5"/>
        <v>0.52</v>
      </c>
      <c r="K28" s="1727"/>
      <c r="L28" s="1728"/>
      <c r="M28" s="518"/>
      <c r="N28" s="326"/>
      <c r="O28" s="616"/>
      <c r="P28" s="616"/>
      <c r="Q28" s="616"/>
      <c r="R28" s="1386"/>
      <c r="S28" s="1410"/>
      <c r="T28" s="661"/>
      <c r="U28" s="1411"/>
      <c r="V28" s="1362"/>
    </row>
    <row r="29" spans="2:22" ht="16.5">
      <c r="B29" s="1616">
        <f t="shared" si="4"/>
        <v>4.0599999999999987</v>
      </c>
      <c r="C29" s="1555"/>
      <c r="D29" s="1508" t="str">
        <f>+'SUMINISTRO RS'!D29</f>
        <v>Conector Aislado para Al 16-35 mm2, para Fase Aislada, tipo Perforación</v>
      </c>
      <c r="E29" s="1508"/>
      <c r="F29" s="1579"/>
      <c r="G29" s="1541" t="str">
        <f>+'SUMINISTRO RS'!G29</f>
        <v>u</v>
      </c>
      <c r="H29" s="1566">
        <f>+'SUMINISTRO RS'!H29</f>
        <v>52</v>
      </c>
      <c r="I29" s="1502">
        <v>0.02</v>
      </c>
      <c r="J29" s="1542">
        <f t="shared" si="5"/>
        <v>1.04</v>
      </c>
      <c r="K29" s="1727"/>
      <c r="L29" s="1728"/>
      <c r="M29" s="518"/>
      <c r="N29" s="326"/>
      <c r="O29" s="616"/>
      <c r="P29" s="616"/>
      <c r="Q29" s="616"/>
      <c r="R29" s="1386"/>
      <c r="S29" s="1410"/>
      <c r="T29" s="661"/>
      <c r="U29" s="1411"/>
      <c r="V29" s="1362"/>
    </row>
    <row r="30" spans="2:22" ht="16.5">
      <c r="B30" s="1616">
        <f t="shared" si="4"/>
        <v>4.0699999999999985</v>
      </c>
      <c r="C30" s="1555"/>
      <c r="D30" s="1508" t="str">
        <f>+'SUMINISTRO RS'!D30</f>
        <v>Correa Plástica de Amarre, color negro</v>
      </c>
      <c r="E30" s="1508"/>
      <c r="F30" s="1579"/>
      <c r="G30" s="1541" t="str">
        <f>+'SUMINISTRO RS'!G30</f>
        <v>u</v>
      </c>
      <c r="H30" s="1566">
        <f>+'SUMINISTRO RS'!H30</f>
        <v>1838</v>
      </c>
      <c r="I30" s="1502">
        <v>0.01</v>
      </c>
      <c r="J30" s="1542">
        <f>+ROUND(I30*H30,2)</f>
        <v>18.38</v>
      </c>
      <c r="K30" s="1727"/>
      <c r="L30" s="1728"/>
      <c r="M30" s="518"/>
      <c r="N30" s="326"/>
      <c r="O30" s="616"/>
      <c r="P30" s="616"/>
      <c r="Q30" s="616"/>
      <c r="R30" s="1386"/>
      <c r="S30" s="1410"/>
      <c r="T30" s="661"/>
      <c r="U30" s="1411"/>
      <c r="V30" s="1362"/>
    </row>
    <row r="31" spans="2:22" ht="16.5">
      <c r="B31" s="1616">
        <f t="shared" si="4"/>
        <v>4.0799999999999983</v>
      </c>
      <c r="C31" s="1555"/>
      <c r="D31" s="1508" t="str">
        <f>+'SUMINISTRO RS'!D31</f>
        <v>Cinta Autofundente para extremo de cable</v>
      </c>
      <c r="E31" s="1508"/>
      <c r="F31" s="1579"/>
      <c r="G31" s="1541" t="str">
        <f>+'SUMINISTRO RS'!G31</f>
        <v>m</v>
      </c>
      <c r="H31" s="1566">
        <f>+'SUMINISTRO RS'!H31</f>
        <v>51.3</v>
      </c>
      <c r="I31" s="1502">
        <v>0.01</v>
      </c>
      <c r="J31" s="1542">
        <f t="shared" si="5"/>
        <v>0.51</v>
      </c>
      <c r="K31" s="1727"/>
      <c r="L31" s="1728"/>
      <c r="M31" s="518"/>
      <c r="N31" s="326"/>
      <c r="O31" s="616"/>
      <c r="P31" s="616"/>
      <c r="Q31" s="616"/>
      <c r="R31" s="1386"/>
      <c r="S31" s="1410"/>
      <c r="T31" s="661"/>
      <c r="U31" s="1411"/>
      <c r="V31" s="1362"/>
    </row>
    <row r="32" spans="2:22" ht="16.5">
      <c r="B32" s="1616">
        <f t="shared" si="4"/>
        <v>4.0899999999999981</v>
      </c>
      <c r="C32" s="1555"/>
      <c r="D32" s="1508" t="str">
        <f>+'SUMINISTRO RS'!D32</f>
        <v>Cinta aislante</v>
      </c>
      <c r="E32" s="1508"/>
      <c r="F32" s="1579"/>
      <c r="G32" s="1626" t="str">
        <f>+'SUMINISTRO RS'!G32</f>
        <v>m</v>
      </c>
      <c r="H32" s="1646">
        <f>+'SUMINISTRO RS'!H32</f>
        <v>19</v>
      </c>
      <c r="I32" s="1658">
        <v>0.01</v>
      </c>
      <c r="J32" s="1542">
        <f t="shared" si="5"/>
        <v>0.19</v>
      </c>
      <c r="K32" s="1727"/>
      <c r="L32" s="1728"/>
      <c r="M32" s="518"/>
      <c r="N32" s="326"/>
      <c r="O32" s="616"/>
      <c r="P32" s="616"/>
      <c r="Q32" s="616"/>
      <c r="R32" s="1386"/>
      <c r="S32" s="1410"/>
      <c r="T32" s="661"/>
      <c r="U32" s="1411"/>
      <c r="V32" s="1362"/>
    </row>
    <row r="33" spans="2:22" ht="16.5">
      <c r="B33" s="1540"/>
      <c r="C33" s="1555"/>
      <c r="D33" s="1508"/>
      <c r="E33" s="1508"/>
      <c r="F33" s="1605" t="str">
        <f>+"SUB-TOTAL   "&amp;B23&amp;":  "</f>
        <v xml:space="preserve">SUB-TOTAL   4:  </v>
      </c>
      <c r="G33" s="1541"/>
      <c r="H33" s="1566"/>
      <c r="I33" s="1607"/>
      <c r="J33" s="1619">
        <f>+SUM(J23:J32)</f>
        <v>53.439999999999991</v>
      </c>
      <c r="K33" s="1729"/>
      <c r="L33" s="1728"/>
      <c r="M33" s="518"/>
      <c r="N33" s="326"/>
      <c r="O33" s="616"/>
      <c r="P33" s="616"/>
      <c r="Q33" s="616"/>
      <c r="R33" s="1386"/>
      <c r="S33" s="307"/>
      <c r="T33" s="661"/>
      <c r="U33" s="324"/>
      <c r="V33" s="1362"/>
    </row>
    <row r="34" spans="2:22" ht="16.5">
      <c r="B34" s="1615">
        <f>+B23+1</f>
        <v>5</v>
      </c>
      <c r="C34" s="1555"/>
      <c r="D34" s="1575" t="s">
        <v>144</v>
      </c>
      <c r="E34" s="1508"/>
      <c r="F34" s="1579"/>
      <c r="G34" s="1541"/>
      <c r="H34" s="1566"/>
      <c r="I34" s="1566"/>
      <c r="J34" s="1542"/>
      <c r="K34" s="1727"/>
      <c r="L34" s="1728"/>
      <c r="M34" s="518"/>
      <c r="N34" s="326"/>
      <c r="O34" s="616"/>
      <c r="P34" s="616"/>
      <c r="Q34" s="616"/>
      <c r="R34" s="1386"/>
      <c r="S34" s="307"/>
      <c r="T34" s="661"/>
      <c r="U34" s="324"/>
      <c r="V34" s="1362"/>
    </row>
    <row r="35" spans="2:22" ht="16.5">
      <c r="B35" s="1616">
        <f t="shared" ref="B35:B38" si="6">+B34+0.01</f>
        <v>5.01</v>
      </c>
      <c r="C35" s="1555"/>
      <c r="D35" s="1508" t="str">
        <f>+'SUMINISTRO RS'!D35</f>
        <v>Conductor de Cobre Recocido, tipo N2XY, Tripolar, 3 x 10 mm2, cubierta negra</v>
      </c>
      <c r="E35" s="1508"/>
      <c r="F35" s="1579"/>
      <c r="G35" s="1541" t="str">
        <f>+'SUMINISTRO RS'!G35</f>
        <v>m</v>
      </c>
      <c r="H35" s="1566">
        <f>+'SUMINISTRO RS'!H35</f>
        <v>1.2</v>
      </c>
      <c r="I35" s="1502">
        <v>0.12</v>
      </c>
      <c r="J35" s="1542">
        <f>+ROUND(I35*H35,2)</f>
        <v>0.14000000000000001</v>
      </c>
      <c r="K35" s="1727"/>
      <c r="L35" s="1728"/>
      <c r="M35" s="518"/>
      <c r="N35" s="326"/>
      <c r="O35" s="616"/>
      <c r="P35" s="616"/>
      <c r="Q35" s="616"/>
      <c r="R35" s="1386"/>
      <c r="S35" s="1410"/>
      <c r="T35" s="661"/>
      <c r="U35" s="1411"/>
      <c r="V35" s="1362"/>
    </row>
    <row r="36" spans="2:22" ht="16.5">
      <c r="B36" s="1616">
        <f t="shared" si="6"/>
        <v>5.0199999999999996</v>
      </c>
      <c r="C36" s="1555"/>
      <c r="D36" s="1508" t="str">
        <f>+'SUMINISTRO RS'!D36</f>
        <v>Conductor de Cobre Recocido, tipo N2XY, Bipolar, 2 x 2,5 mm2</v>
      </c>
      <c r="E36" s="1508"/>
      <c r="F36" s="1579"/>
      <c r="G36" s="1541" t="str">
        <f>+'SUMINISTRO RS'!G36</f>
        <v>m</v>
      </c>
      <c r="H36" s="1566">
        <f>+'SUMINISTRO RS'!H36</f>
        <v>111.5</v>
      </c>
      <c r="I36" s="1502">
        <v>0.1</v>
      </c>
      <c r="J36" s="1542">
        <f>+ROUND(I36*H36,2)</f>
        <v>11.15</v>
      </c>
      <c r="K36" s="1727"/>
      <c r="L36" s="1728"/>
      <c r="M36" s="518"/>
      <c r="N36" s="326"/>
      <c r="O36" s="616"/>
      <c r="P36" s="616"/>
      <c r="Q36" s="616"/>
      <c r="R36" s="1386"/>
      <c r="S36" s="1410"/>
      <c r="T36" s="661"/>
      <c r="U36" s="1411"/>
      <c r="V36" s="1362"/>
    </row>
    <row r="37" spans="2:22" ht="16.5">
      <c r="B37" s="1616">
        <f t="shared" si="6"/>
        <v>5.0299999999999994</v>
      </c>
      <c r="C37" s="1555"/>
      <c r="D37" s="1508" t="str">
        <f>+'SUMINISTRO RS'!D37</f>
        <v>Conductor de Cobre Concéntrico,  2 x 4 mm2, con aislamiento y cubierta de PVC</v>
      </c>
      <c r="E37" s="1508"/>
      <c r="F37" s="1579"/>
      <c r="G37" s="1541" t="str">
        <f>+'SUMINISTRO RS'!G37</f>
        <v>m</v>
      </c>
      <c r="H37" s="1566">
        <f>+'SUMINISTRO RS'!H37</f>
        <v>3985</v>
      </c>
      <c r="I37" s="1502">
        <v>0.12</v>
      </c>
      <c r="J37" s="1542">
        <f t="shared" ref="J37:J38" si="7">+ROUND(I37*H37,2)</f>
        <v>478.2</v>
      </c>
      <c r="K37" s="1727"/>
      <c r="L37" s="1728"/>
      <c r="M37" s="518"/>
      <c r="N37" s="326"/>
      <c r="O37" s="616"/>
      <c r="P37" s="616"/>
      <c r="Q37" s="616"/>
      <c r="R37" s="1386"/>
      <c r="S37" s="1410"/>
      <c r="T37" s="661"/>
      <c r="U37" s="1411"/>
      <c r="V37" s="1362"/>
    </row>
    <row r="38" spans="2:22" ht="16.5">
      <c r="B38" s="1616">
        <f t="shared" si="6"/>
        <v>5.0399999999999991</v>
      </c>
      <c r="C38" s="1555"/>
      <c r="D38" s="1508" t="str">
        <f>+'SUMINISTRO RS'!D38</f>
        <v>Cable de Acero con Recubrimiento Metalúrgico de Cu de 4 AWG (21,15 mm²), para Puesta a Tierra</v>
      </c>
      <c r="E38" s="1508"/>
      <c r="F38" s="1579"/>
      <c r="G38" s="1626" t="str">
        <f>+'SUMINISTRO RS'!G38</f>
        <v>m</v>
      </c>
      <c r="H38" s="1646">
        <f>+'SUMINISTRO RS'!H38</f>
        <v>925.5</v>
      </c>
      <c r="I38" s="1502">
        <v>0.84</v>
      </c>
      <c r="J38" s="1542">
        <f t="shared" si="7"/>
        <v>777.42</v>
      </c>
      <c r="K38" s="1727"/>
      <c r="L38" s="1728"/>
      <c r="M38" s="518"/>
      <c r="N38" s="326"/>
      <c r="O38" s="616"/>
      <c r="P38" s="616"/>
      <c r="Q38" s="616"/>
      <c r="R38" s="1386"/>
      <c r="S38" s="1410"/>
      <c r="T38" s="661"/>
      <c r="U38" s="1411"/>
      <c r="V38" s="1362"/>
    </row>
    <row r="39" spans="2:22" ht="16.5">
      <c r="B39" s="1540"/>
      <c r="C39" s="1555"/>
      <c r="D39" s="1508"/>
      <c r="E39" s="1508"/>
      <c r="F39" s="1605" t="str">
        <f>+"SUB-TOTAL   "&amp;B34&amp;":  "</f>
        <v xml:space="preserve">SUB-TOTAL   5:  </v>
      </c>
      <c r="G39" s="1541"/>
      <c r="H39" s="1566"/>
      <c r="I39" s="1607"/>
      <c r="J39" s="1619">
        <f>+SUM(J35:J38)</f>
        <v>1266.9099999999999</v>
      </c>
      <c r="K39" s="1729"/>
      <c r="L39" s="1728"/>
      <c r="M39" s="518"/>
      <c r="N39" s="326"/>
      <c r="O39" s="616"/>
      <c r="P39" s="616"/>
      <c r="Q39" s="616"/>
      <c r="R39" s="1386"/>
      <c r="S39" s="307"/>
      <c r="T39" s="661"/>
      <c r="V39" s="1362"/>
    </row>
    <row r="40" spans="2:22" ht="16.5">
      <c r="B40" s="1615">
        <f>+B34+1</f>
        <v>6</v>
      </c>
      <c r="C40" s="1555"/>
      <c r="D40" s="1575" t="s">
        <v>145</v>
      </c>
      <c r="E40" s="1508"/>
      <c r="F40" s="1579"/>
      <c r="G40" s="1541"/>
      <c r="H40" s="1566"/>
      <c r="I40" s="1566"/>
      <c r="J40" s="1542"/>
      <c r="K40" s="1727"/>
      <c r="L40" s="1728"/>
      <c r="M40" s="518"/>
      <c r="N40" s="326"/>
      <c r="O40" s="616"/>
      <c r="P40" s="616"/>
      <c r="Q40" s="616"/>
      <c r="R40" s="1386"/>
      <c r="S40" s="520"/>
      <c r="T40" s="661"/>
      <c r="V40" s="1362"/>
    </row>
    <row r="41" spans="2:22" ht="16.5">
      <c r="B41" s="1616">
        <f t="shared" ref="B41:B47" si="8">+B40+0.01</f>
        <v>6.01</v>
      </c>
      <c r="C41" s="1553"/>
      <c r="D41" s="1508" t="str">
        <f>+'SUMINISTRO RS'!D41</f>
        <v>Pastoral tubo A°G° 38 mm Ø interior, 500 mm avance horizontal, 720 mm altura y 20° inclinación, provisto de 2 abrazaderas simples y 4 tirafondos para poste de madera</v>
      </c>
      <c r="E41" s="1873"/>
      <c r="F41" s="1874"/>
      <c r="G41" s="1541" t="str">
        <f>+'SUMINISTRO RS'!G41</f>
        <v>u</v>
      </c>
      <c r="H41" s="1566">
        <f>+'SUMINISTRO RS'!H41</f>
        <v>2</v>
      </c>
      <c r="I41" s="1501">
        <v>3.76</v>
      </c>
      <c r="J41" s="1536">
        <f t="shared" ref="J41:J47" si="9">+ROUND(I41*H41,2)</f>
        <v>7.52</v>
      </c>
      <c r="K41" s="1730"/>
      <c r="L41" s="1728"/>
      <c r="M41" s="518"/>
      <c r="N41" s="326"/>
      <c r="O41" s="616"/>
      <c r="P41" s="616"/>
      <c r="Q41" s="616"/>
      <c r="R41" s="1386"/>
      <c r="S41" s="1410"/>
      <c r="T41" s="661"/>
      <c r="U41" s="1411"/>
      <c r="V41" s="1362"/>
    </row>
    <row r="42" spans="2:22" ht="16.5">
      <c r="B42" s="1616">
        <f t="shared" si="8"/>
        <v>6.02</v>
      </c>
      <c r="C42" s="1553"/>
      <c r="D42" s="1508" t="str">
        <f>+'SUMINISTRO RS'!D42</f>
        <v>Pastoral tubo A°G° 38 mm Ø interior, 500 mm avance horizontal, 720 mm altura y 20° inclinación, provisto de 2 abrazaderas dobles para poste de concreto</v>
      </c>
      <c r="E42" s="1873"/>
      <c r="F42" s="1874"/>
      <c r="G42" s="1541" t="str">
        <f>+'SUMINISTRO RS'!G42</f>
        <v>u</v>
      </c>
      <c r="H42" s="1566">
        <f>+'SUMINISTRO RS'!H42</f>
        <v>43</v>
      </c>
      <c r="I42" s="1501">
        <v>3.76</v>
      </c>
      <c r="J42" s="1536">
        <f t="shared" si="9"/>
        <v>161.68</v>
      </c>
      <c r="K42" s="1730"/>
      <c r="L42" s="1728"/>
      <c r="M42" s="518"/>
      <c r="N42" s="326"/>
      <c r="O42" s="616"/>
      <c r="P42" s="616"/>
      <c r="Q42" s="616"/>
      <c r="R42" s="1386"/>
      <c r="S42" s="1410"/>
      <c r="T42" s="661"/>
      <c r="U42" s="1411"/>
      <c r="V42" s="1362"/>
    </row>
    <row r="43" spans="2:22" ht="16.5">
      <c r="B43" s="1616">
        <f t="shared" si="8"/>
        <v>6.0299999999999994</v>
      </c>
      <c r="C43" s="1555"/>
      <c r="D43" s="1508" t="str">
        <f>+'SUMINISTRO RS'!D43</f>
        <v>Luminaria completa con equipo para Lámpara de Vapor de Sodio de 50 W</v>
      </c>
      <c r="E43" s="1442"/>
      <c r="F43" s="1487"/>
      <c r="G43" s="1541" t="str">
        <f>+'SUMINISTRO RS'!G43</f>
        <v>u</v>
      </c>
      <c r="H43" s="1566">
        <f>+'SUMINISTRO RS'!H43</f>
        <v>45</v>
      </c>
      <c r="I43" s="1502">
        <v>1.5</v>
      </c>
      <c r="J43" s="1536">
        <f t="shared" si="9"/>
        <v>67.5</v>
      </c>
      <c r="K43" s="1730"/>
      <c r="L43" s="1728"/>
      <c r="M43" s="518"/>
      <c r="N43" s="326"/>
      <c r="O43" s="616"/>
      <c r="P43" s="616"/>
      <c r="Q43" s="616"/>
      <c r="R43" s="1386"/>
      <c r="S43" s="1410"/>
      <c r="T43" s="661"/>
      <c r="U43" s="1411"/>
      <c r="V43" s="1362"/>
    </row>
    <row r="44" spans="2:22" ht="16.5">
      <c r="B44" s="1616">
        <f t="shared" si="8"/>
        <v>6.0399999999999991</v>
      </c>
      <c r="C44" s="1555"/>
      <c r="D44" s="1508" t="str">
        <f>+'SUMINISTRO RS'!D44</f>
        <v>Lámpara de Vapor de Sodio de Alta Presión de 50 W</v>
      </c>
      <c r="E44" s="1442"/>
      <c r="F44" s="1487"/>
      <c r="G44" s="1541" t="str">
        <f>+'SUMINISTRO RS'!G44</f>
        <v>u</v>
      </c>
      <c r="H44" s="1566">
        <f>+'SUMINISTRO RS'!H44</f>
        <v>45</v>
      </c>
      <c r="I44" s="1502">
        <v>0.26</v>
      </c>
      <c r="J44" s="1536">
        <f t="shared" si="9"/>
        <v>11.7</v>
      </c>
      <c r="K44" s="1730"/>
      <c r="L44" s="1728"/>
      <c r="M44" s="518"/>
      <c r="N44" s="326"/>
      <c r="O44" s="616"/>
      <c r="P44" s="616"/>
      <c r="Q44" s="616"/>
      <c r="R44" s="1386"/>
      <c r="S44" s="1410"/>
      <c r="T44" s="661"/>
      <c r="U44" s="1411"/>
      <c r="V44" s="1362"/>
    </row>
    <row r="45" spans="2:22" ht="16.5">
      <c r="B45" s="1616">
        <f t="shared" si="8"/>
        <v>6.0499999999999989</v>
      </c>
      <c r="C45" s="1555"/>
      <c r="D45" s="1508" t="str">
        <f>+'SUMINISTRO RS'!D45</f>
        <v>Portafusible Unipolar 220 V, de 5 A, provisto con fusible de 1 A</v>
      </c>
      <c r="E45" s="1442"/>
      <c r="F45" s="1487"/>
      <c r="G45" s="1541" t="str">
        <f>+'SUMINISTRO RS'!G45</f>
        <v>u</v>
      </c>
      <c r="H45" s="1566">
        <f>+'SUMINISTRO RS'!H45</f>
        <v>45</v>
      </c>
      <c r="I45" s="1502">
        <v>0.04</v>
      </c>
      <c r="J45" s="1536">
        <f t="shared" si="9"/>
        <v>1.8</v>
      </c>
      <c r="K45" s="1730"/>
      <c r="L45" s="1728"/>
      <c r="M45" s="518"/>
      <c r="N45" s="326"/>
      <c r="O45" s="616"/>
      <c r="P45" s="616"/>
      <c r="Q45" s="616"/>
      <c r="R45" s="1386"/>
      <c r="S45" s="1410"/>
      <c r="T45" s="661"/>
      <c r="U45" s="1411"/>
      <c r="V45" s="1362"/>
    </row>
    <row r="46" spans="2:22" ht="16.5">
      <c r="B46" s="1616">
        <f t="shared" si="8"/>
        <v>6.0599999999999987</v>
      </c>
      <c r="C46" s="1555"/>
      <c r="D46" s="1508" t="str">
        <f>+'SUMINISTRO RS'!D46</f>
        <v>Conector Bimetalico Aislado, para Al 16-35 mm2 / Cu 4-10 mm2, para Fase Aislada, tipo Perforación</v>
      </c>
      <c r="E46" s="1442"/>
      <c r="F46" s="1487"/>
      <c r="G46" s="1541" t="str">
        <f>+'SUMINISTRO RS'!G46</f>
        <v>u</v>
      </c>
      <c r="H46" s="1566">
        <f>+'SUMINISTRO RS'!H46</f>
        <v>45</v>
      </c>
      <c r="I46" s="1502">
        <v>0.03</v>
      </c>
      <c r="J46" s="1542">
        <f t="shared" si="9"/>
        <v>1.35</v>
      </c>
      <c r="K46" s="1727"/>
      <c r="L46" s="1728"/>
      <c r="M46" s="518"/>
      <c r="N46" s="326"/>
      <c r="O46" s="616"/>
      <c r="P46" s="616"/>
      <c r="Q46" s="616"/>
      <c r="R46" s="1386"/>
      <c r="S46" s="1410"/>
      <c r="T46" s="661"/>
      <c r="U46" s="1411"/>
      <c r="V46" s="1362"/>
    </row>
    <row r="47" spans="2:22" ht="16.5">
      <c r="B47" s="1616">
        <f t="shared" si="8"/>
        <v>6.0699999999999985</v>
      </c>
      <c r="C47" s="1555"/>
      <c r="D47" s="1508" t="str">
        <f>+'SUMINISTRO RS'!D47</f>
        <v>Conector Bimetálico para Al 25 mm2 / Cu 4-10 mm2, para Neutro Desnudo, tipo Cuña</v>
      </c>
      <c r="E47" s="1442"/>
      <c r="F47" s="1487"/>
      <c r="G47" s="1626" t="str">
        <f>+'SUMINISTRO RS'!G47</f>
        <v>u</v>
      </c>
      <c r="H47" s="1646">
        <f>+'SUMINISTRO RS'!H47</f>
        <v>45</v>
      </c>
      <c r="I47" s="1502">
        <v>0.02</v>
      </c>
      <c r="J47" s="1542">
        <f t="shared" si="9"/>
        <v>0.9</v>
      </c>
      <c r="K47" s="1727"/>
      <c r="L47" s="1728"/>
      <c r="M47" s="518"/>
      <c r="N47" s="326"/>
      <c r="O47" s="616"/>
      <c r="P47" s="616"/>
      <c r="Q47" s="616"/>
      <c r="R47" s="1386"/>
      <c r="S47" s="1410"/>
      <c r="T47" s="661"/>
      <c r="U47" s="1411"/>
      <c r="V47" s="1362"/>
    </row>
    <row r="48" spans="2:22" ht="16.5">
      <c r="B48" s="1540"/>
      <c r="C48" s="1555"/>
      <c r="D48" s="1508"/>
      <c r="E48" s="1508"/>
      <c r="F48" s="1605" t="str">
        <f>+"SUB-TOTAL   "&amp;B40&amp;":  "</f>
        <v xml:space="preserve">SUB-TOTAL   6:  </v>
      </c>
      <c r="G48" s="1541"/>
      <c r="H48" s="1566"/>
      <c r="I48" s="1607"/>
      <c r="J48" s="1619">
        <f>+SUM(J41:J47)</f>
        <v>252.45000000000002</v>
      </c>
      <c r="K48" s="1729"/>
      <c r="L48" s="1728"/>
      <c r="M48" s="518"/>
      <c r="N48" s="326"/>
      <c r="O48" s="616"/>
      <c r="P48" s="616"/>
      <c r="Q48" s="616"/>
      <c r="R48" s="1386"/>
      <c r="S48" s="307"/>
      <c r="T48" s="661"/>
      <c r="U48" s="324"/>
      <c r="V48" s="1362"/>
    </row>
    <row r="49" spans="2:23" ht="16.5">
      <c r="B49" s="1615">
        <f>+B40+1</f>
        <v>7</v>
      </c>
      <c r="C49" s="1555"/>
      <c r="D49" s="1575" t="s">
        <v>277</v>
      </c>
      <c r="E49" s="1508"/>
      <c r="F49" s="1579"/>
      <c r="G49" s="1541"/>
      <c r="H49" s="1566"/>
      <c r="I49" s="1566"/>
      <c r="J49" s="1542"/>
      <c r="K49" s="1727"/>
      <c r="L49" s="1728"/>
      <c r="M49" s="518"/>
      <c r="N49" s="326"/>
      <c r="O49" s="616"/>
      <c r="P49" s="616"/>
      <c r="Q49" s="616"/>
      <c r="R49" s="1386"/>
      <c r="S49" s="307"/>
      <c r="T49" s="661"/>
      <c r="U49" s="324"/>
      <c r="V49" s="1362"/>
    </row>
    <row r="50" spans="2:23" ht="16.5">
      <c r="B50" s="1616">
        <f t="shared" ref="B50:B61" si="10">+B49+0.01</f>
        <v>7.01</v>
      </c>
      <c r="C50" s="1555"/>
      <c r="D50" s="1508" t="str">
        <f>+'SUMINISTRO RS'!D50</f>
        <v>Cable de acero grado Siemens Martin, de 10 mm ø, 7 hilos</v>
      </c>
      <c r="E50" s="1442"/>
      <c r="F50" s="1487"/>
      <c r="G50" s="1541" t="str">
        <f>+'SUMINISTRO RS'!G50</f>
        <v>m</v>
      </c>
      <c r="H50" s="1566">
        <f>+'SUMINISTRO RS'!H50</f>
        <v>1076</v>
      </c>
      <c r="I50" s="1502">
        <v>0.57999999999999996</v>
      </c>
      <c r="J50" s="1542">
        <f t="shared" ref="J50:J61" si="11">+ROUND(I50*H50,2)</f>
        <v>624.08000000000004</v>
      </c>
      <c r="K50" s="1727"/>
      <c r="L50" s="1728"/>
      <c r="M50" s="518"/>
      <c r="N50" s="326"/>
      <c r="O50" s="616"/>
      <c r="P50" s="616"/>
      <c r="Q50" s="616"/>
      <c r="R50" s="1386"/>
      <c r="S50" s="1410"/>
      <c r="T50" s="661"/>
      <c r="U50" s="1411"/>
      <c r="V50" s="1362"/>
    </row>
    <row r="51" spans="2:23" ht="16.5">
      <c r="B51" s="1616">
        <f t="shared" si="10"/>
        <v>7.02</v>
      </c>
      <c r="C51" s="1555"/>
      <c r="D51" s="1508" t="str">
        <f>+'SUMINISTRO RS'!D51</f>
        <v>Perno Angular con Ojal Guardacabo de A°G°, 16 mm Ø x 254 mm, provisto de Tuerca y Contratuerca</v>
      </c>
      <c r="E51" s="1442"/>
      <c r="F51" s="1487"/>
      <c r="G51" s="1541" t="str">
        <f>+'SUMINISTRO RS'!G51</f>
        <v>u</v>
      </c>
      <c r="H51" s="1566">
        <f>+'SUMINISTRO RS'!H51</f>
        <v>106</v>
      </c>
      <c r="I51" s="1502">
        <v>0.36</v>
      </c>
      <c r="J51" s="1542">
        <f t="shared" si="11"/>
        <v>38.159999999999997</v>
      </c>
      <c r="K51" s="1727"/>
      <c r="L51" s="1728"/>
      <c r="M51" s="518"/>
      <c r="N51" s="326"/>
      <c r="O51" s="616"/>
      <c r="P51" s="616"/>
      <c r="Q51" s="616"/>
      <c r="R51" s="1386"/>
      <c r="S51" s="1410"/>
      <c r="T51" s="661"/>
      <c r="U51" s="1411"/>
      <c r="V51" s="1362"/>
    </row>
    <row r="52" spans="2:23" ht="16.5">
      <c r="B52" s="1616">
        <f t="shared" si="10"/>
        <v>7.0299999999999994</v>
      </c>
      <c r="C52" s="1555"/>
      <c r="D52" s="1508" t="str">
        <f>+'SUMINISTRO RS'!D52</f>
        <v>Perno Angular con Ojal Guardacabo de A°G°, 16 mm Ø x 305 mm, provisto de Tuerca y Contratuerca</v>
      </c>
      <c r="E52" s="1442"/>
      <c r="F52" s="1487"/>
      <c r="G52" s="1541" t="str">
        <f>+'SUMINISTRO RS'!G52</f>
        <v>u</v>
      </c>
      <c r="H52" s="1566">
        <f>+'SUMINISTRO RS'!H52</f>
        <v>3</v>
      </c>
      <c r="I52" s="1502">
        <v>0.38</v>
      </c>
      <c r="J52" s="1542">
        <f t="shared" si="11"/>
        <v>1.1399999999999999</v>
      </c>
      <c r="K52" s="1727"/>
      <c r="L52" s="1728"/>
      <c r="M52" s="518"/>
      <c r="N52" s="326"/>
      <c r="O52" s="616"/>
      <c r="P52" s="616"/>
      <c r="Q52" s="616"/>
      <c r="R52" s="1386"/>
      <c r="S52" s="1410"/>
      <c r="T52" s="661"/>
      <c r="U52" s="1411"/>
      <c r="V52" s="1362"/>
    </row>
    <row r="53" spans="2:23" ht="16.5">
      <c r="B53" s="1616">
        <f t="shared" si="10"/>
        <v>7.0399999999999991</v>
      </c>
      <c r="C53" s="1555"/>
      <c r="D53" s="1508" t="str">
        <f>+'SUMINISTRO RS'!D53</f>
        <v>Varilla de Anclaje de A°G° de 16 mm Ø x 2,40 m, provisto de Ojal Guardacabo en un extremo; Tuerca y Contratuerca en el otro</v>
      </c>
      <c r="E53" s="1873"/>
      <c r="F53" s="1874"/>
      <c r="G53" s="1541" t="str">
        <f>+'SUMINISTRO RS'!G53</f>
        <v>u</v>
      </c>
      <c r="H53" s="1566">
        <f>+'SUMINISTRO RS'!H53</f>
        <v>109</v>
      </c>
      <c r="I53" s="1502">
        <v>2.37</v>
      </c>
      <c r="J53" s="1542">
        <f t="shared" si="11"/>
        <v>258.33</v>
      </c>
      <c r="K53" s="1727"/>
      <c r="L53" s="1728"/>
      <c r="M53" s="518"/>
      <c r="N53" s="326"/>
      <c r="O53" s="616"/>
      <c r="P53" s="616"/>
      <c r="Q53" s="616"/>
      <c r="R53" s="1386"/>
      <c r="S53" s="1410"/>
      <c r="T53" s="661"/>
      <c r="U53" s="1411"/>
      <c r="V53" s="1362"/>
    </row>
    <row r="54" spans="2:23" ht="16.5">
      <c r="B54" s="1616">
        <f t="shared" si="10"/>
        <v>7.0499999999999989</v>
      </c>
      <c r="C54" s="1555"/>
      <c r="D54" s="1508" t="str">
        <f>+'SUMINISTRO RS'!D54</f>
        <v>Arandela de Anclaje de A°G°, 102 x 102 x 6,35 mm, Agujero de 18 mmø</v>
      </c>
      <c r="E54" s="1442"/>
      <c r="F54" s="1487"/>
      <c r="G54" s="1541" t="str">
        <f>+'SUMINISTRO RS'!G54</f>
        <v>u</v>
      </c>
      <c r="H54" s="1566">
        <f>+'SUMINISTRO RS'!H54</f>
        <v>109</v>
      </c>
      <c r="I54" s="1502">
        <v>0.2</v>
      </c>
      <c r="J54" s="1542">
        <f t="shared" si="11"/>
        <v>21.8</v>
      </c>
      <c r="K54" s="1727"/>
      <c r="L54" s="1728"/>
      <c r="M54" s="518"/>
      <c r="N54" s="326"/>
      <c r="O54" s="616"/>
      <c r="P54" s="616"/>
      <c r="Q54" s="616"/>
      <c r="R54" s="1386"/>
      <c r="S54" s="1410"/>
      <c r="T54" s="661"/>
      <c r="U54" s="1411"/>
      <c r="V54" s="1362"/>
    </row>
    <row r="55" spans="2:23" ht="16.5">
      <c r="B55" s="1616">
        <f t="shared" si="10"/>
        <v>7.0599999999999987</v>
      </c>
      <c r="C55" s="1555"/>
      <c r="D55" s="1508" t="str">
        <f>+'SUMINISTRO RS'!D55</f>
        <v>Mordaza Preformada de A°G° para Cable de 10 mm Ø</v>
      </c>
      <c r="E55" s="1442"/>
      <c r="F55" s="1487"/>
      <c r="G55" s="1541" t="str">
        <f>+'SUMINISTRO RS'!G55</f>
        <v>u</v>
      </c>
      <c r="H55" s="1566">
        <f>+'SUMINISTRO RS'!H55</f>
        <v>218</v>
      </c>
      <c r="I55" s="1502">
        <v>0.85</v>
      </c>
      <c r="J55" s="1542">
        <f t="shared" si="11"/>
        <v>185.3</v>
      </c>
      <c r="K55" s="1727"/>
      <c r="L55" s="1728"/>
      <c r="M55" s="518"/>
      <c r="N55" s="326"/>
      <c r="O55" s="616"/>
      <c r="P55" s="616"/>
      <c r="Q55" s="616"/>
      <c r="R55" s="1386"/>
      <c r="S55" s="1410"/>
      <c r="T55" s="661"/>
      <c r="U55" s="1411"/>
      <c r="V55" s="1362"/>
    </row>
    <row r="56" spans="2:23" ht="16.5">
      <c r="B56" s="1616">
        <f t="shared" si="10"/>
        <v>7.0699999999999985</v>
      </c>
      <c r="C56" s="1555"/>
      <c r="D56" s="1508" t="str">
        <f>+'SUMINISTRO RS'!D56</f>
        <v>Arandela Cuadrada Curva de A° G°, 57 x 57 x 5 mm, Agujero de 18 mm Ø</v>
      </c>
      <c r="E56" s="1442"/>
      <c r="F56" s="1487"/>
      <c r="G56" s="1541" t="str">
        <f>+'SUMINISTRO RS'!G56</f>
        <v>u</v>
      </c>
      <c r="H56" s="1566">
        <f>+'SUMINISTRO RS'!H56</f>
        <v>218</v>
      </c>
      <c r="I56" s="1502">
        <v>0.09</v>
      </c>
      <c r="J56" s="1542">
        <f t="shared" si="11"/>
        <v>19.62</v>
      </c>
      <c r="K56" s="1727"/>
      <c r="L56" s="1728"/>
      <c r="M56" s="518"/>
      <c r="N56" s="326"/>
      <c r="O56" s="616"/>
      <c r="P56" s="616"/>
      <c r="Q56" s="616"/>
      <c r="R56" s="1386"/>
      <c r="S56" s="1410"/>
      <c r="T56" s="661"/>
      <c r="U56" s="1411"/>
      <c r="V56" s="1362"/>
    </row>
    <row r="57" spans="2:23" ht="16.5">
      <c r="B57" s="1616">
        <f t="shared" si="10"/>
        <v>7.0799999999999983</v>
      </c>
      <c r="C57" s="1555"/>
      <c r="D57" s="1508" t="str">
        <f>+'SUMINISTRO RS'!D57</f>
        <v>Soporte de Contrapunta de 51 mm ø x 1000 mm de longitud, con Abrazadera partida en un extremo y Grapa de Ajuste para Cable en el otro</v>
      </c>
      <c r="E57" s="1873"/>
      <c r="F57" s="1874"/>
      <c r="G57" s="1541" t="str">
        <f>+'SUMINISTRO RS'!G57</f>
        <v>u</v>
      </c>
      <c r="H57" s="1566">
        <f>+'SUMINISTRO RS'!H57</f>
        <v>14</v>
      </c>
      <c r="I57" s="1502">
        <v>1.59</v>
      </c>
      <c r="J57" s="1542">
        <f t="shared" si="11"/>
        <v>22.26</v>
      </c>
      <c r="K57" s="1727"/>
      <c r="L57" s="1728"/>
      <c r="M57" s="518"/>
      <c r="N57" s="326"/>
      <c r="O57" s="616"/>
      <c r="P57" s="616"/>
      <c r="Q57" s="616"/>
      <c r="R57" s="1386"/>
      <c r="S57" s="1410"/>
      <c r="T57" s="661"/>
      <c r="U57" s="1411"/>
      <c r="V57" s="1362"/>
      <c r="W57" s="1387"/>
    </row>
    <row r="58" spans="2:23" ht="16.5">
      <c r="B58" s="1616">
        <f t="shared" si="10"/>
        <v>7.0899999999999981</v>
      </c>
      <c r="C58" s="1555"/>
      <c r="D58" s="1508" t="str">
        <f>+'SUMINISTRO RS'!D58</f>
        <v>Alambre de Acero N° 12 para Entorchado</v>
      </c>
      <c r="E58" s="1442"/>
      <c r="F58" s="1487"/>
      <c r="G58" s="1541" t="str">
        <f>+'SUMINISTRO RS'!G58</f>
        <v>m</v>
      </c>
      <c r="H58" s="1566">
        <f>+'SUMINISTRO RS'!H58</f>
        <v>327</v>
      </c>
      <c r="I58" s="1502">
        <v>0.02</v>
      </c>
      <c r="J58" s="1542">
        <f t="shared" si="11"/>
        <v>6.54</v>
      </c>
      <c r="K58" s="1727"/>
      <c r="L58" s="1728"/>
      <c r="M58" s="518"/>
      <c r="N58" s="326"/>
      <c r="O58" s="616"/>
      <c r="P58" s="616"/>
      <c r="Q58" s="616"/>
      <c r="R58" s="1386"/>
      <c r="S58" s="1410"/>
      <c r="T58" s="661"/>
      <c r="U58" s="1411"/>
      <c r="V58" s="1362"/>
    </row>
    <row r="59" spans="2:23" ht="16.5">
      <c r="B59" s="1616">
        <f t="shared" si="10"/>
        <v>7.0999999999999979</v>
      </c>
      <c r="C59" s="1555"/>
      <c r="D59" s="1508" t="str">
        <f>+'SUMINISTRO RS'!D59</f>
        <v>Bloque de concreto de 0,40 x 0,40 x 0,15 m</v>
      </c>
      <c r="E59" s="1442"/>
      <c r="F59" s="1487"/>
      <c r="G59" s="1541" t="str">
        <f>+'SUMINISTRO RS'!G59</f>
        <v>u</v>
      </c>
      <c r="H59" s="1566">
        <f>+'SUMINISTRO RS'!H59</f>
        <v>109</v>
      </c>
      <c r="I59" s="1502">
        <v>23.88</v>
      </c>
      <c r="J59" s="1542">
        <f t="shared" si="11"/>
        <v>2602.92</v>
      </c>
      <c r="K59" s="1727"/>
      <c r="L59" s="1728"/>
      <c r="M59" s="518"/>
      <c r="N59" s="326"/>
      <c r="O59" s="616"/>
      <c r="P59" s="616"/>
      <c r="Q59" s="616"/>
      <c r="R59" s="1386"/>
      <c r="S59" s="1410"/>
      <c r="T59" s="661"/>
      <c r="U59" s="1411"/>
      <c r="V59" s="1362"/>
    </row>
    <row r="60" spans="2:23" ht="16.5">
      <c r="B60" s="1616">
        <f t="shared" si="10"/>
        <v>7.1099999999999977</v>
      </c>
      <c r="C60" s="1553"/>
      <c r="D60" s="1508" t="str">
        <f>+'SUMINISTRO RS'!D60</f>
        <v>Conector Bimetálico para Al 25 mm2 / Cu 4-10 mm2, para Neutro Desnudo, tipo Cuña</v>
      </c>
      <c r="E60" s="1442"/>
      <c r="F60" s="1487"/>
      <c r="G60" s="1541" t="str">
        <f>+'SUMINISTRO RS'!G60</f>
        <v>u</v>
      </c>
      <c r="H60" s="1566">
        <f>+'SUMINISTRO RS'!H60</f>
        <v>109</v>
      </c>
      <c r="I60" s="1501">
        <v>0.02</v>
      </c>
      <c r="J60" s="1536">
        <f t="shared" si="11"/>
        <v>2.1800000000000002</v>
      </c>
      <c r="K60" s="1730"/>
      <c r="L60" s="1728"/>
      <c r="M60" s="518"/>
      <c r="N60" s="326"/>
      <c r="O60" s="616"/>
      <c r="P60" s="616"/>
      <c r="Q60" s="616"/>
      <c r="R60" s="1386"/>
      <c r="S60" s="1410"/>
      <c r="T60" s="661"/>
      <c r="U60" s="1411"/>
      <c r="V60" s="1362"/>
    </row>
    <row r="61" spans="2:23" ht="16.5">
      <c r="B61" s="1616">
        <f t="shared" si="10"/>
        <v>7.1199999999999974</v>
      </c>
      <c r="C61" s="1555"/>
      <c r="D61" s="1508" t="str">
        <f>+'SUMINISTRO RS'!D61</f>
        <v>Conector Doble Via Bimetálico para Cable de Acero de 10 mm ø y para Cable de Acero con Recubrimiento Metalúrgico de Cobre de 4 AWG (21,15 mm2)</v>
      </c>
      <c r="E61" s="1885"/>
      <c r="F61" s="1888"/>
      <c r="G61" s="1626" t="str">
        <f>+'SUMINISTRO RS'!G61</f>
        <v>u</v>
      </c>
      <c r="H61" s="1646">
        <f>+'SUMINISTRO RS'!H61</f>
        <v>109</v>
      </c>
      <c r="I61" s="1502">
        <v>0.12</v>
      </c>
      <c r="J61" s="1542">
        <f t="shared" si="11"/>
        <v>13.08</v>
      </c>
      <c r="K61" s="1727"/>
      <c r="L61" s="1728"/>
      <c r="M61" s="518"/>
      <c r="N61" s="326"/>
      <c r="O61" s="616"/>
      <c r="P61" s="616"/>
      <c r="Q61" s="616"/>
      <c r="R61" s="1386"/>
      <c r="S61" s="1410"/>
      <c r="T61" s="661"/>
      <c r="U61" s="1411"/>
      <c r="V61" s="1362"/>
    </row>
    <row r="62" spans="2:23" ht="16.5">
      <c r="B62" s="1540"/>
      <c r="C62" s="1555"/>
      <c r="D62" s="1508"/>
      <c r="E62" s="1508"/>
      <c r="F62" s="1605" t="str">
        <f>+"SUB-TOTAL   "&amp;B49&amp;":  "</f>
        <v xml:space="preserve">SUB-TOTAL   7:  </v>
      </c>
      <c r="G62" s="1541"/>
      <c r="H62" s="1566"/>
      <c r="I62" s="1607"/>
      <c r="J62" s="1619">
        <f>+SUM(J50:J61)</f>
        <v>3795.4099999999994</v>
      </c>
      <c r="K62" s="1729"/>
      <c r="L62" s="1728"/>
      <c r="M62" s="518"/>
      <c r="N62" s="326"/>
      <c r="O62" s="616"/>
      <c r="P62" s="616"/>
      <c r="Q62" s="616"/>
      <c r="R62" s="1386"/>
      <c r="S62" s="307"/>
      <c r="T62" s="661"/>
      <c r="V62" s="1362"/>
    </row>
    <row r="63" spans="2:23" ht="16.5">
      <c r="B63" s="1615">
        <f>+B49+1</f>
        <v>8</v>
      </c>
      <c r="C63" s="1555"/>
      <c r="D63" s="1575" t="s">
        <v>146</v>
      </c>
      <c r="E63" s="1508"/>
      <c r="F63" s="1579"/>
      <c r="G63" s="1541"/>
      <c r="H63" s="1566"/>
      <c r="I63" s="1566"/>
      <c r="J63" s="1542"/>
      <c r="K63" s="1727"/>
      <c r="L63" s="1728"/>
      <c r="M63" s="518"/>
      <c r="N63" s="326"/>
      <c r="O63" s="616"/>
      <c r="P63" s="616"/>
      <c r="Q63" s="616"/>
      <c r="R63" s="1386"/>
      <c r="S63" s="1410"/>
      <c r="T63" s="661"/>
      <c r="U63" s="324"/>
      <c r="V63" s="1362"/>
    </row>
    <row r="64" spans="2:23" ht="16.5">
      <c r="B64" s="1616">
        <f>+B63+0.01</f>
        <v>8.01</v>
      </c>
      <c r="C64" s="1555"/>
      <c r="D64" s="1508" t="str">
        <f>+'SUMINISTRO RS'!D64</f>
        <v>Perno con Gancho de 16 mm Ø, provisto de Arandela, Tuerca y Contratuerca, longitud de 254 mm</v>
      </c>
      <c r="E64" s="1508"/>
      <c r="F64" s="1579"/>
      <c r="G64" s="1541" t="str">
        <f>+'SUMINISTRO RS'!G64</f>
        <v>u</v>
      </c>
      <c r="H64" s="1566">
        <f>+'SUMINISTRO RS'!H64</f>
        <v>141</v>
      </c>
      <c r="I64" s="1502">
        <v>0.5</v>
      </c>
      <c r="J64" s="1542">
        <f t="shared" ref="J64:J77" si="12">+ROUND(I64*H64,2)</f>
        <v>70.5</v>
      </c>
      <c r="K64" s="1727"/>
      <c r="L64" s="1728"/>
      <c r="M64" s="518"/>
      <c r="N64" s="326"/>
      <c r="O64" s="616"/>
      <c r="P64" s="616"/>
      <c r="Q64" s="616"/>
      <c r="R64" s="1386"/>
      <c r="S64" s="1410"/>
      <c r="T64" s="661"/>
      <c r="U64" s="1411"/>
      <c r="V64" s="1362"/>
    </row>
    <row r="65" spans="2:22" ht="16.5">
      <c r="B65" s="1616">
        <f t="shared" ref="B65:B77" si="13">+B64+0.01</f>
        <v>8.02</v>
      </c>
      <c r="C65" s="1555"/>
      <c r="D65" s="1508" t="str">
        <f>+'SUMINISTRO RS'!D65</f>
        <v>Perno con Gancho de 16 mm Ø, provisto de Arandela, Tuerca y Contratuerca, longitud de 305 mm</v>
      </c>
      <c r="E65" s="1508"/>
      <c r="F65" s="1579"/>
      <c r="G65" s="1541" t="str">
        <f>+'SUMINISTRO RS'!G65</f>
        <v>u</v>
      </c>
      <c r="H65" s="1566">
        <f>+'SUMINISTRO RS'!H65</f>
        <v>22</v>
      </c>
      <c r="I65" s="1502">
        <v>0.54</v>
      </c>
      <c r="J65" s="1542">
        <f t="shared" si="12"/>
        <v>11.88</v>
      </c>
      <c r="K65" s="1727"/>
      <c r="L65" s="1728"/>
      <c r="M65" s="518"/>
      <c r="N65" s="326"/>
      <c r="O65" s="616"/>
      <c r="P65" s="616"/>
      <c r="Q65" s="616"/>
      <c r="R65" s="1386"/>
      <c r="S65" s="1410"/>
      <c r="T65" s="661"/>
      <c r="U65" s="1411"/>
      <c r="V65" s="1362"/>
    </row>
    <row r="66" spans="2:22" ht="16.5">
      <c r="B66" s="1616">
        <f t="shared" si="13"/>
        <v>8.0299999999999994</v>
      </c>
      <c r="C66" s="1555"/>
      <c r="D66" s="1508" t="str">
        <f>+'SUMINISTRO RS'!D66</f>
        <v>Perno de A°G° de 13 mm Ø x 254 mm, provisto de Tuerca y  Contratuerca</v>
      </c>
      <c r="E66" s="1508"/>
      <c r="F66" s="1579"/>
      <c r="G66" s="1541" t="str">
        <f>+'SUMINISTRO RS'!G66</f>
        <v>u</v>
      </c>
      <c r="H66" s="1566">
        <f>+'SUMINISTRO RS'!H66</f>
        <v>248</v>
      </c>
      <c r="I66" s="1502">
        <v>0.32</v>
      </c>
      <c r="J66" s="1542">
        <f t="shared" si="12"/>
        <v>79.36</v>
      </c>
      <c r="K66" s="1727"/>
      <c r="L66" s="1728"/>
      <c r="M66" s="518"/>
      <c r="N66" s="326"/>
      <c r="O66" s="616"/>
      <c r="P66" s="616"/>
      <c r="Q66" s="616"/>
      <c r="R66" s="1386"/>
      <c r="S66" s="1410"/>
      <c r="T66" s="661"/>
      <c r="U66" s="1411"/>
      <c r="V66" s="1362"/>
    </row>
    <row r="67" spans="2:22" ht="16.5">
      <c r="B67" s="1616">
        <f t="shared" si="13"/>
        <v>8.0399999999999991</v>
      </c>
      <c r="C67" s="1553"/>
      <c r="D67" s="1508" t="str">
        <f>+'SUMINISTRO RS'!D67</f>
        <v>Perno de A°G° de 13 mm Ø x 305 mm, provisto de Tuerca y  Contratuerca</v>
      </c>
      <c r="E67" s="1442"/>
      <c r="F67" s="1487"/>
      <c r="G67" s="1541" t="str">
        <f>+'SUMINISTRO RS'!G67</f>
        <v>u</v>
      </c>
      <c r="H67" s="1566">
        <f>+'SUMINISTRO RS'!H67</f>
        <v>50</v>
      </c>
      <c r="I67" s="1501">
        <v>0.32</v>
      </c>
      <c r="J67" s="1536">
        <f t="shared" si="12"/>
        <v>16</v>
      </c>
      <c r="K67" s="1730"/>
      <c r="L67" s="1728"/>
      <c r="M67" s="518"/>
      <c r="N67" s="326"/>
      <c r="O67" s="616"/>
      <c r="P67" s="616"/>
      <c r="Q67" s="616"/>
      <c r="R67" s="1386"/>
      <c r="S67" s="1410"/>
      <c r="T67" s="661"/>
      <c r="U67" s="1411"/>
      <c r="V67" s="1362"/>
    </row>
    <row r="68" spans="2:22" ht="16.5">
      <c r="B68" s="1616">
        <f t="shared" si="13"/>
        <v>8.0499999999999989</v>
      </c>
      <c r="C68" s="1553"/>
      <c r="D68" s="1508" t="str">
        <f>+'SUMINISTRO RS'!D68</f>
        <v>Perno Ojo de A°G° de 16 mm Ø  x 254 mm, provisto de Tuerca  y Contratuerca</v>
      </c>
      <c r="E68" s="1442"/>
      <c r="F68" s="1487"/>
      <c r="G68" s="1541" t="str">
        <f>+'SUMINISTRO RS'!G68</f>
        <v>u</v>
      </c>
      <c r="H68" s="1566">
        <f>+'SUMINISTRO RS'!H68</f>
        <v>127</v>
      </c>
      <c r="I68" s="1501">
        <v>0.45</v>
      </c>
      <c r="J68" s="1536">
        <f t="shared" si="12"/>
        <v>57.15</v>
      </c>
      <c r="K68" s="1730"/>
      <c r="L68" s="1728"/>
      <c r="M68" s="518"/>
      <c r="N68" s="326"/>
      <c r="O68" s="616"/>
      <c r="P68" s="616"/>
      <c r="Q68" s="616"/>
      <c r="R68" s="1386"/>
      <c r="S68" s="1410"/>
      <c r="T68" s="661"/>
      <c r="U68" s="1411"/>
      <c r="V68" s="1362"/>
    </row>
    <row r="69" spans="2:22" ht="16.5">
      <c r="B69" s="1616">
        <f t="shared" si="13"/>
        <v>8.0599999999999987</v>
      </c>
      <c r="C69" s="1553"/>
      <c r="D69" s="1508" t="str">
        <f>+'SUMINISTRO RS'!D69</f>
        <v>Perno Ojo de A°G° de 16 mm Ø  x 305 mm, provisto de Tuerca  y Contratuerca</v>
      </c>
      <c r="E69" s="1442"/>
      <c r="F69" s="1487"/>
      <c r="G69" s="1541" t="str">
        <f>+'SUMINISTRO RS'!G69</f>
        <v>u</v>
      </c>
      <c r="H69" s="1566">
        <f>+'SUMINISTRO RS'!H69</f>
        <v>33</v>
      </c>
      <c r="I69" s="1501">
        <v>0.54</v>
      </c>
      <c r="J69" s="1536">
        <f t="shared" si="12"/>
        <v>17.82</v>
      </c>
      <c r="K69" s="1730"/>
      <c r="L69" s="1728"/>
      <c r="M69" s="518"/>
      <c r="N69" s="326"/>
      <c r="O69" s="616"/>
      <c r="P69" s="616"/>
      <c r="Q69" s="616"/>
      <c r="R69" s="1386"/>
      <c r="S69" s="1410"/>
      <c r="T69" s="661"/>
      <c r="U69" s="1411"/>
      <c r="V69" s="1362"/>
    </row>
    <row r="70" spans="2:22" ht="16.5">
      <c r="B70" s="1616">
        <f t="shared" si="13"/>
        <v>8.0699999999999985</v>
      </c>
      <c r="C70" s="1555"/>
      <c r="D70" s="1508" t="str">
        <f>+'SUMINISTRO RS'!D70</f>
        <v>Tuerca-Ojo para Perno de 16 mm Ø</v>
      </c>
      <c r="E70" s="1508"/>
      <c r="F70" s="1579"/>
      <c r="G70" s="1541" t="str">
        <f>+'SUMINISTRO RS'!G70</f>
        <v>u</v>
      </c>
      <c r="H70" s="1566">
        <f>+'SUMINISTRO RS'!H70</f>
        <v>58</v>
      </c>
      <c r="I70" s="1501">
        <v>0.48</v>
      </c>
      <c r="J70" s="1542">
        <f t="shared" si="12"/>
        <v>27.84</v>
      </c>
      <c r="K70" s="1727"/>
      <c r="L70" s="1728"/>
      <c r="M70" s="518"/>
      <c r="N70" s="326"/>
      <c r="O70" s="616"/>
      <c r="P70" s="616"/>
      <c r="Q70" s="616"/>
      <c r="R70" s="1386"/>
      <c r="S70" s="1410"/>
      <c r="T70" s="661"/>
      <c r="U70" s="1411"/>
      <c r="V70" s="1362"/>
    </row>
    <row r="71" spans="2:22" ht="16.5">
      <c r="B71" s="1616">
        <f t="shared" si="13"/>
        <v>8.0799999999999983</v>
      </c>
      <c r="C71" s="1555"/>
      <c r="D71" s="1508" t="str">
        <f>+'SUMINISTRO RS'!D71</f>
        <v>Fleje de acero inoxidable de 19 mm provisto de hebilla</v>
      </c>
      <c r="E71" s="1508"/>
      <c r="F71" s="1579"/>
      <c r="G71" s="1541" t="str">
        <f>+'SUMINISTRO RS'!G71</f>
        <v>m</v>
      </c>
      <c r="H71" s="1566">
        <f>+'SUMINISTRO RS'!H71</f>
        <v>2</v>
      </c>
      <c r="I71" s="1566">
        <v>0.45</v>
      </c>
      <c r="J71" s="1542">
        <f t="shared" si="12"/>
        <v>0.9</v>
      </c>
      <c r="K71" s="1727"/>
      <c r="L71" s="1728"/>
      <c r="M71" s="518"/>
      <c r="N71" s="326"/>
      <c r="O71" s="616"/>
      <c r="P71" s="616"/>
      <c r="Q71" s="616"/>
      <c r="R71" s="1386"/>
      <c r="S71" s="1410"/>
      <c r="T71" s="661"/>
      <c r="U71" s="1411"/>
      <c r="V71" s="1362"/>
    </row>
    <row r="72" spans="2:22" ht="16.5">
      <c r="B72" s="1616">
        <f t="shared" si="13"/>
        <v>8.0899999999999981</v>
      </c>
      <c r="C72" s="1555"/>
      <c r="D72" s="1508" t="str">
        <f>+'SUMINISTRO RS'!D72</f>
        <v>Arandela Cuadrada Curva de A° G°, 57 x 57 x 5 mm, Agujero de 14 mm Ø</v>
      </c>
      <c r="E72" s="1508"/>
      <c r="F72" s="1579"/>
      <c r="G72" s="1541" t="str">
        <f>+'SUMINISTRO RS'!G72</f>
        <v>u</v>
      </c>
      <c r="H72" s="1566">
        <f>+'SUMINISTRO RS'!H72</f>
        <v>296</v>
      </c>
      <c r="I72" s="1566">
        <v>7.0000000000000007E-2</v>
      </c>
      <c r="J72" s="1542">
        <f t="shared" si="12"/>
        <v>20.72</v>
      </c>
      <c r="K72" s="1727"/>
      <c r="L72" s="1728"/>
      <c r="M72" s="518"/>
      <c r="N72" s="326"/>
      <c r="O72" s="616"/>
      <c r="P72" s="616"/>
      <c r="Q72" s="616"/>
      <c r="R72" s="1386"/>
      <c r="S72" s="1410"/>
      <c r="T72" s="661"/>
      <c r="U72" s="1411"/>
      <c r="V72" s="1362"/>
    </row>
    <row r="73" spans="2:22" ht="16.5">
      <c r="B73" s="1616">
        <f t="shared" si="13"/>
        <v>8.0999999999999979</v>
      </c>
      <c r="C73" s="1555"/>
      <c r="D73" s="1508" t="str">
        <f>+'SUMINISTRO RS'!D73</f>
        <v>Arandela Cuadrada Curva de A° G°, 57 x 57 x 5 mm, Agujero de 18 mm Ø</v>
      </c>
      <c r="E73" s="1508"/>
      <c r="F73" s="1579"/>
      <c r="G73" s="1541" t="str">
        <f>+'SUMINISTRO RS'!G73</f>
        <v>u</v>
      </c>
      <c r="H73" s="1566">
        <f>+'SUMINISTRO RS'!H73</f>
        <v>483</v>
      </c>
      <c r="I73" s="1566">
        <v>0.09</v>
      </c>
      <c r="J73" s="1542">
        <f t="shared" si="12"/>
        <v>43.47</v>
      </c>
      <c r="K73" s="1727"/>
      <c r="L73" s="1728"/>
      <c r="M73" s="518"/>
      <c r="N73" s="326"/>
      <c r="O73" s="616"/>
      <c r="P73" s="616"/>
      <c r="Q73" s="616"/>
      <c r="R73" s="1386"/>
      <c r="S73" s="1410"/>
      <c r="T73" s="661"/>
      <c r="U73" s="1411"/>
      <c r="V73" s="1362"/>
    </row>
    <row r="74" spans="2:22" ht="16.5">
      <c r="B74" s="1616">
        <f t="shared" si="13"/>
        <v>8.1099999999999977</v>
      </c>
      <c r="C74" s="1555"/>
      <c r="D74" s="1508" t="str">
        <f>+'SUMINISTRO RS'!D74</f>
        <v>Caja de derivacion para acometidas, sistema 440-22O V (10 borneras en cada barra de cobre)</v>
      </c>
      <c r="E74" s="1508"/>
      <c r="F74" s="1579"/>
      <c r="G74" s="1541" t="str">
        <f>+'SUMINISTRO RS'!G74</f>
        <v>u</v>
      </c>
      <c r="H74" s="1566">
        <f>+'SUMINISTRO RS'!H74</f>
        <v>2</v>
      </c>
      <c r="I74" s="1501">
        <v>1.05</v>
      </c>
      <c r="J74" s="1542">
        <f t="shared" si="12"/>
        <v>2.1</v>
      </c>
      <c r="K74" s="1727"/>
      <c r="L74" s="1728"/>
      <c r="M74" s="518"/>
      <c r="N74" s="326"/>
      <c r="O74" s="616"/>
      <c r="P74" s="616"/>
      <c r="Q74" s="616"/>
      <c r="R74" s="1386"/>
      <c r="S74" s="1410"/>
      <c r="T74" s="661"/>
      <c r="U74" s="1411"/>
      <c r="V74" s="1362"/>
    </row>
    <row r="75" spans="2:22" ht="16.5">
      <c r="B75" s="1616">
        <f t="shared" si="13"/>
        <v>8.1199999999999974</v>
      </c>
      <c r="C75" s="1553"/>
      <c r="D75" s="1508" t="str">
        <f>+'SUMINISTRO RS'!D75</f>
        <v>Portalinea unipolar de AºGº, provisto de PIN de 10 mm Ø</v>
      </c>
      <c r="E75" s="1442"/>
      <c r="F75" s="1487"/>
      <c r="G75" s="1541" t="str">
        <f>+'SUMINISTRO RS'!G75</f>
        <v>u</v>
      </c>
      <c r="H75" s="1566">
        <f>+'SUMINISTRO RS'!H75</f>
        <v>300</v>
      </c>
      <c r="I75" s="1502">
        <v>0.19</v>
      </c>
      <c r="J75" s="1536">
        <f t="shared" si="12"/>
        <v>57</v>
      </c>
      <c r="K75" s="1730"/>
      <c r="L75" s="1728"/>
      <c r="M75" s="518"/>
      <c r="N75" s="326"/>
      <c r="O75" s="616"/>
      <c r="P75" s="616"/>
      <c r="Q75" s="616"/>
      <c r="R75" s="1386"/>
      <c r="S75" s="1410"/>
      <c r="T75" s="661"/>
      <c r="U75" s="1411"/>
      <c r="V75" s="1362"/>
    </row>
    <row r="76" spans="2:22" ht="16.5">
      <c r="B76" s="1616">
        <f t="shared" si="13"/>
        <v>8.1299999999999972</v>
      </c>
      <c r="C76" s="1553"/>
      <c r="D76" s="1508" t="str">
        <f>+'SUMINISTRO RS'!D76</f>
        <v>Placa de Identificación y/o codificación de Estructura y accesorios de fijación</v>
      </c>
      <c r="E76" s="1442"/>
      <c r="F76" s="1487"/>
      <c r="G76" s="1541" t="str">
        <f>+'SUMINISTRO RS'!G76</f>
        <v>u</v>
      </c>
      <c r="H76" s="1566">
        <f>+'SUMINISTRO RS'!H76</f>
        <v>9</v>
      </c>
      <c r="I76" s="1502">
        <v>0.1</v>
      </c>
      <c r="J76" s="1536">
        <f t="shared" si="12"/>
        <v>0.9</v>
      </c>
      <c r="K76" s="1730"/>
      <c r="L76" s="1728"/>
      <c r="M76" s="518"/>
      <c r="N76" s="326"/>
      <c r="O76" s="616"/>
      <c r="P76" s="616"/>
      <c r="Q76" s="616"/>
      <c r="R76" s="1386"/>
      <c r="S76" s="1410"/>
      <c r="T76" s="661"/>
      <c r="U76" s="1411"/>
      <c r="V76" s="1362"/>
    </row>
    <row r="77" spans="2:22" ht="16.5">
      <c r="B77" s="1616">
        <f t="shared" si="13"/>
        <v>8.139999999999997</v>
      </c>
      <c r="C77" s="1553"/>
      <c r="D77" s="1508" t="str">
        <f>+'SUMINISTRO RS'!D77</f>
        <v>Plantillas para Identificación y/o codificación de Postes (Peligro, Identificación y/o codificación y Fases)</v>
      </c>
      <c r="E77" s="1442"/>
      <c r="F77" s="1487"/>
      <c r="G77" s="1626" t="str">
        <f>+'SUMINISTRO RS'!G77</f>
        <v>Jgo.</v>
      </c>
      <c r="H77" s="1646">
        <f>+'SUMINISTRO RS'!H77</f>
        <v>29</v>
      </c>
      <c r="I77" s="1502">
        <v>0.22</v>
      </c>
      <c r="J77" s="1536">
        <f t="shared" si="12"/>
        <v>6.38</v>
      </c>
      <c r="K77" s="1730"/>
      <c r="L77" s="1728"/>
      <c r="M77" s="518"/>
      <c r="N77" s="326"/>
      <c r="O77" s="616"/>
      <c r="P77" s="616"/>
      <c r="Q77" s="616"/>
      <c r="R77" s="1386"/>
      <c r="S77" s="1410"/>
      <c r="T77" s="661"/>
      <c r="U77" s="1411"/>
      <c r="V77" s="1362"/>
    </row>
    <row r="78" spans="2:22" ht="16.5">
      <c r="B78" s="1622"/>
      <c r="C78" s="1630"/>
      <c r="D78" s="1608"/>
      <c r="E78" s="1608"/>
      <c r="F78" s="1609" t="str">
        <f>+"SUB-TOTAL   "&amp;B63&amp;":  "</f>
        <v xml:space="preserve">SUB-TOTAL   8:  </v>
      </c>
      <c r="G78" s="1626"/>
      <c r="H78" s="1646"/>
      <c r="I78" s="1611"/>
      <c r="J78" s="1623">
        <f>+SUM(J63:J77)</f>
        <v>412.02</v>
      </c>
      <c r="K78" s="1729"/>
      <c r="L78" s="1728"/>
      <c r="M78" s="518"/>
      <c r="N78" s="326"/>
      <c r="O78" s="616"/>
      <c r="P78" s="616"/>
      <c r="Q78" s="616"/>
      <c r="R78" s="1386"/>
      <c r="S78" s="307"/>
      <c r="T78" s="661"/>
      <c r="U78" s="324"/>
      <c r="V78" s="1362"/>
    </row>
    <row r="79" spans="2:22" ht="16.5">
      <c r="B79" s="1615">
        <f>1+B63</f>
        <v>9</v>
      </c>
      <c r="C79" s="1555"/>
      <c r="D79" s="1575" t="s">
        <v>172</v>
      </c>
      <c r="E79" s="1508"/>
      <c r="F79" s="1579"/>
      <c r="G79" s="1541"/>
      <c r="H79" s="1566"/>
      <c r="I79" s="1566"/>
      <c r="J79" s="1542"/>
      <c r="K79" s="1727"/>
      <c r="L79" s="1728"/>
      <c r="M79" s="518"/>
      <c r="N79" s="326"/>
      <c r="O79" s="616"/>
      <c r="P79" s="616"/>
      <c r="Q79" s="616"/>
      <c r="R79" s="1386"/>
      <c r="S79" s="307"/>
      <c r="T79" s="661"/>
      <c r="U79" s="324"/>
      <c r="V79" s="1362"/>
    </row>
    <row r="80" spans="2:22" ht="16.5">
      <c r="B80" s="1616">
        <f t="shared" ref="B80:B86" si="14">+B79+0.01</f>
        <v>9.01</v>
      </c>
      <c r="C80" s="1555"/>
      <c r="D80" s="1508" t="str">
        <f>+'SUMINISTRO RS'!D80</f>
        <v>Electrodo de Acero Recubierto de Cobre de 16 mm Ø x 2,40 m</v>
      </c>
      <c r="E80" s="1442"/>
      <c r="F80" s="1487"/>
      <c r="G80" s="1541" t="str">
        <f>+'SUMINISTRO RS'!G80</f>
        <v>u</v>
      </c>
      <c r="H80" s="1566">
        <f>+'SUMINISTRO RS'!H80</f>
        <v>72</v>
      </c>
      <c r="I80" s="1502">
        <v>2.59</v>
      </c>
      <c r="J80" s="1542">
        <f t="shared" ref="J80:J86" si="15">+ROUND(I80*H80,2)</f>
        <v>186.48</v>
      </c>
      <c r="K80" s="1727"/>
      <c r="L80" s="1728"/>
      <c r="M80" s="518"/>
      <c r="N80" s="326"/>
      <c r="O80" s="616"/>
      <c r="P80" s="616"/>
      <c r="Q80" s="616"/>
      <c r="R80" s="1386"/>
      <c r="S80" s="1410"/>
      <c r="T80" s="661"/>
      <c r="U80" s="1411"/>
      <c r="V80" s="1362"/>
    </row>
    <row r="81" spans="2:22" ht="16.5">
      <c r="B81" s="1616">
        <f t="shared" si="14"/>
        <v>9.02</v>
      </c>
      <c r="C81" s="1555"/>
      <c r="D81" s="1508" t="str">
        <f>+'SUMINISTRO RS'!D81</f>
        <v>Conector bimetálico para Al 25 mm2 y Cobre de 25 mm2, tipo cuña</v>
      </c>
      <c r="E81" s="1442"/>
      <c r="F81" s="1487"/>
      <c r="G81" s="1541" t="str">
        <f>+'SUMINISTRO RS'!G81</f>
        <v>u</v>
      </c>
      <c r="H81" s="1566">
        <f>+'SUMINISTRO RS'!H81</f>
        <v>72</v>
      </c>
      <c r="I81" s="1502">
        <v>0.02</v>
      </c>
      <c r="J81" s="1542">
        <f t="shared" si="15"/>
        <v>1.44</v>
      </c>
      <c r="K81" s="1727"/>
      <c r="L81" s="1728"/>
      <c r="M81" s="518"/>
      <c r="N81" s="326"/>
      <c r="O81" s="616"/>
      <c r="P81" s="616"/>
      <c r="Q81" s="616"/>
      <c r="R81" s="1386"/>
      <c r="S81" s="1410"/>
      <c r="T81" s="661"/>
      <c r="U81" s="1411"/>
      <c r="V81" s="1362"/>
    </row>
    <row r="82" spans="2:22" ht="16.5">
      <c r="B82" s="1616">
        <f t="shared" si="14"/>
        <v>9.0299999999999994</v>
      </c>
      <c r="C82" s="1555"/>
      <c r="D82" s="1508" t="str">
        <f>+'SUMINISTRO RS'!D82</f>
        <v>Conector de bronce para electrodo de 16 mm ø y Cable de Acero con Recubrimiento Metalúrgico de Cobre de 4 AWG (21,15 mm2)</v>
      </c>
      <c r="E82" s="1873"/>
      <c r="F82" s="1874"/>
      <c r="G82" s="1541" t="str">
        <f>+'SUMINISTRO RS'!G82</f>
        <v>u</v>
      </c>
      <c r="H82" s="1566">
        <f>+'SUMINISTRO RS'!H82</f>
        <v>72</v>
      </c>
      <c r="I82" s="1502">
        <v>0.24</v>
      </c>
      <c r="J82" s="1542">
        <f t="shared" si="15"/>
        <v>17.28</v>
      </c>
      <c r="K82" s="1727"/>
      <c r="L82" s="1728"/>
      <c r="M82" s="518"/>
      <c r="N82" s="326"/>
      <c r="O82" s="616"/>
      <c r="P82" s="616"/>
      <c r="Q82" s="616"/>
      <c r="R82" s="1386"/>
      <c r="S82" s="1410"/>
      <c r="T82" s="661"/>
      <c r="U82" s="1411"/>
      <c r="V82" s="1362"/>
    </row>
    <row r="83" spans="2:22" ht="16.5">
      <c r="B83" s="1616">
        <f t="shared" si="14"/>
        <v>9.0399999999999991</v>
      </c>
      <c r="C83" s="1555"/>
      <c r="D83" s="1508" t="str">
        <f>+'SUMINISTRO RS'!D83</f>
        <v>Grapa en "U" para fijar conductor de PAT a Poste de Madera</v>
      </c>
      <c r="E83" s="1442"/>
      <c r="F83" s="1487"/>
      <c r="G83" s="1541" t="str">
        <f>+'SUMINISTRO RS'!G83</f>
        <v>u</v>
      </c>
      <c r="H83" s="1566">
        <f>+'SUMINISTRO RS'!H83</f>
        <v>60</v>
      </c>
      <c r="I83" s="1502">
        <v>0.05</v>
      </c>
      <c r="J83" s="1542">
        <f t="shared" si="15"/>
        <v>3</v>
      </c>
      <c r="K83" s="1727"/>
      <c r="L83" s="1728"/>
      <c r="M83" s="518"/>
      <c r="N83" s="326"/>
      <c r="O83" s="616"/>
      <c r="P83" s="616"/>
      <c r="Q83" s="616"/>
      <c r="R83" s="1386"/>
      <c r="S83" s="1410"/>
      <c r="T83" s="661"/>
      <c r="U83" s="1411"/>
      <c r="V83" s="1362"/>
    </row>
    <row r="84" spans="2:22" ht="16.5">
      <c r="B84" s="1616">
        <f t="shared" si="14"/>
        <v>9.0499999999999989</v>
      </c>
      <c r="C84" s="1555"/>
      <c r="D84" s="1508" t="str">
        <f>+'SUMINISTRO RS'!D84</f>
        <v>Listón de madera tratada 50 x 19 mm sección, 2,7 m longitud (incluye clavos de fijación)</v>
      </c>
      <c r="E84" s="1442"/>
      <c r="F84" s="1487"/>
      <c r="G84" s="1541" t="str">
        <f>+'SUMINISTRO RS'!G84</f>
        <v>u</v>
      </c>
      <c r="H84" s="1566">
        <f>+'SUMINISTRO RS'!H84</f>
        <v>3</v>
      </c>
      <c r="I84" s="1502">
        <v>2.86</v>
      </c>
      <c r="J84" s="1542">
        <f t="shared" si="15"/>
        <v>8.58</v>
      </c>
      <c r="K84" s="1727"/>
      <c r="L84" s="1728"/>
      <c r="M84" s="518"/>
      <c r="N84" s="326"/>
      <c r="O84" s="616"/>
      <c r="P84" s="616"/>
      <c r="Q84" s="616"/>
      <c r="R84" s="1386"/>
      <c r="S84" s="1410"/>
      <c r="T84" s="661"/>
      <c r="U84" s="1411"/>
      <c r="V84" s="1362"/>
    </row>
    <row r="85" spans="2:22" ht="16.5">
      <c r="B85" s="1616">
        <f t="shared" si="14"/>
        <v>9.0599999999999987</v>
      </c>
      <c r="C85" s="1555"/>
      <c r="D85" s="1508" t="str">
        <f>+'SUMINISTRO RS'!D85</f>
        <v>Plantilla para Señalización de Poste (Puesta a Tierra)</v>
      </c>
      <c r="E85" s="1442"/>
      <c r="F85" s="1487"/>
      <c r="G85" s="1541" t="str">
        <f>+'SUMINISTRO RS'!G85</f>
        <v>u</v>
      </c>
      <c r="H85" s="1566">
        <f>+'SUMINISTRO RS'!H85</f>
        <v>72</v>
      </c>
      <c r="I85" s="1502">
        <v>0.12</v>
      </c>
      <c r="J85" s="1542">
        <f t="shared" si="15"/>
        <v>8.64</v>
      </c>
      <c r="K85" s="1727"/>
      <c r="L85" s="1728"/>
      <c r="M85" s="518"/>
      <c r="N85" s="326"/>
      <c r="O85" s="616"/>
      <c r="P85" s="616"/>
      <c r="Q85" s="616"/>
      <c r="R85" s="1386"/>
      <c r="S85" s="1410"/>
      <c r="T85" s="661"/>
      <c r="U85" s="1411"/>
      <c r="V85" s="1362"/>
    </row>
    <row r="86" spans="2:22" ht="16.5">
      <c r="B86" s="1616">
        <f t="shared" si="14"/>
        <v>9.0699999999999985</v>
      </c>
      <c r="C86" s="1555"/>
      <c r="D86" s="1508" t="str">
        <f>+'SUMINISTRO RS'!D86</f>
        <v>Tubo Plastico de PVC SAP de 19 mm ø x 0,5 m ( incluye curva de plastico de 19 mm ø x 90º)</v>
      </c>
      <c r="E86" s="1442"/>
      <c r="F86" s="1487"/>
      <c r="G86" s="1626" t="str">
        <f>+'SUMINISTRO RS'!G86</f>
        <v>u</v>
      </c>
      <c r="H86" s="1646">
        <f>+'SUMINISTRO RS'!H86</f>
        <v>68</v>
      </c>
      <c r="I86" s="1658">
        <v>0.12</v>
      </c>
      <c r="J86" s="1542">
        <f t="shared" si="15"/>
        <v>8.16</v>
      </c>
      <c r="K86" s="1727"/>
      <c r="L86" s="1728"/>
      <c r="M86" s="518"/>
      <c r="N86" s="326"/>
      <c r="O86" s="616"/>
      <c r="P86" s="616"/>
      <c r="Q86" s="616"/>
      <c r="R86" s="1386"/>
      <c r="S86" s="1410"/>
      <c r="T86" s="661"/>
      <c r="U86" s="1411"/>
      <c r="V86" s="1362"/>
    </row>
    <row r="87" spans="2:22" ht="16.5">
      <c r="B87" s="1540"/>
      <c r="C87" s="1555"/>
      <c r="D87" s="1508"/>
      <c r="E87" s="1508"/>
      <c r="F87" s="1605" t="str">
        <f>+"SUB-TOTAL   "&amp;B79&amp;":  "</f>
        <v xml:space="preserve">SUB-TOTAL   9:  </v>
      </c>
      <c r="G87" s="1541"/>
      <c r="H87" s="1566"/>
      <c r="I87" s="1566"/>
      <c r="J87" s="1619">
        <f>+SUM(J80:J86)</f>
        <v>233.58</v>
      </c>
      <c r="K87" s="1729"/>
      <c r="L87" s="1728"/>
      <c r="M87" s="518"/>
      <c r="N87" s="326"/>
      <c r="O87" s="616"/>
      <c r="P87" s="616"/>
      <c r="Q87" s="616"/>
      <c r="R87" s="1386"/>
      <c r="S87" s="307"/>
      <c r="T87" s="661"/>
      <c r="U87" s="324"/>
      <c r="V87" s="1362"/>
    </row>
    <row r="88" spans="2:22" ht="16.5">
      <c r="B88" s="1615">
        <f>1+B79</f>
        <v>10</v>
      </c>
      <c r="C88" s="1555"/>
      <c r="D88" s="1575" t="s">
        <v>173</v>
      </c>
      <c r="E88" s="1508"/>
      <c r="F88" s="1579"/>
      <c r="G88" s="1541"/>
      <c r="H88" s="1566"/>
      <c r="I88" s="1566"/>
      <c r="J88" s="1542"/>
      <c r="K88" s="1727"/>
      <c r="L88" s="1728"/>
      <c r="M88" s="518"/>
      <c r="N88" s="326"/>
      <c r="O88" s="616"/>
      <c r="P88" s="616"/>
      <c r="Q88" s="616"/>
      <c r="R88" s="1386"/>
      <c r="S88" s="307"/>
      <c r="T88" s="661"/>
      <c r="U88" s="324"/>
      <c r="V88" s="1362"/>
    </row>
    <row r="89" spans="2:22" ht="16.5">
      <c r="B89" s="1616">
        <f t="shared" ref="B89:B101" si="16">+B88+0.01</f>
        <v>10.01</v>
      </c>
      <c r="C89" s="1555"/>
      <c r="D89" s="1508" t="str">
        <f>+'SUMINISTRO RS'!D89</f>
        <v>Tubo de AºGº standard / redondo de 19 mm Ø x 1,5 mm x 2,5 m, provisto de codo</v>
      </c>
      <c r="E89" s="1508"/>
      <c r="F89" s="1579"/>
      <c r="G89" s="1541" t="str">
        <f>+'SUMINISTRO RS'!G89</f>
        <v>u</v>
      </c>
      <c r="H89" s="1566">
        <f>+'SUMINISTRO RS'!H89</f>
        <v>147</v>
      </c>
      <c r="I89" s="1502">
        <v>1.59</v>
      </c>
      <c r="J89" s="1542">
        <f t="shared" ref="J89:J101" si="17">+ROUND(I89*H89,2)</f>
        <v>233.73</v>
      </c>
      <c r="K89" s="1727"/>
      <c r="L89" s="1728"/>
      <c r="M89" s="518"/>
      <c r="N89" s="326"/>
      <c r="O89" s="616"/>
      <c r="P89" s="616"/>
      <c r="Q89" s="616"/>
      <c r="R89" s="1386"/>
      <c r="S89" s="1410"/>
      <c r="T89" s="661"/>
      <c r="U89" s="1411"/>
      <c r="V89" s="1362"/>
    </row>
    <row r="90" spans="2:22" ht="16.5">
      <c r="B90" s="1616">
        <f t="shared" si="16"/>
        <v>10.02</v>
      </c>
      <c r="C90" s="1555"/>
      <c r="D90" s="1508" t="str">
        <f>+'SUMINISTRO RS'!D90</f>
        <v>Tubo de AºGº standard / redondo de 19 mm Ø x 1,5 mm x 4,0 m, provisto de codo</v>
      </c>
      <c r="E90" s="1508"/>
      <c r="F90" s="1579"/>
      <c r="G90" s="1541" t="str">
        <f>+'SUMINISTRO RS'!G90</f>
        <v>u</v>
      </c>
      <c r="H90" s="1566">
        <f>+'SUMINISTRO RS'!H90</f>
        <v>68</v>
      </c>
      <c r="I90" s="1502">
        <v>2.21</v>
      </c>
      <c r="J90" s="1542">
        <f t="shared" si="17"/>
        <v>150.28</v>
      </c>
      <c r="K90" s="1727"/>
      <c r="L90" s="1728"/>
      <c r="M90" s="518"/>
      <c r="N90" s="326"/>
      <c r="O90" s="616"/>
      <c r="P90" s="616"/>
      <c r="Q90" s="616"/>
      <c r="R90" s="1386"/>
      <c r="S90" s="1410"/>
      <c r="T90" s="661"/>
      <c r="U90" s="1411"/>
      <c r="V90" s="1362"/>
    </row>
    <row r="91" spans="2:22" ht="16.5">
      <c r="B91" s="1616">
        <f t="shared" si="16"/>
        <v>10.029999999999999</v>
      </c>
      <c r="C91" s="1555"/>
      <c r="D91" s="1508" t="str">
        <f>+'SUMINISTRO RS'!D91</f>
        <v>Tubo de AºGº standard / redondo de 19 mm Ø x 1,5 mm x 6,0 m, provisto de codo</v>
      </c>
      <c r="E91" s="1508"/>
      <c r="F91" s="1579"/>
      <c r="G91" s="1541" t="str">
        <f>+'SUMINISTRO RS'!G91</f>
        <v>u</v>
      </c>
      <c r="H91" s="1566">
        <f>+'SUMINISTRO RS'!H91</f>
        <v>28</v>
      </c>
      <c r="I91" s="1502">
        <v>2.75</v>
      </c>
      <c r="J91" s="1542">
        <f t="shared" si="17"/>
        <v>77</v>
      </c>
      <c r="K91" s="1727"/>
      <c r="L91" s="1728"/>
      <c r="M91" s="518"/>
      <c r="N91" s="326"/>
      <c r="O91" s="616"/>
      <c r="P91" s="616"/>
      <c r="Q91" s="616"/>
      <c r="R91" s="1386"/>
      <c r="S91" s="1410"/>
      <c r="T91" s="661"/>
      <c r="U91" s="1411"/>
      <c r="V91" s="1362"/>
    </row>
    <row r="92" spans="2:22" ht="16.5">
      <c r="B92" s="1616">
        <f t="shared" si="16"/>
        <v>10.039999999999999</v>
      </c>
      <c r="C92" s="1555"/>
      <c r="D92" s="1508" t="str">
        <f>+'SUMINISTRO RS'!D92</f>
        <v>Tubo de AºGº standard / redondo de 38 mm Ø x 1,5 mm x 6,0 m, provisto de codo</v>
      </c>
      <c r="E92" s="1508"/>
      <c r="F92" s="1579"/>
      <c r="G92" s="1541" t="str">
        <f>+'SUMINISTRO RS'!G92</f>
        <v>u</v>
      </c>
      <c r="H92" s="1566">
        <f>+'SUMINISTRO RS'!H92</f>
        <v>40</v>
      </c>
      <c r="I92" s="1502">
        <v>4.7</v>
      </c>
      <c r="J92" s="1542">
        <f t="shared" si="17"/>
        <v>188</v>
      </c>
      <c r="K92" s="1727"/>
      <c r="L92" s="1728"/>
      <c r="M92" s="518"/>
      <c r="N92" s="326"/>
      <c r="O92" s="616"/>
      <c r="P92" s="616"/>
      <c r="Q92" s="616"/>
      <c r="R92" s="1386"/>
      <c r="S92" s="1410"/>
      <c r="T92" s="661"/>
      <c r="U92" s="1411"/>
      <c r="V92" s="1362"/>
    </row>
    <row r="93" spans="2:22" ht="16.5">
      <c r="B93" s="1616">
        <f t="shared" si="16"/>
        <v>10.049999999999999</v>
      </c>
      <c r="C93" s="1555"/>
      <c r="D93" s="1508" t="str">
        <f>+'SUMINISTRO RS'!D93</f>
        <v>Armella Tirafondo de 10 mm Ø x 64 mm de longitud</v>
      </c>
      <c r="E93" s="1508"/>
      <c r="F93" s="1579"/>
      <c r="G93" s="1541" t="str">
        <f>+'SUMINISTRO RS'!G93</f>
        <v>u</v>
      </c>
      <c r="H93" s="1566">
        <f>+'SUMINISTRO RS'!H93</f>
        <v>39</v>
      </c>
      <c r="I93" s="1502">
        <v>0.01</v>
      </c>
      <c r="J93" s="1542">
        <f t="shared" si="17"/>
        <v>0.39</v>
      </c>
      <c r="K93" s="1727"/>
      <c r="L93" s="1728"/>
      <c r="M93" s="518"/>
      <c r="N93" s="326"/>
      <c r="O93" s="616"/>
      <c r="P93" s="616"/>
      <c r="Q93" s="616"/>
      <c r="R93" s="1386"/>
      <c r="S93" s="1410"/>
      <c r="T93" s="661"/>
      <c r="U93" s="1411"/>
      <c r="V93" s="1362"/>
    </row>
    <row r="94" spans="2:22" ht="16.5">
      <c r="B94" s="1616">
        <f t="shared" si="16"/>
        <v>10.059999999999999</v>
      </c>
      <c r="C94" s="1555"/>
      <c r="D94" s="1508" t="str">
        <f>+'SUMINISTRO RS'!D94</f>
        <v>Tarugo de cedro de 13 mm x 50 mm</v>
      </c>
      <c r="E94" s="1508"/>
      <c r="F94" s="1579"/>
      <c r="G94" s="1541" t="str">
        <f>+'SUMINISTRO RS'!G94</f>
        <v>u</v>
      </c>
      <c r="H94" s="1566">
        <f>+'SUMINISTRO RS'!H94</f>
        <v>39</v>
      </c>
      <c r="I94" s="1502">
        <v>0.08</v>
      </c>
      <c r="J94" s="1542">
        <f t="shared" si="17"/>
        <v>3.12</v>
      </c>
      <c r="K94" s="1727"/>
      <c r="L94" s="1728"/>
      <c r="M94" s="518"/>
      <c r="N94" s="326"/>
      <c r="O94" s="616"/>
      <c r="P94" s="616"/>
      <c r="Q94" s="616"/>
      <c r="R94" s="1386"/>
      <c r="S94" s="1410"/>
      <c r="T94" s="661"/>
      <c r="U94" s="1411"/>
      <c r="V94" s="1362"/>
    </row>
    <row r="95" spans="2:22" ht="16.5">
      <c r="B95" s="1616">
        <f t="shared" si="16"/>
        <v>10.069999999999999</v>
      </c>
      <c r="C95" s="1555"/>
      <c r="D95" s="1508" t="str">
        <f>+'SUMINISTRO RS'!D95</f>
        <v>Alambre de Acero N° 12 para Entorchado</v>
      </c>
      <c r="E95" s="1508"/>
      <c r="F95" s="1579"/>
      <c r="G95" s="1541" t="str">
        <f>+'SUMINISTRO RS'!G95</f>
        <v>m</v>
      </c>
      <c r="H95" s="1566">
        <f>+'SUMINISTRO RS'!H95</f>
        <v>933</v>
      </c>
      <c r="I95" s="1501">
        <v>0.02</v>
      </c>
      <c r="J95" s="1542">
        <f t="shared" si="17"/>
        <v>18.66</v>
      </c>
      <c r="K95" s="1727"/>
      <c r="L95" s="1728"/>
      <c r="M95" s="518"/>
      <c r="N95" s="326"/>
      <c r="O95" s="616"/>
      <c r="P95" s="616"/>
      <c r="Q95" s="616"/>
      <c r="R95" s="1386"/>
      <c r="S95" s="1410"/>
      <c r="T95" s="661"/>
      <c r="U95" s="1411"/>
      <c r="V95" s="1362"/>
    </row>
    <row r="96" spans="2:22" ht="16.5">
      <c r="B96" s="1616">
        <f t="shared" si="16"/>
        <v>10.079999999999998</v>
      </c>
      <c r="C96" s="1555"/>
      <c r="D96" s="1508" t="str">
        <f>+'SUMINISTRO RS'!D96</f>
        <v>Conector Bimetálico para Al 25 mm2 / Cu 4-10 mm2, para Neutro Desnudo, tipo Cuña</v>
      </c>
      <c r="E96" s="1508"/>
      <c r="F96" s="1579"/>
      <c r="G96" s="1541" t="str">
        <f>+'SUMINISTRO RS'!G96</f>
        <v>u</v>
      </c>
      <c r="H96" s="1566">
        <f>+'SUMINISTRO RS'!H96</f>
        <v>175</v>
      </c>
      <c r="I96" s="1502">
        <v>0.02</v>
      </c>
      <c r="J96" s="1542">
        <f t="shared" si="17"/>
        <v>3.5</v>
      </c>
      <c r="K96" s="1727"/>
      <c r="L96" s="1728"/>
      <c r="M96" s="518"/>
      <c r="N96" s="326"/>
      <c r="O96" s="616"/>
      <c r="P96" s="616"/>
      <c r="Q96" s="616"/>
      <c r="R96" s="1386"/>
      <c r="S96" s="1410"/>
      <c r="T96" s="661"/>
      <c r="U96" s="1411"/>
      <c r="V96" s="1362"/>
    </row>
    <row r="97" spans="2:22" ht="16.5">
      <c r="B97" s="1616">
        <f t="shared" si="16"/>
        <v>10.089999999999998</v>
      </c>
      <c r="C97" s="1555"/>
      <c r="D97" s="1508" t="str">
        <f>+'SUMINISTRO RS'!D97</f>
        <v>Conector Bimetalico Aislado, para Al 16-35 mm2 / Cu 4-10 mm2, para Fase Aislada, tipo Perforación</v>
      </c>
      <c r="E97" s="1508"/>
      <c r="F97" s="1579"/>
      <c r="G97" s="1541" t="str">
        <f>+'SUMINISTRO RS'!G97</f>
        <v>u</v>
      </c>
      <c r="H97" s="1566">
        <f>+'SUMINISTRO RS'!H97</f>
        <v>175</v>
      </c>
      <c r="I97" s="1502">
        <v>0.03</v>
      </c>
      <c r="J97" s="1542">
        <f t="shared" si="17"/>
        <v>5.25</v>
      </c>
      <c r="K97" s="1727"/>
      <c r="L97" s="1728"/>
      <c r="M97" s="518"/>
      <c r="N97" s="326"/>
      <c r="O97" s="616"/>
      <c r="P97" s="616"/>
      <c r="Q97" s="616"/>
      <c r="R97" s="1386"/>
      <c r="S97" s="1410"/>
      <c r="T97" s="661"/>
      <c r="U97" s="1411"/>
      <c r="V97" s="1362"/>
    </row>
    <row r="98" spans="2:22" ht="16.5">
      <c r="B98" s="1616">
        <f t="shared" si="16"/>
        <v>10.099999999999998</v>
      </c>
      <c r="C98" s="1555"/>
      <c r="D98" s="1508" t="str">
        <f>+'SUMINISTRO RS'!D98</f>
        <v xml:space="preserve">Templador de AºGº </v>
      </c>
      <c r="E98" s="1508"/>
      <c r="F98" s="1579"/>
      <c r="G98" s="1541" t="str">
        <f>+'SUMINISTRO RS'!G98</f>
        <v>u</v>
      </c>
      <c r="H98" s="1566">
        <f>+'SUMINISTRO RS'!H98</f>
        <v>350</v>
      </c>
      <c r="I98" s="1502">
        <v>0.04</v>
      </c>
      <c r="J98" s="1542">
        <f t="shared" si="17"/>
        <v>14</v>
      </c>
      <c r="K98" s="1727"/>
      <c r="L98" s="1728"/>
      <c r="M98" s="518"/>
      <c r="N98" s="326"/>
      <c r="O98" s="616"/>
      <c r="P98" s="616"/>
      <c r="Q98" s="616"/>
      <c r="R98" s="1386"/>
      <c r="S98" s="1410"/>
      <c r="T98" s="661"/>
      <c r="U98" s="1411"/>
      <c r="V98" s="1362"/>
    </row>
    <row r="99" spans="2:22" ht="16.5">
      <c r="B99" s="1616">
        <f t="shared" si="16"/>
        <v>10.109999999999998</v>
      </c>
      <c r="C99" s="1555"/>
      <c r="D99" s="1508" t="str">
        <f>+'SUMINISTRO RS'!D99</f>
        <v>Correa Plástica de Amarre, color negro</v>
      </c>
      <c r="E99" s="1508"/>
      <c r="F99" s="1579"/>
      <c r="G99" s="1541" t="str">
        <f>+'SUMINISTRO RS'!G99</f>
        <v>u</v>
      </c>
      <c r="H99" s="1566">
        <f>+'SUMINISTRO RS'!H99</f>
        <v>756</v>
      </c>
      <c r="I99" s="1502">
        <v>0.01</v>
      </c>
      <c r="J99" s="1542">
        <f t="shared" si="17"/>
        <v>7.56</v>
      </c>
      <c r="K99" s="1727"/>
      <c r="L99" s="1728"/>
      <c r="M99" s="518"/>
      <c r="N99" s="326"/>
      <c r="O99" s="616"/>
      <c r="P99" s="616"/>
      <c r="Q99" s="616"/>
      <c r="R99" s="1386"/>
      <c r="S99" s="1410"/>
      <c r="T99" s="661"/>
      <c r="U99" s="1411"/>
      <c r="V99" s="1362"/>
    </row>
    <row r="100" spans="2:22" ht="16.5">
      <c r="B100" s="1616">
        <f t="shared" si="16"/>
        <v>10.119999999999997</v>
      </c>
      <c r="C100" s="1555"/>
      <c r="D100" s="1508" t="str">
        <f>+'SUMINISTRO RS'!D100</f>
        <v>Caja Metálica Portamedidor, equipado con Interruptor Termomagnético de 10A</v>
      </c>
      <c r="E100" s="1508"/>
      <c r="F100" s="1579"/>
      <c r="G100" s="1541" t="str">
        <f>+'SUMINISTRO RS'!G100</f>
        <v>u</v>
      </c>
      <c r="H100" s="1566">
        <f>+'SUMINISTRO RS'!H100</f>
        <v>175</v>
      </c>
      <c r="I100" s="1502">
        <v>0.51</v>
      </c>
      <c r="J100" s="1542">
        <f t="shared" si="17"/>
        <v>89.25</v>
      </c>
      <c r="K100" s="1727"/>
      <c r="L100" s="1728"/>
      <c r="M100" s="518"/>
      <c r="N100" s="326"/>
      <c r="O100" s="616"/>
      <c r="P100" s="616"/>
      <c r="Q100" s="616"/>
      <c r="R100" s="1386"/>
      <c r="S100" s="1410"/>
      <c r="T100" s="661"/>
      <c r="U100" s="1411"/>
      <c r="V100" s="1362"/>
    </row>
    <row r="101" spans="2:22" ht="16.5">
      <c r="B101" s="1616">
        <f t="shared" si="16"/>
        <v>10.129999999999997</v>
      </c>
      <c r="C101" s="1555"/>
      <c r="D101" s="1508" t="str">
        <f>+'SUMINISTRO RS'!D101</f>
        <v>Medidor Monofásico de Energía Activa, tipo Electrónico con Micro Procesador de 220 V; 2 hilos, 10-40 A, 60 Hz, Clase 1</v>
      </c>
      <c r="E101" s="1508"/>
      <c r="F101" s="1579"/>
      <c r="G101" s="1541" t="str">
        <f>+'SUMINISTRO RS'!G101</f>
        <v>u</v>
      </c>
      <c r="H101" s="1566">
        <f>+'SUMINISTRO RS'!H101</f>
        <v>175</v>
      </c>
      <c r="I101" s="1502">
        <v>0.95</v>
      </c>
      <c r="J101" s="1542">
        <f t="shared" si="17"/>
        <v>166.25</v>
      </c>
      <c r="K101" s="1727"/>
      <c r="L101" s="1728"/>
      <c r="M101" s="518"/>
      <c r="N101" s="326"/>
      <c r="O101" s="616"/>
      <c r="P101" s="616"/>
      <c r="Q101" s="616"/>
      <c r="R101" s="1386"/>
      <c r="S101" s="1410"/>
      <c r="T101" s="661"/>
      <c r="U101" s="1411"/>
      <c r="V101" s="1362"/>
    </row>
    <row r="102" spans="2:22" ht="16.5">
      <c r="B102" s="1464"/>
      <c r="C102" s="1553"/>
      <c r="D102" s="1442"/>
      <c r="E102" s="1442"/>
      <c r="F102" s="1554" t="str">
        <f>+"SUB-TOTAL   "&amp;B88&amp;":  "</f>
        <v xml:space="preserve">SUB-TOTAL   10:  </v>
      </c>
      <c r="G102" s="1537"/>
      <c r="H102" s="1538"/>
      <c r="I102" s="1538"/>
      <c r="J102" s="1539">
        <f>+SUM(J89:J101)</f>
        <v>956.9899999999999</v>
      </c>
      <c r="K102" s="1423"/>
      <c r="L102" s="1423"/>
      <c r="M102" s="1423"/>
      <c r="N102" s="323"/>
      <c r="O102" s="662"/>
      <c r="P102" s="662"/>
      <c r="Q102" s="662"/>
      <c r="R102" s="662"/>
      <c r="S102" s="520"/>
      <c r="T102" s="661"/>
      <c r="U102" s="324"/>
      <c r="V102" s="1362"/>
    </row>
    <row r="103" spans="2:22" ht="16.5">
      <c r="B103" s="1559"/>
      <c r="C103" s="1559"/>
      <c r="D103" s="1561" t="s">
        <v>374</v>
      </c>
      <c r="E103" s="1560"/>
      <c r="F103" s="1560"/>
      <c r="G103" s="1562"/>
      <c r="H103" s="1563"/>
      <c r="I103" s="1500"/>
      <c r="J103" s="1667">
        <f>+ROUND(SUM(J10:J102)/2,2)</f>
        <v>39859.51</v>
      </c>
      <c r="K103" s="1425"/>
      <c r="L103" s="1425"/>
      <c r="M103" s="1425"/>
      <c r="T103" s="325"/>
      <c r="U103" s="510"/>
    </row>
    <row r="104" spans="2:22" ht="14.25">
      <c r="B104" s="511"/>
      <c r="C104" s="512"/>
      <c r="D104" s="512"/>
      <c r="E104" s="322"/>
      <c r="F104" s="322"/>
      <c r="G104" s="325"/>
      <c r="H104" s="526"/>
      <c r="I104" s="526"/>
      <c r="J104" s="322"/>
      <c r="K104" s="322"/>
      <c r="L104" s="322"/>
      <c r="M104" s="322"/>
    </row>
    <row r="105" spans="2:22" ht="14.25">
      <c r="B105" s="512"/>
      <c r="C105" s="512"/>
      <c r="D105" s="512"/>
      <c r="E105" s="322"/>
      <c r="F105" s="322"/>
      <c r="G105" s="325"/>
      <c r="H105" s="526"/>
      <c r="I105" s="526"/>
      <c r="J105" s="1717">
        <f>+J102+J87+J78+J62+J48+J39+J33+J22+J15+J12</f>
        <v>39859.509999999995</v>
      </c>
      <c r="K105" s="1418"/>
      <c r="L105" s="1418"/>
      <c r="M105" s="1418"/>
      <c r="N105" s="582"/>
    </row>
    <row r="106" spans="2:22">
      <c r="I106" s="1725" t="b">
        <f>+SUM(H10:H101)=SUM('SUMINISTRO RS'!H10:H101)</f>
        <v>1</v>
      </c>
      <c r="J106" s="1419" t="b">
        <f>J105=J103</f>
        <v>1</v>
      </c>
      <c r="K106" s="1419"/>
      <c r="L106" s="1419"/>
      <c r="M106" s="1419"/>
      <c r="N106" s="574"/>
    </row>
    <row r="107" spans="2:22">
      <c r="J107" s="1420"/>
      <c r="K107" s="1420"/>
      <c r="L107" s="1420"/>
      <c r="M107" s="1420"/>
    </row>
    <row r="108" spans="2:22">
      <c r="B108" s="322"/>
      <c r="C108" s="322"/>
      <c r="D108" s="322"/>
      <c r="E108" s="322"/>
      <c r="F108" s="322"/>
      <c r="G108" s="325"/>
      <c r="H108" s="526"/>
      <c r="I108" s="528"/>
      <c r="J108" s="1418"/>
      <c r="K108" s="1418"/>
      <c r="L108" s="1418"/>
      <c r="M108" s="1418"/>
    </row>
    <row r="109" spans="2:22">
      <c r="B109" s="322"/>
      <c r="C109" s="322"/>
      <c r="D109" s="322"/>
      <c r="E109" s="322"/>
      <c r="F109" s="322"/>
      <c r="G109" s="325"/>
      <c r="H109" s="526"/>
      <c r="I109" s="528"/>
      <c r="J109" s="322"/>
      <c r="K109" s="322"/>
      <c r="L109" s="322"/>
      <c r="M109" s="322"/>
    </row>
  </sheetData>
  <mergeCells count="1">
    <mergeCell ref="C7:F7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75" orientation="portrait" r:id="rId1"/>
  <rowBreaks count="1" manualBreakCount="1">
    <brk id="54" min="1" max="9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N50"/>
  <sheetViews>
    <sheetView workbookViewId="0"/>
  </sheetViews>
  <sheetFormatPr baseColWidth="10" defaultColWidth="9.33203125" defaultRowHeight="12.75"/>
  <sheetData>
    <row r="2" spans="2:14">
      <c r="B2" s="405"/>
      <c r="C2" s="406"/>
      <c r="D2" s="406"/>
      <c r="E2" s="406"/>
      <c r="F2" s="406"/>
      <c r="G2" s="406"/>
      <c r="H2" s="406"/>
      <c r="I2" s="406"/>
      <c r="J2" s="407"/>
    </row>
    <row r="3" spans="2:14" ht="26.25">
      <c r="B3" s="408" t="s">
        <v>178</v>
      </c>
      <c r="C3" s="409"/>
      <c r="D3" s="409"/>
      <c r="E3" s="409"/>
      <c r="F3" s="409"/>
      <c r="G3" s="409"/>
      <c r="H3" s="409"/>
      <c r="I3" s="409"/>
      <c r="J3" s="410"/>
    </row>
    <row r="4" spans="2:14" ht="20.25">
      <c r="B4" s="411"/>
      <c r="C4" s="412"/>
      <c r="D4" s="412"/>
      <c r="E4" s="412"/>
      <c r="F4" s="412"/>
      <c r="G4" s="412"/>
      <c r="H4" s="412"/>
      <c r="I4" s="412"/>
      <c r="J4" s="413"/>
    </row>
    <row r="5" spans="2:14">
      <c r="B5" s="257"/>
      <c r="C5" s="258"/>
      <c r="D5" s="258"/>
      <c r="E5" s="258"/>
      <c r="F5" s="258"/>
      <c r="G5" s="258"/>
      <c r="H5" s="258"/>
      <c r="I5" s="258"/>
      <c r="J5" s="414"/>
    </row>
    <row r="6" spans="2:14" ht="18">
      <c r="B6" s="365"/>
      <c r="C6" s="368" t="s">
        <v>123</v>
      </c>
      <c r="D6" s="369"/>
      <c r="E6" s="369"/>
      <c r="F6" s="369"/>
      <c r="G6" s="369"/>
      <c r="H6" s="369"/>
      <c r="I6" s="369"/>
      <c r="J6" s="370"/>
    </row>
    <row r="7" spans="2:14" ht="409.5">
      <c r="B7" s="365"/>
      <c r="C7" s="1880" t="s">
        <v>546</v>
      </c>
      <c r="D7" s="1880"/>
      <c r="E7" s="1880"/>
      <c r="F7" s="1880"/>
      <c r="G7" s="1880"/>
      <c r="H7" s="1880"/>
      <c r="I7" s="1880"/>
      <c r="J7" s="1881"/>
    </row>
    <row r="8" spans="2:14" ht="20.25">
      <c r="B8" s="365"/>
      <c r="C8" s="371"/>
      <c r="D8" s="366"/>
      <c r="E8" s="366"/>
      <c r="F8" s="366"/>
      <c r="G8" s="366"/>
      <c r="H8" s="1828"/>
      <c r="I8" s="366"/>
      <c r="J8" s="367"/>
    </row>
    <row r="9" spans="2:14" ht="18">
      <c r="B9" s="259"/>
      <c r="C9" s="415" t="s">
        <v>179</v>
      </c>
      <c r="D9" s="416"/>
      <c r="E9" s="416"/>
      <c r="F9" s="416"/>
      <c r="G9" s="416"/>
      <c r="H9" s="416"/>
      <c r="I9" s="416"/>
      <c r="J9" s="417"/>
    </row>
    <row r="10" spans="2:14" ht="18">
      <c r="B10" s="259"/>
      <c r="C10" s="372" t="s">
        <v>1005</v>
      </c>
      <c r="D10" s="418" t="e">
        <f>+'RESUMEN RS'!F21</f>
        <v>#REF!</v>
      </c>
      <c r="E10" s="416"/>
      <c r="F10" s="416"/>
      <c r="G10" s="416"/>
      <c r="H10" s="416"/>
      <c r="I10" s="416"/>
      <c r="J10" s="419"/>
      <c r="L10" s="193"/>
      <c r="M10" s="1012" t="e">
        <f>D10=SUM(G13:G25)</f>
        <v>#REF!</v>
      </c>
      <c r="N10" s="1796" t="e">
        <f>D10='RESUMEN RS'!F21</f>
        <v>#REF!</v>
      </c>
    </row>
    <row r="11" spans="2:14">
      <c r="B11" s="259"/>
      <c r="C11" s="416"/>
      <c r="D11" s="416"/>
      <c r="E11" s="416"/>
      <c r="F11" s="416"/>
      <c r="G11" s="416"/>
      <c r="H11" s="416"/>
      <c r="I11" s="416"/>
      <c r="J11" s="417"/>
    </row>
    <row r="12" spans="2:14" ht="60">
      <c r="B12" s="420" t="s">
        <v>195</v>
      </c>
      <c r="C12" s="421" t="s">
        <v>24</v>
      </c>
      <c r="D12" s="422" t="s">
        <v>180</v>
      </c>
      <c r="E12" s="421" t="s">
        <v>26</v>
      </c>
      <c r="F12" s="423" t="s">
        <v>274</v>
      </c>
      <c r="G12" s="421" t="s">
        <v>27</v>
      </c>
      <c r="H12" s="421" t="s">
        <v>28</v>
      </c>
      <c r="I12" s="424" t="s">
        <v>29</v>
      </c>
      <c r="J12" s="425" t="s">
        <v>30</v>
      </c>
    </row>
    <row r="13" spans="2:14" ht="14.25">
      <c r="B13" s="587">
        <v>1</v>
      </c>
      <c r="C13" s="586" t="s">
        <v>972</v>
      </c>
      <c r="D13" s="1675" t="s">
        <v>976</v>
      </c>
      <c r="E13" s="428" t="s">
        <v>480</v>
      </c>
      <c r="F13" s="1004" t="s">
        <v>480</v>
      </c>
      <c r="G13" s="1685">
        <f>+'SUMINISTRO RS'!J12</f>
        <v>88784.34</v>
      </c>
      <c r="H13" s="429" t="e">
        <f>ROUND(G13/$D$10,3)</f>
        <v>#REF!</v>
      </c>
      <c r="I13" s="1682">
        <f>ROUND(G13/SUM($G$13:$G$14),4)</f>
        <v>0.92449999999999999</v>
      </c>
      <c r="J13" s="1023" t="e">
        <f>+ROUND(SUM(H13:H14),3)</f>
        <v>#REF!</v>
      </c>
      <c r="N13" s="585"/>
    </row>
    <row r="14" spans="2:14" ht="14.25">
      <c r="B14" s="587"/>
      <c r="C14" s="586" t="s">
        <v>978</v>
      </c>
      <c r="D14" s="588" t="s">
        <v>975</v>
      </c>
      <c r="E14" s="1014" t="s">
        <v>368</v>
      </c>
      <c r="F14" s="441"/>
      <c r="G14" s="1685">
        <f>+'SUMINISTRO RS'!J15</f>
        <v>7250.94</v>
      </c>
      <c r="H14" s="429" t="e">
        <f>ROUND(G14/$D$10,3)</f>
        <v>#REF!</v>
      </c>
      <c r="I14" s="1016">
        <f>ROUND(G14/SUM($G$13:$G$14),4)</f>
        <v>7.5499999999999998E-2</v>
      </c>
      <c r="J14" s="1015"/>
      <c r="N14" s="585"/>
    </row>
    <row r="15" spans="2:14" ht="15">
      <c r="B15" s="433">
        <v>2</v>
      </c>
      <c r="C15" s="434" t="s">
        <v>142</v>
      </c>
      <c r="D15" s="1018" t="s">
        <v>488</v>
      </c>
      <c r="E15" s="435" t="s">
        <v>181</v>
      </c>
      <c r="F15" s="452" t="s">
        <v>181</v>
      </c>
      <c r="G15" s="1686">
        <f>+'SUMINISTRO RS'!J22</f>
        <v>70734.599999999991</v>
      </c>
      <c r="H15" s="436" t="e">
        <f>ROUND(G15/$D$10,3)</f>
        <v>#REF!</v>
      </c>
      <c r="I15" s="430">
        <f>ROUND(G15/SUM($G$15:$G$16),4)</f>
        <v>0.64890000000000003</v>
      </c>
      <c r="J15" s="437" t="e">
        <f>+ROUND(SUM(H15:H16),3)</f>
        <v>#REF!</v>
      </c>
      <c r="L15" s="431"/>
      <c r="M15" s="432"/>
      <c r="N15" s="585"/>
    </row>
    <row r="16" spans="2:14" ht="15">
      <c r="B16" s="438"/>
      <c r="C16" s="439" t="s">
        <v>173</v>
      </c>
      <c r="D16" s="1683" t="s">
        <v>488</v>
      </c>
      <c r="E16" s="441" t="s">
        <v>182</v>
      </c>
      <c r="F16" s="1889"/>
      <c r="G16" s="1687">
        <f>+'SUMINISTRO RS'!J102</f>
        <v>38276.71</v>
      </c>
      <c r="H16" s="442" t="e">
        <f t="shared" ref="H16:H21" si="0">ROUND(G16/$D$10,3)</f>
        <v>#REF!</v>
      </c>
      <c r="I16" s="443">
        <f>ROUND(G16/SUM($G$15:$G$16),4)</f>
        <v>0.35110000000000002</v>
      </c>
      <c r="J16" s="444"/>
      <c r="L16" s="431"/>
      <c r="M16" s="445"/>
      <c r="N16" s="585"/>
    </row>
    <row r="17" spans="2:14" ht="15">
      <c r="B17" s="426">
        <v>3</v>
      </c>
      <c r="C17" s="427" t="s">
        <v>145</v>
      </c>
      <c r="D17" s="1684" t="s">
        <v>486</v>
      </c>
      <c r="E17" s="428" t="s">
        <v>209</v>
      </c>
      <c r="F17" s="452" t="s">
        <v>266</v>
      </c>
      <c r="G17" s="1685">
        <f>+'SUMINISTRO RS'!J48</f>
        <v>16747.02</v>
      </c>
      <c r="H17" s="429" t="e">
        <f t="shared" si="0"/>
        <v>#REF!</v>
      </c>
      <c r="I17" s="447">
        <f>ROUND(G17/SUM($G$17:$G$22),4)</f>
        <v>0.17380000000000001</v>
      </c>
      <c r="J17" s="437" t="e">
        <f>+ROUND(SUM(H17:H22),3)</f>
        <v>#REF!</v>
      </c>
      <c r="L17" s="448"/>
      <c r="M17" s="449"/>
      <c r="N17" s="585"/>
    </row>
    <row r="18" spans="2:14" ht="15">
      <c r="B18" s="426"/>
      <c r="C18" s="427" t="s">
        <v>183</v>
      </c>
      <c r="D18" s="1684" t="s">
        <v>484</v>
      </c>
      <c r="E18" s="428" t="s">
        <v>210</v>
      </c>
      <c r="F18" s="1890"/>
      <c r="G18" s="1685">
        <f>+'SUMINISTRO RS'!J33</f>
        <v>7470.2699999999995</v>
      </c>
      <c r="H18" s="429" t="e">
        <f t="shared" si="0"/>
        <v>#REF!</v>
      </c>
      <c r="I18" s="447">
        <f>ROUND(G18/SUM($G$17:$G$22)+0.0001,4)</f>
        <v>7.7600000000000002E-2</v>
      </c>
      <c r="J18" s="450"/>
      <c r="L18" s="431"/>
      <c r="M18" s="445"/>
      <c r="N18" s="585"/>
    </row>
    <row r="19" spans="2:14" ht="15">
      <c r="B19" s="426"/>
      <c r="C19" s="427" t="s">
        <v>277</v>
      </c>
      <c r="D19" s="1684" t="s">
        <v>484</v>
      </c>
      <c r="E19" s="428" t="s">
        <v>184</v>
      </c>
      <c r="F19" s="1890"/>
      <c r="G19" s="1685">
        <f>+'SUMINISTRO RS'!J62</f>
        <v>22349.819999999996</v>
      </c>
      <c r="H19" s="429" t="e">
        <f t="shared" si="0"/>
        <v>#REF!</v>
      </c>
      <c r="I19" s="447">
        <f t="shared" ref="I19:I22" si="1">ROUND(G19/SUM($G$17:$G$22),4)</f>
        <v>0.23200000000000001</v>
      </c>
      <c r="J19" s="450"/>
      <c r="L19" s="448"/>
      <c r="M19" s="449"/>
      <c r="N19" s="1024"/>
    </row>
    <row r="20" spans="2:14" ht="15">
      <c r="B20" s="426"/>
      <c r="C20" s="427" t="s">
        <v>146</v>
      </c>
      <c r="D20" s="1684" t="s">
        <v>484</v>
      </c>
      <c r="E20" s="428" t="s">
        <v>185</v>
      </c>
      <c r="F20" s="1890"/>
      <c r="G20" s="1685">
        <f>+'SUMINISTRO RS'!J78</f>
        <v>10915.529999999999</v>
      </c>
      <c r="H20" s="429" t="e">
        <f t="shared" si="0"/>
        <v>#REF!</v>
      </c>
      <c r="I20" s="447">
        <f>ROUND(G20/SUM($G$17:$G$22),4)</f>
        <v>0.1133</v>
      </c>
      <c r="J20" s="450"/>
      <c r="L20" s="448"/>
      <c r="M20" s="449"/>
      <c r="N20" s="585"/>
    </row>
    <row r="21" spans="2:14" ht="15">
      <c r="B21" s="426"/>
      <c r="C21" s="427" t="s">
        <v>144</v>
      </c>
      <c r="D21" s="1684" t="s">
        <v>485</v>
      </c>
      <c r="E21" s="428" t="s">
        <v>266</v>
      </c>
      <c r="F21" s="1890"/>
      <c r="G21" s="1685">
        <f>+'SUMINISTRO RS'!J39</f>
        <v>31534.940000000002</v>
      </c>
      <c r="H21" s="429" t="e">
        <f t="shared" si="0"/>
        <v>#REF!</v>
      </c>
      <c r="I21" s="447">
        <f t="shared" si="1"/>
        <v>0.32740000000000002</v>
      </c>
      <c r="J21" s="450"/>
      <c r="L21" s="448"/>
      <c r="M21" s="449"/>
      <c r="N21" s="585"/>
    </row>
    <row r="22" spans="2:14" ht="15">
      <c r="B22" s="438"/>
      <c r="C22" s="439" t="s">
        <v>172</v>
      </c>
      <c r="D22" s="1683" t="s">
        <v>485</v>
      </c>
      <c r="E22" s="441" t="s">
        <v>39</v>
      </c>
      <c r="F22" s="1891"/>
      <c r="G22" s="1687">
        <f>+'SUMINISTRO RS'!J87</f>
        <v>7312.93</v>
      </c>
      <c r="H22" s="442" t="e">
        <f>ROUND(G22/$D$10,3)</f>
        <v>#REF!</v>
      </c>
      <c r="I22" s="443">
        <f t="shared" si="1"/>
        <v>7.5899999999999995E-2</v>
      </c>
      <c r="J22" s="444"/>
      <c r="L22" s="448"/>
      <c r="M22" s="449"/>
      <c r="N22" s="585"/>
    </row>
    <row r="23" spans="2:14" ht="15">
      <c r="B23" s="433">
        <v>4</v>
      </c>
      <c r="C23" s="434" t="s">
        <v>203</v>
      </c>
      <c r="D23" s="451" t="s">
        <v>490</v>
      </c>
      <c r="E23" s="452" t="s">
        <v>268</v>
      </c>
      <c r="F23" s="452" t="s">
        <v>268</v>
      </c>
      <c r="G23" s="1686">
        <f>+'MONTAJE RS'!J96</f>
        <v>273560.14</v>
      </c>
      <c r="H23" s="436" t="e">
        <f>ROUND(G23/$D$10-0.001,3)</f>
        <v>#REF!</v>
      </c>
      <c r="I23" s="430">
        <f>ROUND(G23/($G$23+$G$24),4)</f>
        <v>0.87280000000000002</v>
      </c>
      <c r="J23" s="437" t="e">
        <f>+ROUND(SUM(H23:H24),3)</f>
        <v>#REF!</v>
      </c>
      <c r="L23" s="448"/>
      <c r="M23" s="449"/>
      <c r="N23" s="585"/>
    </row>
    <row r="24" spans="2:14" ht="15">
      <c r="B24" s="438"/>
      <c r="C24" s="439" t="s">
        <v>40</v>
      </c>
      <c r="D24" s="453" t="s">
        <v>491</v>
      </c>
      <c r="E24" s="441" t="s">
        <v>269</v>
      </c>
      <c r="F24" s="441"/>
      <c r="G24" s="1687">
        <f>+TRANS.RS!J103</f>
        <v>39859.51</v>
      </c>
      <c r="H24" s="442" t="e">
        <f t="shared" ref="H24" si="2">ROUND(G24/$D$10,3)</f>
        <v>#REF!</v>
      </c>
      <c r="I24" s="443">
        <f>ROUND(G24/($G$23+$G$24),4)</f>
        <v>0.12720000000000001</v>
      </c>
      <c r="J24" s="450"/>
      <c r="L24" s="431"/>
      <c r="M24" s="445"/>
      <c r="N24" s="585"/>
    </row>
    <row r="25" spans="2:14" ht="15">
      <c r="B25" s="454">
        <v>5</v>
      </c>
      <c r="C25" s="455" t="s">
        <v>186</v>
      </c>
      <c r="D25" s="456" t="s">
        <v>492</v>
      </c>
      <c r="E25" s="457" t="s">
        <v>270</v>
      </c>
      <c r="F25" s="458" t="s">
        <v>270</v>
      </c>
      <c r="G25" s="1688" t="e">
        <f>+'RESUMEN RS'!F18+'RESUMEN RS'!F19</f>
        <v>#REF!</v>
      </c>
      <c r="H25" s="459" t="e">
        <f>ROUND(G25/$D$10,3)</f>
        <v>#REF!</v>
      </c>
      <c r="I25" s="460" t="e">
        <f>+G25/(G25)</f>
        <v>#REF!</v>
      </c>
      <c r="J25" s="567" t="e">
        <f>+ROUND(SUM(H25),3)</f>
        <v>#REF!</v>
      </c>
      <c r="K25" s="461"/>
      <c r="L25" s="448"/>
      <c r="M25" s="432"/>
      <c r="N25" s="585"/>
    </row>
    <row r="26" spans="2:14" ht="15">
      <c r="B26" s="462"/>
      <c r="C26" s="463"/>
      <c r="D26" s="463"/>
      <c r="E26" s="463"/>
      <c r="F26" s="463"/>
      <c r="G26" s="464"/>
      <c r="H26" s="465" t="e">
        <f>SUM(H15:H25)</f>
        <v>#REF!</v>
      </c>
      <c r="I26" s="466"/>
      <c r="J26" s="467"/>
      <c r="M26" s="1673"/>
    </row>
    <row r="27" spans="2:14" ht="18">
      <c r="B27" s="468" t="s">
        <v>42</v>
      </c>
      <c r="C27" s="372" t="e">
        <f>J13&amp;" PCr/PCo + "&amp;J15&amp;" DI1r/DI1o + "&amp;J17&amp;" CUr/CUo+ "&amp;J23&amp;" Jr/Jo + "&amp;J25&amp;" GGr/GGo"</f>
        <v>#REF!</v>
      </c>
      <c r="D27" s="415"/>
      <c r="E27" s="415"/>
      <c r="F27" s="415"/>
      <c r="G27" s="469"/>
      <c r="H27" s="470"/>
      <c r="I27" s="471"/>
      <c r="J27" s="472"/>
    </row>
    <row r="28" spans="2:14">
      <c r="B28" s="260"/>
      <c r="C28" s="261"/>
      <c r="D28" s="261"/>
      <c r="E28" s="261"/>
      <c r="F28" s="261"/>
      <c r="G28" s="261"/>
      <c r="H28" s="261"/>
      <c r="I28" s="261"/>
      <c r="J28" s="473"/>
    </row>
    <row r="29" spans="2:14">
      <c r="B29" s="259"/>
      <c r="C29" s="416"/>
      <c r="D29" s="416"/>
      <c r="E29" s="416"/>
      <c r="F29" s="416"/>
      <c r="G29" s="416"/>
      <c r="H29" s="416"/>
      <c r="I29" s="416"/>
      <c r="J29" s="474"/>
    </row>
    <row r="30" spans="2:14">
      <c r="B30" s="259" t="s">
        <v>43</v>
      </c>
      <c r="C30" s="416"/>
      <c r="D30" s="416"/>
      <c r="E30" s="416"/>
      <c r="F30" s="416"/>
      <c r="G30" s="416"/>
      <c r="H30" s="475"/>
      <c r="I30" s="476"/>
      <c r="J30" s="477"/>
    </row>
    <row r="31" spans="2:14">
      <c r="B31" s="259"/>
      <c r="C31" s="416"/>
      <c r="D31" s="416"/>
      <c r="E31" s="416"/>
      <c r="F31" s="416"/>
      <c r="G31" s="416"/>
      <c r="H31" s="475"/>
      <c r="I31" s="478"/>
      <c r="J31" s="477"/>
    </row>
    <row r="32" spans="2:14" ht="14.25">
      <c r="B32" s="479" t="s">
        <v>44</v>
      </c>
      <c r="C32" s="480" t="s">
        <v>22</v>
      </c>
      <c r="D32" s="480"/>
      <c r="E32" s="480"/>
      <c r="F32" s="480"/>
      <c r="G32" s="416"/>
      <c r="H32" s="475"/>
      <c r="I32" s="476"/>
      <c r="J32" s="477"/>
    </row>
    <row r="33" spans="2:10" ht="14.25">
      <c r="B33" s="479"/>
      <c r="C33" s="480" t="s">
        <v>23</v>
      </c>
      <c r="D33" s="480"/>
      <c r="E33" s="480"/>
      <c r="F33" s="480"/>
      <c r="G33" s="416"/>
      <c r="H33" s="475"/>
      <c r="I33" s="476"/>
      <c r="J33" s="477"/>
    </row>
    <row r="34" spans="2:10" ht="14.25">
      <c r="B34" s="479"/>
      <c r="C34" s="480" t="s">
        <v>196</v>
      </c>
      <c r="D34" s="416"/>
      <c r="E34" s="416"/>
      <c r="F34" s="416"/>
      <c r="G34" s="416"/>
      <c r="H34" s="475"/>
      <c r="I34" s="476"/>
      <c r="J34" s="477"/>
    </row>
    <row r="35" spans="2:10" ht="14.25">
      <c r="B35" s="479" t="s">
        <v>197</v>
      </c>
      <c r="C35" s="480" t="s">
        <v>198</v>
      </c>
      <c r="D35" s="480"/>
      <c r="E35" s="480"/>
      <c r="F35" s="480"/>
      <c r="G35" s="416"/>
      <c r="H35" s="475"/>
      <c r="I35" s="476"/>
      <c r="J35" s="474"/>
    </row>
    <row r="36" spans="2:10" ht="14.25">
      <c r="B36" s="479"/>
      <c r="C36" s="480" t="s">
        <v>199</v>
      </c>
      <c r="D36" s="416"/>
      <c r="E36" s="416"/>
      <c r="F36" s="416"/>
      <c r="G36" s="416"/>
      <c r="H36" s="475"/>
      <c r="I36" s="481"/>
      <c r="J36" s="474"/>
    </row>
    <row r="37" spans="2:10" ht="14.25">
      <c r="B37" s="482" t="s">
        <v>200</v>
      </c>
      <c r="C37" s="256" t="s">
        <v>201</v>
      </c>
      <c r="D37" s="256"/>
      <c r="E37" s="261"/>
      <c r="F37" s="261"/>
      <c r="G37" s="261"/>
      <c r="H37" s="483"/>
      <c r="I37" s="483"/>
      <c r="J37" s="484"/>
    </row>
    <row r="38" spans="2:10">
      <c r="G38" s="485"/>
      <c r="J38" s="486"/>
    </row>
    <row r="39" spans="2:10">
      <c r="G39" s="487"/>
      <c r="H39" s="563"/>
      <c r="I39" s="563"/>
      <c r="J39" s="563"/>
    </row>
    <row r="40" spans="2:10">
      <c r="G40" s="487"/>
    </row>
    <row r="41" spans="2:10">
      <c r="G41" s="487"/>
    </row>
    <row r="42" spans="2:10">
      <c r="G42" s="487"/>
    </row>
    <row r="43" spans="2:10">
      <c r="H43" s="1798" t="e">
        <f>+IF(SUM(H13:H25)=1,"OK","X")</f>
        <v>#REF!</v>
      </c>
      <c r="I43" s="1798" t="e">
        <f>+IF(SUM(I13:I25)=5,"OK","X")</f>
        <v>#REF!</v>
      </c>
      <c r="J43" s="1798" t="e">
        <f t="shared" ref="J43" si="3">+IF(SUM(J13:J25)=1,"OK","X")</f>
        <v>#REF!</v>
      </c>
    </row>
    <row r="44" spans="2:10">
      <c r="H44" s="1012"/>
      <c r="I44" s="1012"/>
      <c r="J44" s="1012"/>
    </row>
    <row r="50" spans="10:10">
      <c r="J50" s="44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N40"/>
  <sheetViews>
    <sheetView workbookViewId="0"/>
  </sheetViews>
  <sheetFormatPr baseColWidth="10" defaultColWidth="9.33203125" defaultRowHeight="12.75"/>
  <sheetData>
    <row r="1" spans="2:14" ht="18">
      <c r="B1" s="915"/>
      <c r="C1" s="916"/>
      <c r="D1" s="916"/>
      <c r="E1" s="917"/>
      <c r="F1" s="917"/>
      <c r="G1" s="918"/>
      <c r="H1" s="918"/>
      <c r="I1" s="918"/>
      <c r="J1" s="918"/>
      <c r="K1" s="918"/>
      <c r="L1" s="918"/>
      <c r="M1" s="918"/>
      <c r="N1" s="918"/>
    </row>
    <row r="2" spans="2:14" ht="20.25">
      <c r="B2" s="919"/>
      <c r="C2" s="920"/>
      <c r="D2" s="920"/>
      <c r="E2" s="920"/>
      <c r="F2" s="920"/>
      <c r="G2" s="921"/>
      <c r="H2" s="921"/>
      <c r="I2" s="921"/>
      <c r="J2" s="921"/>
      <c r="K2" s="921"/>
      <c r="L2" s="921"/>
      <c r="M2" s="921"/>
      <c r="N2" s="921"/>
    </row>
    <row r="3" spans="2:14" ht="20.25">
      <c r="B3" s="919" t="s">
        <v>539</v>
      </c>
      <c r="C3" s="920"/>
      <c r="D3" s="920"/>
      <c r="E3" s="920"/>
      <c r="F3" s="920"/>
      <c r="G3" s="921"/>
      <c r="H3" s="921"/>
      <c r="I3" s="921"/>
      <c r="J3" s="921"/>
      <c r="K3" s="921"/>
      <c r="L3" s="921"/>
      <c r="M3" s="921"/>
      <c r="N3" s="921"/>
    </row>
    <row r="4" spans="2:14" ht="16.5">
      <c r="B4" s="922"/>
      <c r="C4" s="922"/>
      <c r="D4" s="922"/>
      <c r="E4" s="922"/>
      <c r="F4" s="922"/>
      <c r="G4" s="918"/>
      <c r="H4" s="918"/>
      <c r="I4" s="918"/>
      <c r="J4" s="918"/>
      <c r="K4" s="918"/>
      <c r="L4" s="918"/>
      <c r="M4" s="918"/>
      <c r="N4" s="918"/>
    </row>
    <row r="5" spans="2:14" ht="14.25">
      <c r="B5" s="923" t="s">
        <v>9</v>
      </c>
      <c r="C5" s="924"/>
      <c r="D5" s="923" t="s">
        <v>10</v>
      </c>
      <c r="E5" s="925"/>
      <c r="F5" s="918"/>
      <c r="G5" s="926"/>
      <c r="H5" s="926"/>
      <c r="I5" s="918"/>
      <c r="J5" s="918"/>
      <c r="K5" s="918"/>
      <c r="L5" s="918"/>
      <c r="M5" s="918"/>
      <c r="N5" s="918"/>
    </row>
    <row r="6" spans="2:14" ht="16.5">
      <c r="B6" s="927" t="s">
        <v>284</v>
      </c>
      <c r="C6" s="928"/>
      <c r="D6" s="929" t="s">
        <v>10</v>
      </c>
      <c r="E6" s="927" t="s">
        <v>726</v>
      </c>
      <c r="F6" s="930"/>
      <c r="G6" s="931"/>
      <c r="H6" s="931"/>
      <c r="I6" s="918"/>
      <c r="J6" s="918"/>
      <c r="K6" s="918"/>
      <c r="L6" s="918"/>
      <c r="M6" s="918"/>
      <c r="N6" s="918"/>
    </row>
    <row r="7" spans="2:14" ht="16.5">
      <c r="B7" s="927"/>
      <c r="C7" s="928"/>
      <c r="D7" s="929"/>
      <c r="E7" s="927"/>
      <c r="F7" s="932"/>
      <c r="G7" s="931"/>
      <c r="H7" s="931"/>
      <c r="I7" s="918"/>
      <c r="J7" s="918"/>
      <c r="K7" s="918"/>
      <c r="L7" s="918"/>
      <c r="M7" s="918"/>
      <c r="N7" s="918"/>
    </row>
    <row r="8" spans="2:14" ht="14.25">
      <c r="B8" s="3"/>
      <c r="C8" s="933"/>
      <c r="D8" s="934"/>
      <c r="E8" s="934"/>
      <c r="F8" s="934"/>
      <c r="G8" s="918"/>
      <c r="H8" s="918"/>
      <c r="I8" s="918"/>
      <c r="J8" s="918"/>
      <c r="K8" s="918"/>
      <c r="L8" s="918"/>
      <c r="M8" s="918"/>
      <c r="N8" s="918"/>
    </row>
    <row r="9" spans="2:14" ht="33">
      <c r="B9" s="935" t="s">
        <v>188</v>
      </c>
      <c r="C9" s="1883" t="s">
        <v>207</v>
      </c>
      <c r="D9" s="1883"/>
      <c r="E9" s="1884"/>
      <c r="F9" s="784" t="s">
        <v>532</v>
      </c>
    </row>
    <row r="10" spans="2:14" ht="15">
      <c r="B10" s="936"/>
      <c r="C10" s="937"/>
      <c r="D10" s="938"/>
      <c r="E10" s="939"/>
      <c r="F10" s="940"/>
      <c r="I10" s="941"/>
    </row>
    <row r="11" spans="2:14" ht="15">
      <c r="B11" s="942" t="s">
        <v>189</v>
      </c>
      <c r="C11" s="943"/>
      <c r="D11" s="944" t="s">
        <v>212</v>
      </c>
      <c r="E11" s="945"/>
      <c r="F11" s="946" t="e">
        <f>+#REF!</f>
        <v>#REF!</v>
      </c>
      <c r="I11" s="941"/>
    </row>
    <row r="12" spans="2:14" ht="15">
      <c r="B12" s="947"/>
      <c r="C12" s="943"/>
      <c r="D12" s="934" t="s">
        <v>533</v>
      </c>
      <c r="E12" s="948"/>
      <c r="F12" s="949" t="e">
        <f>+F11-F13</f>
        <v>#REF!</v>
      </c>
      <c r="I12" s="941"/>
    </row>
    <row r="13" spans="2:14" ht="15">
      <c r="B13" s="947"/>
      <c r="C13" s="943"/>
      <c r="D13" s="934" t="s">
        <v>534</v>
      </c>
      <c r="E13" s="948"/>
      <c r="F13" s="949" t="e">
        <f>+SFVS!#REF!+SFVS!#REF!+SFVS!#REF!+SFVS!#REF!+SFVS!#REF!+SFVS!#REF!+SFVS!#REF!+SFVS!#REF!+SFVS!#REF!+SFVS!#REF!+SFVS!#REF!+SFVS!#REF!+SFVS!#REF!+SFVS!#REF!+SFVS!#REF!+SFVS!#REF!</f>
        <v>#REF!</v>
      </c>
      <c r="I13" s="941"/>
    </row>
    <row r="14" spans="2:14" ht="14.25">
      <c r="B14" s="950"/>
      <c r="C14" s="799"/>
      <c r="D14" s="800"/>
      <c r="E14" s="951"/>
      <c r="F14" s="952"/>
    </row>
    <row r="15" spans="2:14" ht="15">
      <c r="B15" s="942" t="s">
        <v>190</v>
      </c>
      <c r="C15" s="943"/>
      <c r="D15" s="944" t="s">
        <v>203</v>
      </c>
      <c r="E15" s="953"/>
      <c r="F15" s="946" t="e">
        <f>+#REF!</f>
        <v>#REF!</v>
      </c>
      <c r="H15" s="954"/>
    </row>
    <row r="16" spans="2:14" ht="15">
      <c r="B16" s="947"/>
      <c r="C16" s="943"/>
      <c r="D16" s="934" t="s">
        <v>535</v>
      </c>
      <c r="E16" s="951"/>
      <c r="F16" s="949" t="e">
        <f>ROUND(H16*F15,2)</f>
        <v>#REF!</v>
      </c>
      <c r="H16" s="955">
        <v>0.63</v>
      </c>
      <c r="N16" s="955"/>
    </row>
    <row r="17" spans="2:14" ht="15">
      <c r="B17" s="947"/>
      <c r="C17" s="943"/>
      <c r="D17" s="934" t="s">
        <v>536</v>
      </c>
      <c r="E17" s="951"/>
      <c r="F17" s="949" t="e">
        <f>ROUND(H17*F15,2)</f>
        <v>#REF!</v>
      </c>
      <c r="H17" s="956">
        <v>0.37</v>
      </c>
      <c r="N17" s="956"/>
    </row>
    <row r="18" spans="2:14" ht="14.25">
      <c r="B18" s="950"/>
      <c r="C18" s="799"/>
      <c r="D18" s="800"/>
      <c r="E18" s="957"/>
      <c r="F18" s="952"/>
      <c r="H18" s="958"/>
    </row>
    <row r="19" spans="2:14" ht="15">
      <c r="B19" s="942" t="s">
        <v>520</v>
      </c>
      <c r="C19" s="943"/>
      <c r="D19" s="944" t="s">
        <v>541</v>
      </c>
      <c r="E19" s="957"/>
      <c r="F19" s="946">
        <v>0</v>
      </c>
      <c r="H19" s="958"/>
    </row>
    <row r="20" spans="2:14" ht="14.25">
      <c r="B20" s="950"/>
      <c r="C20" s="800"/>
      <c r="D20" s="800"/>
      <c r="E20" s="957"/>
      <c r="F20" s="952"/>
      <c r="H20" s="958"/>
    </row>
    <row r="21" spans="2:14" ht="15">
      <c r="B21" s="942" t="s">
        <v>125</v>
      </c>
      <c r="C21" s="943"/>
      <c r="D21" s="944" t="s">
        <v>133</v>
      </c>
      <c r="E21" s="959"/>
      <c r="F21" s="946" t="e">
        <f>+#REF!</f>
        <v>#REF!</v>
      </c>
      <c r="H21" s="954"/>
      <c r="N21" s="960"/>
    </row>
    <row r="22" spans="2:14" ht="15">
      <c r="B22" s="961"/>
      <c r="C22" s="962"/>
      <c r="D22" s="963"/>
      <c r="E22" s="964"/>
      <c r="F22" s="965"/>
    </row>
    <row r="23" spans="2:14" ht="15">
      <c r="B23" s="966"/>
      <c r="C23" s="967"/>
      <c r="D23" s="968"/>
      <c r="E23" s="969"/>
      <c r="F23" s="970"/>
    </row>
    <row r="24" spans="2:14" ht="15.75">
      <c r="B24" s="950" t="s">
        <v>7</v>
      </c>
      <c r="C24" s="971"/>
      <c r="D24" s="944" t="s">
        <v>538</v>
      </c>
      <c r="E24" s="972"/>
      <c r="F24" s="973" t="e">
        <f>+F11+F15+F21+F19</f>
        <v>#REF!</v>
      </c>
    </row>
    <row r="25" spans="2:14" ht="15">
      <c r="B25" s="974"/>
      <c r="C25" s="825"/>
      <c r="D25" s="826"/>
      <c r="E25" s="975"/>
      <c r="F25" s="976"/>
    </row>
    <row r="26" spans="2:14" ht="15">
      <c r="B26" s="977"/>
      <c r="C26" s="875"/>
      <c r="D26" s="830"/>
      <c r="E26" s="978"/>
      <c r="F26" s="979"/>
    </row>
    <row r="27" spans="2:14" ht="15">
      <c r="B27" s="950"/>
      <c r="C27" s="980"/>
      <c r="D27" s="981"/>
      <c r="E27" s="982"/>
      <c r="F27" s="949"/>
      <c r="H27" s="983"/>
    </row>
    <row r="28" spans="2:14" ht="15">
      <c r="B28" s="950"/>
      <c r="C28" s="980"/>
      <c r="D28" s="981"/>
      <c r="E28" s="982"/>
      <c r="F28" s="949"/>
    </row>
    <row r="29" spans="2:14" ht="15">
      <c r="B29" s="950"/>
      <c r="C29" s="980"/>
      <c r="D29" s="981"/>
      <c r="E29" s="982"/>
      <c r="F29" s="949"/>
      <c r="H29" s="983"/>
    </row>
    <row r="30" spans="2:14" ht="15">
      <c r="B30" s="974"/>
      <c r="C30" s="984"/>
      <c r="D30" s="985"/>
      <c r="E30" s="986"/>
      <c r="F30" s="987"/>
    </row>
    <row r="31" spans="2:14" ht="15.75">
      <c r="B31" s="977"/>
      <c r="C31" s="988"/>
      <c r="D31" s="989"/>
      <c r="E31" s="887"/>
      <c r="F31" s="888"/>
    </row>
    <row r="32" spans="2:14" ht="15.75">
      <c r="B32" s="950"/>
      <c r="C32" s="971"/>
      <c r="D32" s="944"/>
      <c r="E32" s="889"/>
      <c r="F32" s="973" t="e">
        <f>+F24+F27+F29</f>
        <v>#REF!</v>
      </c>
    </row>
    <row r="33" spans="2:14" ht="15.75">
      <c r="B33" s="961"/>
      <c r="C33" s="990"/>
      <c r="D33" s="991"/>
      <c r="E33" s="893"/>
      <c r="F33" s="894"/>
    </row>
    <row r="34" spans="2:14" ht="15.75">
      <c r="B34" s="992"/>
      <c r="C34" s="971"/>
      <c r="D34" s="993"/>
      <c r="E34" s="896"/>
      <c r="F34" s="897"/>
    </row>
    <row r="35" spans="2:14" ht="15">
      <c r="B35" s="950"/>
      <c r="C35" s="994"/>
      <c r="D35" s="934"/>
      <c r="E35" s="899"/>
      <c r="F35" s="900"/>
      <c r="N35" s="941"/>
    </row>
    <row r="36" spans="2:14" ht="15.75">
      <c r="B36" s="995"/>
      <c r="C36" s="971"/>
      <c r="D36" s="993"/>
      <c r="E36" s="902"/>
      <c r="F36" s="903"/>
    </row>
    <row r="37" spans="2:14" ht="15.75">
      <c r="B37" s="996"/>
      <c r="C37" s="997"/>
      <c r="D37" s="997"/>
      <c r="E37" s="906"/>
      <c r="F37" s="907"/>
    </row>
    <row r="38" spans="2:14" ht="15.75">
      <c r="B38" s="998"/>
      <c r="C38" s="993"/>
      <c r="D38" s="993"/>
      <c r="E38" s="909"/>
      <c r="F38" s="890"/>
      <c r="M38" s="941"/>
    </row>
    <row r="39" spans="2:14" ht="15">
      <c r="B39" s="999"/>
      <c r="C39" s="1000"/>
      <c r="D39" s="1000"/>
      <c r="E39" s="1001"/>
      <c r="F39" s="1002"/>
    </row>
    <row r="40" spans="2:14" ht="15">
      <c r="B40" s="981"/>
      <c r="C40" s="981"/>
      <c r="D40" s="981"/>
      <c r="E40" s="981"/>
      <c r="F40" s="100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I163"/>
  <sheetViews>
    <sheetView view="pageBreakPreview" topLeftCell="C3" zoomScaleNormal="100" zoomScaleSheetLayoutView="100" workbookViewId="0">
      <pane xSplit="6" ySplit="5" topLeftCell="I32" activePane="bottomRight" state="frozen"/>
      <selection activeCell="C3" sqref="C3"/>
      <selection pane="topRight" activeCell="I3" sqref="I3"/>
      <selection pane="bottomLeft" activeCell="C8" sqref="C8"/>
      <selection pane="bottomRight" activeCell="F3" sqref="F1:F1048576"/>
    </sheetView>
  </sheetViews>
  <sheetFormatPr baseColWidth="10" defaultColWidth="9.33203125" defaultRowHeight="12.75"/>
  <cols>
    <col min="1" max="1" width="0" style="1073" hidden="1" customWidth="1"/>
    <col min="2" max="2" width="13" style="1073" customWidth="1"/>
    <col min="3" max="3" width="5" style="1073" hidden="1" customWidth="1"/>
    <col min="4" max="4" width="5.1640625" style="1073" customWidth="1"/>
    <col min="5" max="5" width="9.33203125" style="1073"/>
    <col min="6" max="6" width="83.33203125" style="1073" customWidth="1"/>
    <col min="7" max="7" width="9.33203125" style="1073"/>
    <col min="8" max="8" width="11.1640625" style="1073" customWidth="1"/>
    <col min="9" max="9" width="1.5" style="2001" customWidth="1"/>
    <col min="10" max="15" width="12.1640625" style="1073" customWidth="1"/>
    <col min="16" max="16" width="12.1640625" style="1073" hidden="1" customWidth="1"/>
    <col min="17" max="21" width="12.1640625" style="1073" customWidth="1"/>
    <col min="22" max="23" width="9.33203125" style="1073"/>
    <col min="24" max="24" width="16.33203125" style="1073" customWidth="1"/>
    <col min="25" max="25" width="9.6640625" style="1073" bestFit="1" customWidth="1"/>
    <col min="26" max="16384" width="9.33203125" style="1073"/>
  </cols>
  <sheetData>
    <row r="1" spans="1:35" ht="24.75" customHeight="1">
      <c r="B1" s="2002" t="s">
        <v>1026</v>
      </c>
      <c r="C1" s="2003"/>
      <c r="D1" s="2003"/>
      <c r="E1" s="2004"/>
      <c r="F1" s="2004"/>
      <c r="G1" s="2005"/>
      <c r="H1" s="308"/>
      <c r="I1" s="2006"/>
      <c r="J1" s="1712"/>
      <c r="K1" s="1712"/>
      <c r="L1" s="1712"/>
      <c r="M1" s="1712"/>
      <c r="N1" s="1712"/>
      <c r="O1" s="1712"/>
      <c r="P1" s="1712"/>
      <c r="Q1" s="1712"/>
      <c r="R1" s="1712"/>
      <c r="S1" s="1712"/>
      <c r="T1" s="1712"/>
      <c r="U1" s="1712"/>
      <c r="V1" s="1712"/>
      <c r="W1" s="1712"/>
      <c r="X1" s="1712"/>
      <c r="Y1" s="1712"/>
      <c r="Z1" s="1712"/>
      <c r="AA1" s="1712"/>
      <c r="AB1" s="1712"/>
      <c r="AC1" s="1712"/>
      <c r="AD1" s="1712"/>
      <c r="AE1" s="1712"/>
      <c r="AF1" s="1712"/>
      <c r="AG1" s="1712"/>
      <c r="AH1" s="1712"/>
      <c r="AI1" s="1712"/>
    </row>
    <row r="2" spans="1:35" ht="24.75" customHeight="1">
      <c r="B2" s="2007" t="s">
        <v>969</v>
      </c>
      <c r="C2" s="2003"/>
      <c r="D2" s="2003"/>
      <c r="E2" s="2004"/>
      <c r="F2" s="2004"/>
      <c r="G2" s="2008"/>
      <c r="H2" s="308"/>
      <c r="I2" s="2006"/>
      <c r="J2" s="1712"/>
      <c r="K2" s="1712"/>
      <c r="L2" s="1712"/>
      <c r="M2" s="1712"/>
      <c r="N2" s="1712"/>
      <c r="O2" s="1712"/>
      <c r="P2" s="1712"/>
      <c r="Q2" s="1712"/>
      <c r="R2" s="1712"/>
      <c r="S2" s="1712"/>
      <c r="T2" s="1712"/>
      <c r="U2" s="1712"/>
      <c r="V2" s="1712"/>
      <c r="W2" s="1712"/>
      <c r="X2" s="1712"/>
      <c r="Y2" s="1712"/>
      <c r="Z2" s="1712"/>
      <c r="AA2" s="1712"/>
      <c r="AB2" s="1712"/>
      <c r="AC2" s="1712"/>
      <c r="AD2" s="1712"/>
      <c r="AE2" s="1712"/>
      <c r="AF2" s="1712"/>
      <c r="AG2" s="1712"/>
      <c r="AH2" s="1712"/>
      <c r="AI2" s="1712"/>
    </row>
    <row r="3" spans="1:35" ht="24.75" customHeight="1">
      <c r="B3" s="2009" t="s">
        <v>9</v>
      </c>
      <c r="C3" s="2003"/>
      <c r="D3" s="2010" t="s">
        <v>10</v>
      </c>
      <c r="E3" s="2011" t="s">
        <v>544</v>
      </c>
      <c r="G3" s="2008"/>
      <c r="H3" s="308"/>
      <c r="I3" s="2006"/>
      <c r="J3" s="2062" t="s">
        <v>1013</v>
      </c>
      <c r="K3" s="2062" t="s">
        <v>1014</v>
      </c>
      <c r="L3" s="2062" t="s">
        <v>1015</v>
      </c>
      <c r="M3" s="2062" t="s">
        <v>1016</v>
      </c>
      <c r="N3" s="2062" t="s">
        <v>1017</v>
      </c>
      <c r="O3" s="2062" t="s">
        <v>1018</v>
      </c>
      <c r="P3" s="2062" t="s">
        <v>1019</v>
      </c>
      <c r="Q3" s="2062" t="s">
        <v>1020</v>
      </c>
      <c r="R3" s="2062" t="s">
        <v>1021</v>
      </c>
      <c r="S3" s="2062" t="s">
        <v>1022</v>
      </c>
      <c r="T3" s="2062" t="s">
        <v>1023</v>
      </c>
      <c r="U3" s="2062" t="s">
        <v>1024</v>
      </c>
      <c r="V3" s="1712"/>
      <c r="W3" s="1712"/>
      <c r="X3" s="1712"/>
      <c r="Y3" s="1712"/>
      <c r="Z3" s="1712"/>
      <c r="AA3" s="1712"/>
      <c r="AB3" s="1712"/>
      <c r="AC3" s="1712"/>
      <c r="AD3" s="1712"/>
      <c r="AE3" s="1712"/>
      <c r="AF3" s="1712"/>
      <c r="AG3" s="1712"/>
      <c r="AH3" s="1712"/>
      <c r="AI3" s="1712"/>
    </row>
    <row r="4" spans="1:35" ht="24.75" customHeight="1">
      <c r="B4" s="2007" t="s">
        <v>612</v>
      </c>
      <c r="C4" s="308"/>
      <c r="D4" s="2012" t="s">
        <v>10</v>
      </c>
      <c r="E4" s="2013" t="s">
        <v>968</v>
      </c>
      <c r="G4" s="2008"/>
      <c r="H4" s="308"/>
      <c r="I4" s="2006"/>
      <c r="J4" s="2063"/>
      <c r="K4" s="2063"/>
      <c r="L4" s="2063"/>
      <c r="M4" s="2063"/>
      <c r="N4" s="2063"/>
      <c r="O4" s="2063"/>
      <c r="P4" s="2063"/>
      <c r="Q4" s="2063"/>
      <c r="R4" s="2063"/>
      <c r="S4" s="2063"/>
      <c r="T4" s="2063"/>
      <c r="U4" s="2063"/>
      <c r="V4" s="1712"/>
      <c r="W4" s="1712"/>
      <c r="X4" s="1712"/>
      <c r="Y4" s="1712"/>
      <c r="Z4" s="1712"/>
      <c r="AA4" s="1712"/>
      <c r="AB4" s="1712"/>
      <c r="AC4" s="1712"/>
      <c r="AD4" s="1712"/>
      <c r="AE4" s="1712"/>
      <c r="AF4" s="1712"/>
      <c r="AG4" s="1712"/>
      <c r="AH4" s="1712"/>
      <c r="AI4" s="1712"/>
    </row>
    <row r="5" spans="1:35" ht="24.75" customHeight="1">
      <c r="B5" s="1360" t="s">
        <v>280</v>
      </c>
      <c r="C5" s="308"/>
      <c r="D5" s="308"/>
      <c r="E5" s="1360"/>
      <c r="F5" s="308"/>
      <c r="G5" s="2008"/>
      <c r="H5" s="308"/>
      <c r="I5" s="2006"/>
      <c r="J5" s="2064"/>
      <c r="K5" s="2064"/>
      <c r="L5" s="2064"/>
      <c r="M5" s="2064"/>
      <c r="N5" s="2064"/>
      <c r="O5" s="2064"/>
      <c r="P5" s="2064"/>
      <c r="Q5" s="2064"/>
      <c r="R5" s="2064"/>
      <c r="S5" s="2064"/>
      <c r="T5" s="2064"/>
      <c r="U5" s="2064"/>
      <c r="V5" s="1712"/>
      <c r="W5" s="1712"/>
      <c r="X5" s="1712"/>
      <c r="Y5" s="1712"/>
      <c r="Z5" s="1712"/>
      <c r="AA5" s="1712"/>
      <c r="AB5" s="1712"/>
      <c r="AC5" s="1712"/>
      <c r="AD5" s="1712"/>
      <c r="AE5" s="1712"/>
      <c r="AF5" s="1712"/>
      <c r="AG5" s="1712"/>
      <c r="AH5" s="1712"/>
      <c r="AI5" s="1712"/>
    </row>
    <row r="6" spans="1:35" ht="7.5" customHeight="1">
      <c r="B6" s="2014"/>
      <c r="C6" s="306"/>
      <c r="D6" s="2015"/>
      <c r="E6" s="306"/>
      <c r="F6" s="2014"/>
      <c r="G6" s="517"/>
      <c r="H6" s="306"/>
      <c r="I6" s="1979"/>
      <c r="J6" s="1986"/>
      <c r="K6" s="1986"/>
      <c r="L6" s="1986"/>
      <c r="M6" s="1986"/>
      <c r="N6" s="1986"/>
      <c r="O6" s="1986"/>
      <c r="P6" s="1986"/>
      <c r="Q6" s="1986"/>
      <c r="R6" s="1986"/>
      <c r="S6" s="1986"/>
      <c r="T6" s="1986"/>
      <c r="U6" s="1986"/>
      <c r="V6" s="1986"/>
      <c r="W6" s="1986"/>
      <c r="X6" s="1986"/>
      <c r="Y6" s="1986"/>
      <c r="Z6" s="1712"/>
      <c r="AA6" s="1712"/>
      <c r="AB6" s="1712"/>
      <c r="AC6" s="1712"/>
      <c r="AD6" s="1712"/>
      <c r="AE6" s="1712"/>
      <c r="AF6" s="1712"/>
      <c r="AG6" s="1712"/>
      <c r="AH6" s="1712"/>
      <c r="AI6" s="1712"/>
    </row>
    <row r="7" spans="1:35" s="1989" customFormat="1" ht="24" customHeight="1">
      <c r="A7" s="1936"/>
      <c r="B7" s="2016" t="s">
        <v>959</v>
      </c>
      <c r="C7" s="2065" t="s">
        <v>958</v>
      </c>
      <c r="D7" s="2066"/>
      <c r="E7" s="2066"/>
      <c r="F7" s="2067"/>
      <c r="G7" s="1987" t="s">
        <v>376</v>
      </c>
      <c r="H7" s="1987" t="s">
        <v>1027</v>
      </c>
      <c r="I7" s="2017"/>
      <c r="J7" s="1988">
        <v>1</v>
      </c>
      <c r="K7" s="1988">
        <v>2</v>
      </c>
      <c r="L7" s="1988">
        <v>3</v>
      </c>
      <c r="M7" s="1988">
        <v>4</v>
      </c>
      <c r="N7" s="1988">
        <v>5</v>
      </c>
      <c r="O7" s="1988">
        <v>6</v>
      </c>
      <c r="P7" s="1988">
        <v>7</v>
      </c>
      <c r="Q7" s="1988">
        <v>8</v>
      </c>
      <c r="R7" s="1988">
        <v>9</v>
      </c>
      <c r="S7" s="1988">
        <v>10</v>
      </c>
      <c r="T7" s="1988">
        <v>11</v>
      </c>
      <c r="U7" s="1988">
        <v>12</v>
      </c>
      <c r="V7" s="1937"/>
      <c r="W7" s="1937"/>
      <c r="X7" s="1937"/>
      <c r="Y7" s="1937"/>
      <c r="AA7" s="1938"/>
    </row>
    <row r="8" spans="1:35" ht="16.5" customHeight="1">
      <c r="B8" s="1965" t="s">
        <v>189</v>
      </c>
      <c r="C8" s="1966"/>
      <c r="D8" s="1990" t="s">
        <v>132</v>
      </c>
      <c r="E8" s="1551"/>
      <c r="F8" s="1552"/>
      <c r="G8" s="1532"/>
      <c r="H8" s="1967"/>
      <c r="I8" s="1939"/>
    </row>
    <row r="9" spans="1:35" ht="16.5" customHeight="1">
      <c r="B9" s="1942">
        <v>1</v>
      </c>
      <c r="C9" s="1943"/>
      <c r="D9" s="1975" t="s">
        <v>594</v>
      </c>
      <c r="E9" s="1991"/>
      <c r="F9" s="1944"/>
      <c r="G9" s="1945"/>
      <c r="H9" s="1968"/>
      <c r="I9" s="1940"/>
      <c r="J9" s="1992"/>
      <c r="K9" s="1992"/>
      <c r="L9" s="1992"/>
      <c r="M9" s="1992"/>
      <c r="N9" s="1992"/>
      <c r="O9" s="1992"/>
      <c r="P9" s="1993"/>
      <c r="Q9" s="1992"/>
      <c r="R9" s="1992"/>
      <c r="S9" s="1992"/>
      <c r="T9" s="1992"/>
      <c r="U9" s="1994"/>
      <c r="V9" s="324"/>
      <c r="W9" s="324"/>
      <c r="X9" s="520"/>
    </row>
    <row r="10" spans="1:35" ht="16.5" customHeight="1">
      <c r="B10" s="1946">
        <f>+B9+0.01</f>
        <v>1.01</v>
      </c>
      <c r="C10" s="1943"/>
      <c r="D10" s="1951" t="s">
        <v>746</v>
      </c>
      <c r="E10" s="1991"/>
      <c r="F10" s="1944"/>
      <c r="G10" s="1945" t="s">
        <v>18</v>
      </c>
      <c r="H10" s="1969">
        <f>SUM(J10:U10)</f>
        <v>37</v>
      </c>
      <c r="I10" s="1941"/>
      <c r="J10" s="1972">
        <v>10</v>
      </c>
      <c r="K10" s="1972">
        <v>4</v>
      </c>
      <c r="L10" s="1972">
        <v>3</v>
      </c>
      <c r="M10" s="1972">
        <v>3</v>
      </c>
      <c r="N10" s="1972">
        <v>5</v>
      </c>
      <c r="O10" s="1972">
        <v>2</v>
      </c>
      <c r="P10" s="1972"/>
      <c r="Q10" s="1972">
        <v>3</v>
      </c>
      <c r="R10" s="1972">
        <v>6</v>
      </c>
      <c r="S10" s="1972">
        <v>1</v>
      </c>
      <c r="T10" s="1972">
        <v>0</v>
      </c>
      <c r="U10" s="1972"/>
      <c r="V10" s="324"/>
      <c r="W10" s="324"/>
      <c r="X10" s="2018"/>
    </row>
    <row r="11" spans="1:35" ht="16.5" customHeight="1">
      <c r="B11" s="1946">
        <f>+B10+0.01</f>
        <v>1.02</v>
      </c>
      <c r="C11" s="1943"/>
      <c r="D11" s="1951" t="s">
        <v>747</v>
      </c>
      <c r="E11" s="1991"/>
      <c r="F11" s="1944"/>
      <c r="G11" s="1945" t="s">
        <v>18</v>
      </c>
      <c r="H11" s="1969">
        <f t="shared" ref="H11:H78" si="0">SUM(J11:U11)</f>
        <v>37</v>
      </c>
      <c r="I11" s="1941"/>
      <c r="J11" s="1972">
        <f>+J$10</f>
        <v>10</v>
      </c>
      <c r="K11" s="1972">
        <f t="shared" ref="K11:U11" si="1">+K$10</f>
        <v>4</v>
      </c>
      <c r="L11" s="1972">
        <f t="shared" si="1"/>
        <v>3</v>
      </c>
      <c r="M11" s="1972">
        <f t="shared" si="1"/>
        <v>3</v>
      </c>
      <c r="N11" s="1972">
        <f t="shared" si="1"/>
        <v>5</v>
      </c>
      <c r="O11" s="1972">
        <f t="shared" si="1"/>
        <v>2</v>
      </c>
      <c r="P11" s="1972">
        <f t="shared" si="1"/>
        <v>0</v>
      </c>
      <c r="Q11" s="1972">
        <f t="shared" si="1"/>
        <v>3</v>
      </c>
      <c r="R11" s="1972">
        <f t="shared" si="1"/>
        <v>6</v>
      </c>
      <c r="S11" s="1972">
        <f t="shared" si="1"/>
        <v>1</v>
      </c>
      <c r="T11" s="1972">
        <f t="shared" si="1"/>
        <v>0</v>
      </c>
      <c r="U11" s="1972">
        <f t="shared" si="1"/>
        <v>0</v>
      </c>
      <c r="V11" s="324"/>
      <c r="W11" s="324"/>
      <c r="X11" s="2018"/>
    </row>
    <row r="12" spans="1:35" ht="16.5" customHeight="1">
      <c r="B12" s="1947"/>
      <c r="C12" s="1943"/>
      <c r="D12" s="1991"/>
      <c r="E12" s="1991"/>
      <c r="F12" s="1948"/>
      <c r="G12" s="1945"/>
      <c r="H12" s="1969"/>
      <c r="I12" s="1941"/>
      <c r="J12" s="1972"/>
      <c r="K12" s="1972"/>
      <c r="L12" s="1972"/>
      <c r="M12" s="1972"/>
      <c r="N12" s="1972"/>
      <c r="O12" s="1972"/>
      <c r="P12" s="1972"/>
      <c r="Q12" s="1972"/>
      <c r="R12" s="1972"/>
      <c r="S12" s="1972"/>
      <c r="T12" s="1972"/>
      <c r="U12" s="1972"/>
      <c r="V12" s="324"/>
      <c r="W12" s="324"/>
      <c r="X12" s="2018"/>
    </row>
    <row r="13" spans="1:35" ht="16.5" customHeight="1">
      <c r="B13" s="1942">
        <f>+B9+1</f>
        <v>2</v>
      </c>
      <c r="C13" s="1943"/>
      <c r="D13" s="1975" t="s">
        <v>596</v>
      </c>
      <c r="E13" s="1991"/>
      <c r="F13" s="1944"/>
      <c r="G13" s="1945"/>
      <c r="H13" s="1969"/>
      <c r="I13" s="1941"/>
      <c r="J13" s="1972"/>
      <c r="K13" s="1972"/>
      <c r="L13" s="1972"/>
      <c r="M13" s="1972"/>
      <c r="N13" s="1972"/>
      <c r="O13" s="1972"/>
      <c r="P13" s="1972"/>
      <c r="Q13" s="1972"/>
      <c r="R13" s="1972"/>
      <c r="S13" s="1972"/>
      <c r="T13" s="1972"/>
      <c r="U13" s="1972"/>
      <c r="V13" s="324"/>
      <c r="W13" s="324"/>
      <c r="X13" s="2018"/>
    </row>
    <row r="14" spans="1:35" ht="16.5" customHeight="1">
      <c r="B14" s="1946">
        <f>+B13+0.01</f>
        <v>2.0099999999999998</v>
      </c>
      <c r="C14" s="1943"/>
      <c r="D14" s="1951" t="s">
        <v>748</v>
      </c>
      <c r="E14" s="1949"/>
      <c r="F14" s="1950"/>
      <c r="G14" s="1945" t="s">
        <v>18</v>
      </c>
      <c r="H14" s="1969">
        <f t="shared" si="0"/>
        <v>37</v>
      </c>
      <c r="I14" s="1941"/>
      <c r="J14" s="1972">
        <f t="shared" ref="J14:U75" si="2">+J$10</f>
        <v>10</v>
      </c>
      <c r="K14" s="1972">
        <f t="shared" si="2"/>
        <v>4</v>
      </c>
      <c r="L14" s="1972">
        <f t="shared" si="2"/>
        <v>3</v>
      </c>
      <c r="M14" s="1972">
        <f t="shared" si="2"/>
        <v>3</v>
      </c>
      <c r="N14" s="1972">
        <f t="shared" si="2"/>
        <v>5</v>
      </c>
      <c r="O14" s="1972">
        <f t="shared" si="2"/>
        <v>2</v>
      </c>
      <c r="P14" s="1972">
        <f t="shared" si="2"/>
        <v>0</v>
      </c>
      <c r="Q14" s="1972">
        <f t="shared" si="2"/>
        <v>3</v>
      </c>
      <c r="R14" s="1972">
        <f t="shared" si="2"/>
        <v>6</v>
      </c>
      <c r="S14" s="1972">
        <f t="shared" si="2"/>
        <v>1</v>
      </c>
      <c r="T14" s="1972">
        <f t="shared" si="2"/>
        <v>0</v>
      </c>
      <c r="U14" s="1972">
        <f t="shared" si="2"/>
        <v>0</v>
      </c>
      <c r="V14" s="324"/>
      <c r="W14" s="324"/>
      <c r="X14" s="2018"/>
      <c r="Y14" s="2018">
        <f>SUM(Y16:Y33)</f>
        <v>22.27</v>
      </c>
    </row>
    <row r="15" spans="1:35" ht="16.5" customHeight="1">
      <c r="B15" s="1946">
        <f t="shared" ref="B15:B24" si="3">+B14+0.01</f>
        <v>2.0199999999999996</v>
      </c>
      <c r="C15" s="1943"/>
      <c r="D15" s="1951" t="s">
        <v>749</v>
      </c>
      <c r="E15" s="1991"/>
      <c r="F15" s="1944"/>
      <c r="G15" s="1945" t="s">
        <v>18</v>
      </c>
      <c r="H15" s="1969">
        <f t="shared" si="0"/>
        <v>37</v>
      </c>
      <c r="I15" s="1941"/>
      <c r="J15" s="1972">
        <f t="shared" si="2"/>
        <v>10</v>
      </c>
      <c r="K15" s="1972">
        <f t="shared" si="2"/>
        <v>4</v>
      </c>
      <c r="L15" s="1972">
        <f t="shared" si="2"/>
        <v>3</v>
      </c>
      <c r="M15" s="1972">
        <f t="shared" si="2"/>
        <v>3</v>
      </c>
      <c r="N15" s="1972">
        <f t="shared" si="2"/>
        <v>5</v>
      </c>
      <c r="O15" s="1972">
        <f t="shared" si="2"/>
        <v>2</v>
      </c>
      <c r="P15" s="1972">
        <f t="shared" si="2"/>
        <v>0</v>
      </c>
      <c r="Q15" s="1972">
        <f t="shared" si="2"/>
        <v>3</v>
      </c>
      <c r="R15" s="1972">
        <f t="shared" si="2"/>
        <v>6</v>
      </c>
      <c r="S15" s="1972">
        <f t="shared" si="2"/>
        <v>1</v>
      </c>
      <c r="T15" s="1972">
        <f t="shared" si="2"/>
        <v>0</v>
      </c>
      <c r="U15" s="1972">
        <f t="shared" si="2"/>
        <v>0</v>
      </c>
      <c r="V15" s="324"/>
      <c r="W15" s="324"/>
      <c r="X15" s="2018"/>
    </row>
    <row r="16" spans="1:35" ht="16.5" customHeight="1" thickBot="1">
      <c r="B16" s="1946">
        <f t="shared" si="3"/>
        <v>2.0299999999999994</v>
      </c>
      <c r="C16" s="1943"/>
      <c r="D16" s="1951" t="s">
        <v>750</v>
      </c>
      <c r="E16" s="1991"/>
      <c r="F16" s="1944"/>
      <c r="G16" s="1945" t="s">
        <v>18</v>
      </c>
      <c r="H16" s="1969">
        <f t="shared" si="0"/>
        <v>74</v>
      </c>
      <c r="I16" s="1941"/>
      <c r="J16" s="1972">
        <f>2*J$10</f>
        <v>20</v>
      </c>
      <c r="K16" s="1972">
        <f t="shared" ref="K16:U16" si="4">2*K$10</f>
        <v>8</v>
      </c>
      <c r="L16" s="1972">
        <f t="shared" si="4"/>
        <v>6</v>
      </c>
      <c r="M16" s="1972">
        <f t="shared" si="4"/>
        <v>6</v>
      </c>
      <c r="N16" s="1972">
        <f t="shared" si="4"/>
        <v>10</v>
      </c>
      <c r="O16" s="1972">
        <f t="shared" si="4"/>
        <v>4</v>
      </c>
      <c r="P16" s="1972">
        <f t="shared" si="4"/>
        <v>0</v>
      </c>
      <c r="Q16" s="1972">
        <f t="shared" si="4"/>
        <v>6</v>
      </c>
      <c r="R16" s="1972">
        <f t="shared" si="4"/>
        <v>12</v>
      </c>
      <c r="S16" s="1972">
        <f t="shared" si="4"/>
        <v>2</v>
      </c>
      <c r="T16" s="1972">
        <f t="shared" si="4"/>
        <v>0</v>
      </c>
      <c r="U16" s="1972">
        <f t="shared" si="4"/>
        <v>0</v>
      </c>
      <c r="V16" s="324"/>
      <c r="W16" s="324"/>
      <c r="X16" s="2018"/>
      <c r="Y16" s="2019">
        <v>0.3</v>
      </c>
    </row>
    <row r="17" spans="2:26" ht="16.5" customHeight="1" thickBot="1">
      <c r="B17" s="1946">
        <f t="shared" si="3"/>
        <v>2.0399999999999991</v>
      </c>
      <c r="C17" s="1943"/>
      <c r="D17" s="1951" t="s">
        <v>751</v>
      </c>
      <c r="E17" s="1949"/>
      <c r="F17" s="1950"/>
      <c r="G17" s="1945" t="s">
        <v>18</v>
      </c>
      <c r="H17" s="1969">
        <f t="shared" si="0"/>
        <v>37</v>
      </c>
      <c r="I17" s="1941"/>
      <c r="J17" s="1972">
        <f t="shared" si="2"/>
        <v>10</v>
      </c>
      <c r="K17" s="1972">
        <f t="shared" si="2"/>
        <v>4</v>
      </c>
      <c r="L17" s="1972">
        <f t="shared" si="2"/>
        <v>3</v>
      </c>
      <c r="M17" s="1972">
        <f t="shared" si="2"/>
        <v>3</v>
      </c>
      <c r="N17" s="1972">
        <f t="shared" si="2"/>
        <v>5</v>
      </c>
      <c r="O17" s="1972">
        <f t="shared" si="2"/>
        <v>2</v>
      </c>
      <c r="P17" s="1972">
        <f t="shared" si="2"/>
        <v>0</v>
      </c>
      <c r="Q17" s="1972">
        <f t="shared" si="2"/>
        <v>3</v>
      </c>
      <c r="R17" s="1972">
        <f t="shared" si="2"/>
        <v>6</v>
      </c>
      <c r="S17" s="1972">
        <f t="shared" si="2"/>
        <v>1</v>
      </c>
      <c r="T17" s="1972">
        <f t="shared" si="2"/>
        <v>0</v>
      </c>
      <c r="U17" s="1972">
        <f t="shared" si="2"/>
        <v>0</v>
      </c>
      <c r="V17" s="324"/>
      <c r="W17" s="324"/>
      <c r="X17" s="2018">
        <f>SUM(X18:X27)</f>
        <v>21.66</v>
      </c>
      <c r="Y17" s="2020">
        <v>0.3</v>
      </c>
    </row>
    <row r="18" spans="2:26" ht="16.5" customHeight="1" thickBot="1">
      <c r="B18" s="1946">
        <f t="shared" si="3"/>
        <v>2.0499999999999989</v>
      </c>
      <c r="C18" s="1943"/>
      <c r="D18" s="1951" t="s">
        <v>752</v>
      </c>
      <c r="E18" s="1991"/>
      <c r="F18" s="1944"/>
      <c r="G18" s="1945" t="s">
        <v>18</v>
      </c>
      <c r="H18" s="1969">
        <f t="shared" si="0"/>
        <v>37</v>
      </c>
      <c r="I18" s="1941"/>
      <c r="J18" s="1972">
        <f t="shared" si="2"/>
        <v>10</v>
      </c>
      <c r="K18" s="1972">
        <f t="shared" si="2"/>
        <v>4</v>
      </c>
      <c r="L18" s="1972">
        <f t="shared" si="2"/>
        <v>3</v>
      </c>
      <c r="M18" s="1972">
        <f t="shared" si="2"/>
        <v>3</v>
      </c>
      <c r="N18" s="1972">
        <f t="shared" si="2"/>
        <v>5</v>
      </c>
      <c r="O18" s="1972">
        <f t="shared" si="2"/>
        <v>2</v>
      </c>
      <c r="P18" s="1972">
        <f t="shared" si="2"/>
        <v>0</v>
      </c>
      <c r="Q18" s="1972">
        <f t="shared" si="2"/>
        <v>3</v>
      </c>
      <c r="R18" s="1972">
        <f t="shared" si="2"/>
        <v>6</v>
      </c>
      <c r="S18" s="1972">
        <f t="shared" si="2"/>
        <v>1</v>
      </c>
      <c r="T18" s="1972">
        <f t="shared" si="2"/>
        <v>0</v>
      </c>
      <c r="U18" s="1972">
        <f t="shared" si="2"/>
        <v>0</v>
      </c>
      <c r="V18" s="324"/>
      <c r="W18" s="324"/>
      <c r="X18" s="2021">
        <v>0.57999999999999996</v>
      </c>
      <c r="Y18" s="2022">
        <v>0.48</v>
      </c>
    </row>
    <row r="19" spans="2:26" ht="16.5" customHeight="1" thickBot="1">
      <c r="B19" s="1946">
        <f t="shared" si="3"/>
        <v>2.0599999999999987</v>
      </c>
      <c r="C19" s="1943"/>
      <c r="D19" s="1951" t="s">
        <v>753</v>
      </c>
      <c r="E19" s="1991"/>
      <c r="F19" s="1944"/>
      <c r="G19" s="1945" t="s">
        <v>187</v>
      </c>
      <c r="H19" s="1969">
        <f t="shared" si="0"/>
        <v>37</v>
      </c>
      <c r="I19" s="1941"/>
      <c r="J19" s="1972">
        <f t="shared" si="2"/>
        <v>10</v>
      </c>
      <c r="K19" s="1972">
        <f t="shared" si="2"/>
        <v>4</v>
      </c>
      <c r="L19" s="1972">
        <f t="shared" si="2"/>
        <v>3</v>
      </c>
      <c r="M19" s="1972">
        <f t="shared" si="2"/>
        <v>3</v>
      </c>
      <c r="N19" s="1972">
        <f t="shared" si="2"/>
        <v>5</v>
      </c>
      <c r="O19" s="1972">
        <f t="shared" si="2"/>
        <v>2</v>
      </c>
      <c r="P19" s="1972">
        <f t="shared" si="2"/>
        <v>0</v>
      </c>
      <c r="Q19" s="1972">
        <f t="shared" si="2"/>
        <v>3</v>
      </c>
      <c r="R19" s="1972">
        <f t="shared" si="2"/>
        <v>6</v>
      </c>
      <c r="S19" s="1972">
        <f t="shared" si="2"/>
        <v>1</v>
      </c>
      <c r="T19" s="1972">
        <f t="shared" si="2"/>
        <v>0</v>
      </c>
      <c r="U19" s="1972">
        <f t="shared" si="2"/>
        <v>0</v>
      </c>
      <c r="V19" s="324"/>
      <c r="W19" s="324"/>
      <c r="X19" s="2020">
        <v>0.37</v>
      </c>
      <c r="Y19" s="2019">
        <v>0.64</v>
      </c>
    </row>
    <row r="20" spans="2:26" ht="16.5" customHeight="1" thickBot="1">
      <c r="B20" s="1946">
        <f t="shared" si="3"/>
        <v>2.0699999999999985</v>
      </c>
      <c r="C20" s="1943"/>
      <c r="D20" s="1951" t="s">
        <v>754</v>
      </c>
      <c r="E20" s="1991"/>
      <c r="F20" s="1944"/>
      <c r="G20" s="1945" t="s">
        <v>18</v>
      </c>
      <c r="H20" s="1969">
        <f t="shared" si="0"/>
        <v>74</v>
      </c>
      <c r="I20" s="1941"/>
      <c r="J20" s="1972">
        <f>2*J$10</f>
        <v>20</v>
      </c>
      <c r="K20" s="1972">
        <f t="shared" ref="K20:U20" si="5">2*K$10</f>
        <v>8</v>
      </c>
      <c r="L20" s="1972">
        <f t="shared" si="5"/>
        <v>6</v>
      </c>
      <c r="M20" s="1972">
        <f t="shared" si="5"/>
        <v>6</v>
      </c>
      <c r="N20" s="1972">
        <f t="shared" si="5"/>
        <v>10</v>
      </c>
      <c r="O20" s="1972">
        <f t="shared" si="5"/>
        <v>4</v>
      </c>
      <c r="P20" s="1972">
        <f t="shared" si="5"/>
        <v>0</v>
      </c>
      <c r="Q20" s="1972">
        <f t="shared" si="5"/>
        <v>6</v>
      </c>
      <c r="R20" s="1972">
        <f t="shared" si="5"/>
        <v>12</v>
      </c>
      <c r="S20" s="1972">
        <f t="shared" si="5"/>
        <v>2</v>
      </c>
      <c r="T20" s="1972">
        <f t="shared" si="5"/>
        <v>0</v>
      </c>
      <c r="U20" s="1972">
        <f t="shared" si="5"/>
        <v>0</v>
      </c>
      <c r="V20" s="324"/>
      <c r="W20" s="324"/>
      <c r="X20" s="2020">
        <v>0.74</v>
      </c>
      <c r="Y20" s="2019" t="s">
        <v>1012</v>
      </c>
    </row>
    <row r="21" spans="2:26" ht="16.5" customHeight="1" thickBot="1">
      <c r="B21" s="1946">
        <f t="shared" si="3"/>
        <v>2.0799999999999983</v>
      </c>
      <c r="C21" s="1943"/>
      <c r="D21" s="1951" t="s">
        <v>755</v>
      </c>
      <c r="E21" s="1991"/>
      <c r="F21" s="1944"/>
      <c r="G21" s="1945" t="s">
        <v>18</v>
      </c>
      <c r="H21" s="1969">
        <f t="shared" si="0"/>
        <v>37</v>
      </c>
      <c r="I21" s="1941"/>
      <c r="J21" s="1972">
        <f t="shared" si="2"/>
        <v>10</v>
      </c>
      <c r="K21" s="1972">
        <f t="shared" si="2"/>
        <v>4</v>
      </c>
      <c r="L21" s="1972">
        <f t="shared" si="2"/>
        <v>3</v>
      </c>
      <c r="M21" s="1972">
        <f t="shared" si="2"/>
        <v>3</v>
      </c>
      <c r="N21" s="1972">
        <f t="shared" si="2"/>
        <v>5</v>
      </c>
      <c r="O21" s="1972">
        <f t="shared" si="2"/>
        <v>2</v>
      </c>
      <c r="P21" s="1972">
        <f t="shared" si="2"/>
        <v>0</v>
      </c>
      <c r="Q21" s="1972">
        <f t="shared" si="2"/>
        <v>3</v>
      </c>
      <c r="R21" s="1972">
        <f t="shared" si="2"/>
        <v>6</v>
      </c>
      <c r="S21" s="1972">
        <f t="shared" si="2"/>
        <v>1</v>
      </c>
      <c r="T21" s="1972">
        <f t="shared" si="2"/>
        <v>0</v>
      </c>
      <c r="U21" s="1972">
        <f t="shared" si="2"/>
        <v>0</v>
      </c>
      <c r="V21" s="324"/>
      <c r="W21" s="324"/>
      <c r="X21" s="2020">
        <v>1.2</v>
      </c>
      <c r="Y21" s="2020">
        <v>0.3</v>
      </c>
    </row>
    <row r="22" spans="2:26" ht="16.5" customHeight="1" thickBot="1">
      <c r="B22" s="1946">
        <f t="shared" si="3"/>
        <v>2.0899999999999981</v>
      </c>
      <c r="C22" s="1943"/>
      <c r="D22" s="1951" t="s">
        <v>756</v>
      </c>
      <c r="E22" s="1991"/>
      <c r="F22" s="1944"/>
      <c r="G22" s="1945" t="s">
        <v>18</v>
      </c>
      <c r="H22" s="1969">
        <f t="shared" si="0"/>
        <v>37</v>
      </c>
      <c r="I22" s="1941"/>
      <c r="J22" s="1972">
        <f t="shared" si="2"/>
        <v>10</v>
      </c>
      <c r="K22" s="1972">
        <f t="shared" si="2"/>
        <v>4</v>
      </c>
      <c r="L22" s="1972">
        <f t="shared" si="2"/>
        <v>3</v>
      </c>
      <c r="M22" s="1972">
        <f t="shared" si="2"/>
        <v>3</v>
      </c>
      <c r="N22" s="1972">
        <f t="shared" si="2"/>
        <v>5</v>
      </c>
      <c r="O22" s="1972">
        <f t="shared" si="2"/>
        <v>2</v>
      </c>
      <c r="P22" s="1972">
        <f t="shared" si="2"/>
        <v>0</v>
      </c>
      <c r="Q22" s="1972">
        <f t="shared" si="2"/>
        <v>3</v>
      </c>
      <c r="R22" s="1972">
        <f t="shared" si="2"/>
        <v>6</v>
      </c>
      <c r="S22" s="1972">
        <f t="shared" si="2"/>
        <v>1</v>
      </c>
      <c r="T22" s="1972">
        <f t="shared" si="2"/>
        <v>0</v>
      </c>
      <c r="U22" s="1972">
        <f t="shared" si="2"/>
        <v>0</v>
      </c>
      <c r="V22" s="324"/>
      <c r="W22" s="324"/>
      <c r="X22" s="2020">
        <v>0.71</v>
      </c>
      <c r="Y22" s="2020">
        <v>0.2</v>
      </c>
    </row>
    <row r="23" spans="2:26" ht="16.5" customHeight="1" thickBot="1">
      <c r="B23" s="1946">
        <f t="shared" si="3"/>
        <v>2.0999999999999979</v>
      </c>
      <c r="C23" s="1943"/>
      <c r="D23" s="1951" t="s">
        <v>757</v>
      </c>
      <c r="E23" s="1991"/>
      <c r="F23" s="1944"/>
      <c r="G23" s="1945" t="s">
        <v>18</v>
      </c>
      <c r="H23" s="1969">
        <f t="shared" si="0"/>
        <v>37</v>
      </c>
      <c r="I23" s="1941"/>
      <c r="J23" s="1972">
        <f t="shared" si="2"/>
        <v>10</v>
      </c>
      <c r="K23" s="1972">
        <f t="shared" si="2"/>
        <v>4</v>
      </c>
      <c r="L23" s="1972">
        <f t="shared" si="2"/>
        <v>3</v>
      </c>
      <c r="M23" s="1972">
        <f t="shared" si="2"/>
        <v>3</v>
      </c>
      <c r="N23" s="1972">
        <f t="shared" si="2"/>
        <v>5</v>
      </c>
      <c r="O23" s="1972">
        <f t="shared" si="2"/>
        <v>2</v>
      </c>
      <c r="P23" s="1972">
        <f t="shared" si="2"/>
        <v>0</v>
      </c>
      <c r="Q23" s="1972">
        <f t="shared" si="2"/>
        <v>3</v>
      </c>
      <c r="R23" s="1972">
        <f t="shared" si="2"/>
        <v>6</v>
      </c>
      <c r="S23" s="1972">
        <f t="shared" si="2"/>
        <v>1</v>
      </c>
      <c r="T23" s="1972">
        <f t="shared" si="2"/>
        <v>0</v>
      </c>
      <c r="U23" s="1972">
        <f t="shared" si="2"/>
        <v>0</v>
      </c>
      <c r="V23" s="324"/>
      <c r="W23" s="324"/>
      <c r="X23" s="2020">
        <v>9.6300000000000008</v>
      </c>
      <c r="Y23" s="2020">
        <v>0.37</v>
      </c>
    </row>
    <row r="24" spans="2:26" ht="16.5" customHeight="1" thickBot="1">
      <c r="B24" s="1946">
        <f t="shared" si="3"/>
        <v>2.1099999999999977</v>
      </c>
      <c r="C24" s="1943"/>
      <c r="D24" s="1951" t="s">
        <v>758</v>
      </c>
      <c r="E24" s="1991"/>
      <c r="F24" s="1944"/>
      <c r="G24" s="1945" t="s">
        <v>18</v>
      </c>
      <c r="H24" s="1969">
        <f t="shared" si="0"/>
        <v>37</v>
      </c>
      <c r="I24" s="1941"/>
      <c r="J24" s="1972">
        <f t="shared" si="2"/>
        <v>10</v>
      </c>
      <c r="K24" s="1972">
        <f t="shared" si="2"/>
        <v>4</v>
      </c>
      <c r="L24" s="1972">
        <f t="shared" si="2"/>
        <v>3</v>
      </c>
      <c r="M24" s="1972">
        <f t="shared" si="2"/>
        <v>3</v>
      </c>
      <c r="N24" s="1972">
        <f t="shared" si="2"/>
        <v>5</v>
      </c>
      <c r="O24" s="1972">
        <f t="shared" si="2"/>
        <v>2</v>
      </c>
      <c r="P24" s="1972">
        <f t="shared" si="2"/>
        <v>0</v>
      </c>
      <c r="Q24" s="1972">
        <f t="shared" si="2"/>
        <v>3</v>
      </c>
      <c r="R24" s="1972">
        <f t="shared" si="2"/>
        <v>6</v>
      </c>
      <c r="S24" s="1972">
        <f t="shared" si="2"/>
        <v>1</v>
      </c>
      <c r="T24" s="1972">
        <f t="shared" si="2"/>
        <v>0</v>
      </c>
      <c r="U24" s="1972">
        <f t="shared" si="2"/>
        <v>0</v>
      </c>
      <c r="V24" s="324"/>
      <c r="W24" s="324"/>
      <c r="X24" s="2020">
        <v>3.03</v>
      </c>
      <c r="Y24" s="2020">
        <v>0.9</v>
      </c>
    </row>
    <row r="25" spans="2:26" ht="16.5" customHeight="1" thickBot="1">
      <c r="B25" s="1946"/>
      <c r="C25" s="1943"/>
      <c r="D25" s="2036" t="s">
        <v>1029</v>
      </c>
      <c r="E25" s="2037"/>
      <c r="F25" s="2038"/>
      <c r="G25" s="1945" t="s">
        <v>18</v>
      </c>
      <c r="H25" s="1969">
        <f t="shared" si="0"/>
        <v>37</v>
      </c>
      <c r="I25" s="1941"/>
      <c r="J25" s="1972">
        <f t="shared" si="2"/>
        <v>10</v>
      </c>
      <c r="K25" s="1972">
        <f t="shared" si="2"/>
        <v>4</v>
      </c>
      <c r="L25" s="1972">
        <f t="shared" si="2"/>
        <v>3</v>
      </c>
      <c r="M25" s="1972">
        <f t="shared" si="2"/>
        <v>3</v>
      </c>
      <c r="N25" s="1972">
        <f t="shared" si="2"/>
        <v>5</v>
      </c>
      <c r="O25" s="1972">
        <f t="shared" si="2"/>
        <v>2</v>
      </c>
      <c r="P25" s="1972">
        <f t="shared" si="2"/>
        <v>0</v>
      </c>
      <c r="Q25" s="1972">
        <f t="shared" si="2"/>
        <v>3</v>
      </c>
      <c r="R25" s="1972">
        <f t="shared" si="2"/>
        <v>6</v>
      </c>
      <c r="S25" s="1972">
        <f t="shared" si="2"/>
        <v>1</v>
      </c>
      <c r="T25" s="1972">
        <f t="shared" si="2"/>
        <v>0</v>
      </c>
      <c r="U25" s="1972">
        <f t="shared" si="2"/>
        <v>0</v>
      </c>
      <c r="V25" s="324"/>
      <c r="W25" s="324"/>
      <c r="X25" s="2020"/>
      <c r="Y25" s="2020"/>
    </row>
    <row r="26" spans="2:26" ht="16.5" customHeight="1" thickBot="1">
      <c r="B26" s="1947"/>
      <c r="C26" s="1943"/>
      <c r="D26" s="1991"/>
      <c r="E26" s="1991"/>
      <c r="F26" s="1948"/>
      <c r="G26" s="1945"/>
      <c r="H26" s="1969"/>
      <c r="I26" s="1941"/>
      <c r="J26" s="1972"/>
      <c r="K26" s="1972"/>
      <c r="L26" s="1972"/>
      <c r="M26" s="1972"/>
      <c r="N26" s="1972"/>
      <c r="O26" s="1972"/>
      <c r="P26" s="1972"/>
      <c r="Q26" s="1972"/>
      <c r="R26" s="1972"/>
      <c r="S26" s="1972"/>
      <c r="T26" s="1972"/>
      <c r="U26" s="1972"/>
      <c r="V26" s="324"/>
      <c r="W26" s="324"/>
      <c r="X26" s="2020">
        <v>3.06</v>
      </c>
      <c r="Y26" s="2020">
        <v>0.45</v>
      </c>
    </row>
    <row r="27" spans="2:26" ht="16.5" customHeight="1" thickBot="1">
      <c r="B27" s="1942">
        <f>+B13+1</f>
        <v>3</v>
      </c>
      <c r="C27" s="1943"/>
      <c r="D27" s="1975" t="s">
        <v>597</v>
      </c>
      <c r="E27" s="1991"/>
      <c r="F27" s="1944"/>
      <c r="G27" s="1945"/>
      <c r="H27" s="1969"/>
      <c r="I27" s="1941"/>
      <c r="J27" s="1972"/>
      <c r="K27" s="1972"/>
      <c r="L27" s="1972"/>
      <c r="M27" s="1972"/>
      <c r="N27" s="1972"/>
      <c r="O27" s="1972"/>
      <c r="P27" s="1972"/>
      <c r="Q27" s="1972"/>
      <c r="R27" s="1972"/>
      <c r="S27" s="1972"/>
      <c r="T27" s="1972"/>
      <c r="U27" s="1972"/>
      <c r="V27" s="324"/>
      <c r="W27" s="324"/>
      <c r="X27" s="2020">
        <v>2.34</v>
      </c>
      <c r="Y27" s="2020">
        <v>0.61</v>
      </c>
    </row>
    <row r="28" spans="2:26" ht="16.5" customHeight="1" thickBot="1">
      <c r="B28" s="1946">
        <f t="shared" ref="B28:B39" si="6">+B27+0.01</f>
        <v>3.01</v>
      </c>
      <c r="C28" s="1943"/>
      <c r="D28" s="1951" t="s">
        <v>759</v>
      </c>
      <c r="E28" s="1991"/>
      <c r="F28" s="1944"/>
      <c r="G28" s="1945" t="s">
        <v>18</v>
      </c>
      <c r="H28" s="1969">
        <f t="shared" si="0"/>
        <v>0</v>
      </c>
      <c r="I28" s="1941"/>
      <c r="J28" s="1972">
        <v>0</v>
      </c>
      <c r="K28" s="1972">
        <v>0</v>
      </c>
      <c r="L28" s="1972">
        <v>0</v>
      </c>
      <c r="M28" s="1972">
        <v>0</v>
      </c>
      <c r="N28" s="1972">
        <v>0</v>
      </c>
      <c r="O28" s="1972">
        <v>0</v>
      </c>
      <c r="P28" s="1972">
        <v>0</v>
      </c>
      <c r="Q28" s="1972">
        <v>0</v>
      </c>
      <c r="R28" s="1972">
        <v>0</v>
      </c>
      <c r="S28" s="1972">
        <v>0</v>
      </c>
      <c r="T28" s="1972">
        <v>0</v>
      </c>
      <c r="U28" s="1972">
        <v>0</v>
      </c>
      <c r="V28" s="324"/>
      <c r="W28" s="324"/>
      <c r="X28" s="2018"/>
      <c r="Y28" s="2020">
        <v>0.4</v>
      </c>
      <c r="Z28" s="324"/>
    </row>
    <row r="29" spans="2:26" ht="16.5" customHeight="1" thickBot="1">
      <c r="B29" s="1946">
        <f t="shared" si="6"/>
        <v>3.0199999999999996</v>
      </c>
      <c r="C29" s="1943"/>
      <c r="D29" s="1951" t="s">
        <v>760</v>
      </c>
      <c r="E29" s="1991"/>
      <c r="F29" s="1944"/>
      <c r="G29" s="1945" t="s">
        <v>18</v>
      </c>
      <c r="H29" s="1969">
        <f t="shared" si="0"/>
        <v>0</v>
      </c>
      <c r="I29" s="1941"/>
      <c r="J29" s="1972">
        <v>0</v>
      </c>
      <c r="K29" s="1972">
        <v>0</v>
      </c>
      <c r="L29" s="1972">
        <v>0</v>
      </c>
      <c r="M29" s="1972">
        <v>0</v>
      </c>
      <c r="N29" s="1972">
        <v>0</v>
      </c>
      <c r="O29" s="1972">
        <v>0</v>
      </c>
      <c r="P29" s="1972">
        <v>0</v>
      </c>
      <c r="Q29" s="1972">
        <v>0</v>
      </c>
      <c r="R29" s="1972">
        <v>0</v>
      </c>
      <c r="S29" s="1972">
        <v>0</v>
      </c>
      <c r="T29" s="1972">
        <v>0</v>
      </c>
      <c r="U29" s="1972">
        <v>0</v>
      </c>
      <c r="V29" s="324"/>
      <c r="W29" s="324"/>
      <c r="X29" s="2018"/>
      <c r="Y29" s="2020">
        <v>7.89</v>
      </c>
      <c r="Z29" s="324"/>
    </row>
    <row r="30" spans="2:26" ht="16.5" customHeight="1" thickBot="1">
      <c r="B30" s="1946">
        <f t="shared" si="6"/>
        <v>3.0299999999999994</v>
      </c>
      <c r="C30" s="1943"/>
      <c r="D30" s="1951" t="s">
        <v>761</v>
      </c>
      <c r="E30" s="1991"/>
      <c r="F30" s="1944"/>
      <c r="G30" s="1945" t="s">
        <v>187</v>
      </c>
      <c r="H30" s="1969">
        <f t="shared" si="0"/>
        <v>148</v>
      </c>
      <c r="I30" s="1941"/>
      <c r="J30" s="1972">
        <f>4*J$10</f>
        <v>40</v>
      </c>
      <c r="K30" s="1972">
        <f t="shared" ref="K30:U30" si="7">4*K$10</f>
        <v>16</v>
      </c>
      <c r="L30" s="1972">
        <f t="shared" si="7"/>
        <v>12</v>
      </c>
      <c r="M30" s="1972">
        <f t="shared" si="7"/>
        <v>12</v>
      </c>
      <c r="N30" s="1972">
        <f t="shared" si="7"/>
        <v>20</v>
      </c>
      <c r="O30" s="1972">
        <f t="shared" si="7"/>
        <v>8</v>
      </c>
      <c r="P30" s="1972">
        <f t="shared" si="7"/>
        <v>0</v>
      </c>
      <c r="Q30" s="1972">
        <f t="shared" si="7"/>
        <v>12</v>
      </c>
      <c r="R30" s="1972">
        <f t="shared" si="7"/>
        <v>24</v>
      </c>
      <c r="S30" s="1972">
        <f t="shared" si="7"/>
        <v>4</v>
      </c>
      <c r="T30" s="1972">
        <f t="shared" si="7"/>
        <v>0</v>
      </c>
      <c r="U30" s="1972">
        <f t="shared" si="7"/>
        <v>0</v>
      </c>
      <c r="V30" s="324"/>
      <c r="W30" s="324"/>
      <c r="X30" s="2018"/>
      <c r="Y30" s="2020">
        <v>2.0099999999999998</v>
      </c>
      <c r="Z30" s="324"/>
    </row>
    <row r="31" spans="2:26" ht="16.5" customHeight="1" thickBot="1">
      <c r="B31" s="1946">
        <f t="shared" si="6"/>
        <v>3.0399999999999991</v>
      </c>
      <c r="C31" s="1943"/>
      <c r="D31" s="1951" t="s">
        <v>753</v>
      </c>
      <c r="E31" s="1991"/>
      <c r="F31" s="1944"/>
      <c r="G31" s="1945" t="s">
        <v>187</v>
      </c>
      <c r="H31" s="1969">
        <f t="shared" si="0"/>
        <v>74</v>
      </c>
      <c r="I31" s="1941"/>
      <c r="J31" s="1972">
        <f>2*J$10</f>
        <v>20</v>
      </c>
      <c r="K31" s="1972">
        <f t="shared" ref="K31:U31" si="8">2*K$10</f>
        <v>8</v>
      </c>
      <c r="L31" s="1972">
        <f t="shared" si="8"/>
        <v>6</v>
      </c>
      <c r="M31" s="1972">
        <f t="shared" si="8"/>
        <v>6</v>
      </c>
      <c r="N31" s="1972">
        <f t="shared" si="8"/>
        <v>10</v>
      </c>
      <c r="O31" s="1972">
        <f t="shared" si="8"/>
        <v>4</v>
      </c>
      <c r="P31" s="1972">
        <f t="shared" si="8"/>
        <v>0</v>
      </c>
      <c r="Q31" s="1972">
        <f t="shared" si="8"/>
        <v>6</v>
      </c>
      <c r="R31" s="1972">
        <f t="shared" si="8"/>
        <v>12</v>
      </c>
      <c r="S31" s="1972">
        <f t="shared" si="8"/>
        <v>2</v>
      </c>
      <c r="T31" s="1972">
        <f t="shared" si="8"/>
        <v>0</v>
      </c>
      <c r="U31" s="1972">
        <f t="shared" si="8"/>
        <v>0</v>
      </c>
      <c r="V31" s="324"/>
      <c r="W31" s="324"/>
      <c r="X31" s="2018"/>
      <c r="Y31" s="2020">
        <v>2.98</v>
      </c>
      <c r="Z31" s="324"/>
    </row>
    <row r="32" spans="2:26" ht="16.5" customHeight="1" thickBot="1">
      <c r="B32" s="1946">
        <f t="shared" si="6"/>
        <v>3.0499999999999989</v>
      </c>
      <c r="C32" s="1943"/>
      <c r="D32" s="1951" t="s">
        <v>754</v>
      </c>
      <c r="E32" s="1991"/>
      <c r="F32" s="1944"/>
      <c r="G32" s="1945" t="s">
        <v>18</v>
      </c>
      <c r="H32" s="1969">
        <f t="shared" si="0"/>
        <v>259</v>
      </c>
      <c r="I32" s="1941"/>
      <c r="J32" s="1972">
        <f>7*J$10</f>
        <v>70</v>
      </c>
      <c r="K32" s="1972">
        <f t="shared" ref="K32:U32" si="9">7*K$10</f>
        <v>28</v>
      </c>
      <c r="L32" s="1972">
        <f t="shared" si="9"/>
        <v>21</v>
      </c>
      <c r="M32" s="1972">
        <f t="shared" si="9"/>
        <v>21</v>
      </c>
      <c r="N32" s="1972">
        <f t="shared" si="9"/>
        <v>35</v>
      </c>
      <c r="O32" s="1972">
        <f t="shared" si="9"/>
        <v>14</v>
      </c>
      <c r="P32" s="1972">
        <f t="shared" si="9"/>
        <v>0</v>
      </c>
      <c r="Q32" s="1972">
        <f t="shared" si="9"/>
        <v>21</v>
      </c>
      <c r="R32" s="1972">
        <f t="shared" si="9"/>
        <v>42</v>
      </c>
      <c r="S32" s="1972">
        <f t="shared" si="9"/>
        <v>7</v>
      </c>
      <c r="T32" s="1972">
        <f t="shared" si="9"/>
        <v>0</v>
      </c>
      <c r="U32" s="1972">
        <f t="shared" si="9"/>
        <v>0</v>
      </c>
      <c r="V32" s="324"/>
      <c r="W32" s="324"/>
      <c r="X32" s="2018"/>
      <c r="Y32" s="2020">
        <v>2.34</v>
      </c>
      <c r="Z32" s="324"/>
    </row>
    <row r="33" spans="2:26" ht="16.5" customHeight="1" thickBot="1">
      <c r="B33" s="1946">
        <f t="shared" si="6"/>
        <v>3.0599999999999987</v>
      </c>
      <c r="C33" s="1943"/>
      <c r="D33" s="1951" t="s">
        <v>755</v>
      </c>
      <c r="E33" s="1991"/>
      <c r="F33" s="1944"/>
      <c r="G33" s="1945" t="s">
        <v>18</v>
      </c>
      <c r="H33" s="1969">
        <f t="shared" si="0"/>
        <v>37</v>
      </c>
      <c r="I33" s="1941"/>
      <c r="J33" s="1972">
        <f t="shared" si="2"/>
        <v>10</v>
      </c>
      <c r="K33" s="1972">
        <f t="shared" si="2"/>
        <v>4</v>
      </c>
      <c r="L33" s="1972">
        <f t="shared" si="2"/>
        <v>3</v>
      </c>
      <c r="M33" s="1972">
        <f t="shared" si="2"/>
        <v>3</v>
      </c>
      <c r="N33" s="1972">
        <f t="shared" si="2"/>
        <v>5</v>
      </c>
      <c r="O33" s="1972">
        <f t="shared" si="2"/>
        <v>2</v>
      </c>
      <c r="P33" s="1972">
        <f t="shared" si="2"/>
        <v>0</v>
      </c>
      <c r="Q33" s="1972">
        <f t="shared" si="2"/>
        <v>3</v>
      </c>
      <c r="R33" s="1972">
        <f t="shared" si="2"/>
        <v>6</v>
      </c>
      <c r="S33" s="1972">
        <f t="shared" si="2"/>
        <v>1</v>
      </c>
      <c r="T33" s="1972">
        <f t="shared" si="2"/>
        <v>0</v>
      </c>
      <c r="U33" s="1972">
        <f t="shared" si="2"/>
        <v>0</v>
      </c>
      <c r="V33" s="324"/>
      <c r="W33" s="324"/>
      <c r="X33" s="2018"/>
      <c r="Y33" s="2020">
        <v>2.1</v>
      </c>
      <c r="Z33" s="324"/>
    </row>
    <row r="34" spans="2:26" ht="16.5" customHeight="1">
      <c r="B34" s="1946">
        <f t="shared" si="6"/>
        <v>3.0699999999999985</v>
      </c>
      <c r="C34" s="1943"/>
      <c r="D34" s="1951" t="s">
        <v>762</v>
      </c>
      <c r="E34" s="1991"/>
      <c r="F34" s="1944"/>
      <c r="G34" s="1945" t="s">
        <v>18</v>
      </c>
      <c r="H34" s="1969">
        <f t="shared" si="0"/>
        <v>74</v>
      </c>
      <c r="I34" s="1941"/>
      <c r="J34" s="1972">
        <f>2*J$10</f>
        <v>20</v>
      </c>
      <c r="K34" s="1972">
        <f t="shared" ref="K34:U34" si="10">2*K$10</f>
        <v>8</v>
      </c>
      <c r="L34" s="1972">
        <f t="shared" si="10"/>
        <v>6</v>
      </c>
      <c r="M34" s="1972">
        <f t="shared" si="10"/>
        <v>6</v>
      </c>
      <c r="N34" s="1972">
        <f t="shared" si="10"/>
        <v>10</v>
      </c>
      <c r="O34" s="1972">
        <f t="shared" si="10"/>
        <v>4</v>
      </c>
      <c r="P34" s="1972">
        <f t="shared" si="10"/>
        <v>0</v>
      </c>
      <c r="Q34" s="1972">
        <f t="shared" si="10"/>
        <v>6</v>
      </c>
      <c r="R34" s="1972">
        <f t="shared" si="10"/>
        <v>12</v>
      </c>
      <c r="S34" s="1972">
        <f t="shared" si="10"/>
        <v>2</v>
      </c>
      <c r="T34" s="1972">
        <f t="shared" si="10"/>
        <v>0</v>
      </c>
      <c r="U34" s="1972">
        <f t="shared" si="10"/>
        <v>0</v>
      </c>
      <c r="V34" s="324"/>
      <c r="W34" s="324"/>
      <c r="X34" s="2018"/>
      <c r="Y34" s="328"/>
      <c r="Z34" s="324"/>
    </row>
    <row r="35" spans="2:26" ht="16.5" customHeight="1">
      <c r="B35" s="1946">
        <f t="shared" si="6"/>
        <v>3.0799999999999983</v>
      </c>
      <c r="C35" s="1943"/>
      <c r="D35" s="1951" t="s">
        <v>750</v>
      </c>
      <c r="E35" s="1991"/>
      <c r="F35" s="1944"/>
      <c r="G35" s="1945" t="s">
        <v>18</v>
      </c>
      <c r="H35" s="1969">
        <f t="shared" si="0"/>
        <v>148</v>
      </c>
      <c r="I35" s="1941"/>
      <c r="J35" s="1972">
        <f>4*J$10</f>
        <v>40</v>
      </c>
      <c r="K35" s="1972">
        <f t="shared" ref="K35:U35" si="11">4*K$10</f>
        <v>16</v>
      </c>
      <c r="L35" s="1972">
        <f t="shared" si="11"/>
        <v>12</v>
      </c>
      <c r="M35" s="1972">
        <f t="shared" si="11"/>
        <v>12</v>
      </c>
      <c r="N35" s="1972">
        <f t="shared" si="11"/>
        <v>20</v>
      </c>
      <c r="O35" s="1972">
        <f t="shared" si="11"/>
        <v>8</v>
      </c>
      <c r="P35" s="1972">
        <f t="shared" si="11"/>
        <v>0</v>
      </c>
      <c r="Q35" s="1972">
        <f t="shared" si="11"/>
        <v>12</v>
      </c>
      <c r="R35" s="1972">
        <f t="shared" si="11"/>
        <v>24</v>
      </c>
      <c r="S35" s="1972">
        <f t="shared" si="11"/>
        <v>4</v>
      </c>
      <c r="T35" s="1972">
        <f t="shared" si="11"/>
        <v>0</v>
      </c>
      <c r="U35" s="1972">
        <f t="shared" si="11"/>
        <v>0</v>
      </c>
      <c r="V35" s="324"/>
      <c r="W35" s="324"/>
      <c r="X35" s="2018"/>
      <c r="Y35" s="328"/>
      <c r="Z35" s="324"/>
    </row>
    <row r="36" spans="2:26" ht="16.5" customHeight="1">
      <c r="B36" s="1946">
        <f t="shared" si="6"/>
        <v>3.0899999999999981</v>
      </c>
      <c r="C36" s="1943"/>
      <c r="D36" s="1951" t="s">
        <v>598</v>
      </c>
      <c r="E36" s="1991"/>
      <c r="F36" s="1944"/>
      <c r="G36" s="1945" t="s">
        <v>595</v>
      </c>
      <c r="H36" s="1969">
        <f t="shared" si="0"/>
        <v>37</v>
      </c>
      <c r="I36" s="1941"/>
      <c r="J36" s="1972">
        <f t="shared" si="2"/>
        <v>10</v>
      </c>
      <c r="K36" s="1972">
        <f t="shared" si="2"/>
        <v>4</v>
      </c>
      <c r="L36" s="1972">
        <f t="shared" si="2"/>
        <v>3</v>
      </c>
      <c r="M36" s="1972">
        <f t="shared" si="2"/>
        <v>3</v>
      </c>
      <c r="N36" s="1972">
        <f t="shared" si="2"/>
        <v>5</v>
      </c>
      <c r="O36" s="1972">
        <f t="shared" si="2"/>
        <v>2</v>
      </c>
      <c r="P36" s="1972">
        <f t="shared" si="2"/>
        <v>0</v>
      </c>
      <c r="Q36" s="1972">
        <f t="shared" si="2"/>
        <v>3</v>
      </c>
      <c r="R36" s="1972">
        <f t="shared" si="2"/>
        <v>6</v>
      </c>
      <c r="S36" s="1972">
        <f t="shared" si="2"/>
        <v>1</v>
      </c>
      <c r="T36" s="1972">
        <f t="shared" si="2"/>
        <v>0</v>
      </c>
      <c r="U36" s="1972">
        <f t="shared" si="2"/>
        <v>0</v>
      </c>
      <c r="V36" s="324"/>
      <c r="W36" s="324"/>
      <c r="X36" s="2018"/>
      <c r="Y36" s="328"/>
      <c r="Z36" s="324"/>
    </row>
    <row r="37" spans="2:26" ht="16.5" customHeight="1">
      <c r="B37" s="1946">
        <f t="shared" si="6"/>
        <v>3.0999999999999979</v>
      </c>
      <c r="C37" s="1943"/>
      <c r="D37" s="1951" t="s">
        <v>763</v>
      </c>
      <c r="E37" s="1991"/>
      <c r="F37" s="1944"/>
      <c r="G37" s="1945" t="s">
        <v>18</v>
      </c>
      <c r="H37" s="1969">
        <f t="shared" si="0"/>
        <v>37</v>
      </c>
      <c r="I37" s="1941"/>
      <c r="J37" s="1972">
        <f t="shared" si="2"/>
        <v>10</v>
      </c>
      <c r="K37" s="1972">
        <f t="shared" si="2"/>
        <v>4</v>
      </c>
      <c r="L37" s="1972">
        <f t="shared" si="2"/>
        <v>3</v>
      </c>
      <c r="M37" s="1972">
        <f t="shared" si="2"/>
        <v>3</v>
      </c>
      <c r="N37" s="1972">
        <f t="shared" si="2"/>
        <v>5</v>
      </c>
      <c r="O37" s="1972">
        <f t="shared" si="2"/>
        <v>2</v>
      </c>
      <c r="P37" s="1972">
        <f t="shared" si="2"/>
        <v>0</v>
      </c>
      <c r="Q37" s="1972">
        <f t="shared" si="2"/>
        <v>3</v>
      </c>
      <c r="R37" s="1972">
        <f t="shared" si="2"/>
        <v>6</v>
      </c>
      <c r="S37" s="1972">
        <f t="shared" si="2"/>
        <v>1</v>
      </c>
      <c r="T37" s="1972">
        <f t="shared" si="2"/>
        <v>0</v>
      </c>
      <c r="U37" s="1972">
        <f t="shared" si="2"/>
        <v>0</v>
      </c>
      <c r="V37" s="324"/>
      <c r="W37" s="324"/>
      <c r="X37" s="2018"/>
      <c r="Y37" s="328"/>
      <c r="Z37" s="324"/>
    </row>
    <row r="38" spans="2:26" ht="16.5" customHeight="1">
      <c r="B38" s="1946">
        <f t="shared" si="6"/>
        <v>3.1099999999999977</v>
      </c>
      <c r="C38" s="1943"/>
      <c r="D38" s="1951" t="s">
        <v>764</v>
      </c>
      <c r="E38" s="1991"/>
      <c r="F38" s="1944"/>
      <c r="G38" s="1945" t="s">
        <v>187</v>
      </c>
      <c r="H38" s="1969">
        <f t="shared" si="0"/>
        <v>37</v>
      </c>
      <c r="I38" s="1941"/>
      <c r="J38" s="1972">
        <f t="shared" si="2"/>
        <v>10</v>
      </c>
      <c r="K38" s="1972">
        <f t="shared" si="2"/>
        <v>4</v>
      </c>
      <c r="L38" s="1972">
        <f t="shared" si="2"/>
        <v>3</v>
      </c>
      <c r="M38" s="1972">
        <f t="shared" si="2"/>
        <v>3</v>
      </c>
      <c r="N38" s="1972">
        <f t="shared" si="2"/>
        <v>5</v>
      </c>
      <c r="O38" s="1972">
        <f t="shared" si="2"/>
        <v>2</v>
      </c>
      <c r="P38" s="1972">
        <f t="shared" si="2"/>
        <v>0</v>
      </c>
      <c r="Q38" s="1972">
        <f t="shared" si="2"/>
        <v>3</v>
      </c>
      <c r="R38" s="1972">
        <f t="shared" si="2"/>
        <v>6</v>
      </c>
      <c r="S38" s="1972">
        <f t="shared" si="2"/>
        <v>1</v>
      </c>
      <c r="T38" s="1972">
        <f t="shared" si="2"/>
        <v>0</v>
      </c>
      <c r="U38" s="1972">
        <f t="shared" si="2"/>
        <v>0</v>
      </c>
      <c r="V38" s="324"/>
      <c r="W38" s="324"/>
      <c r="X38" s="2018"/>
      <c r="Y38" s="328"/>
      <c r="Z38" s="324"/>
    </row>
    <row r="39" spans="2:26" ht="16.5" customHeight="1">
      <c r="B39" s="1946">
        <f t="shared" si="6"/>
        <v>3.1199999999999974</v>
      </c>
      <c r="C39" s="1943"/>
      <c r="D39" s="1951" t="s">
        <v>765</v>
      </c>
      <c r="E39" s="1991"/>
      <c r="F39" s="1944"/>
      <c r="G39" s="1945" t="s">
        <v>187</v>
      </c>
      <c r="H39" s="1969">
        <f t="shared" si="0"/>
        <v>74</v>
      </c>
      <c r="I39" s="1941"/>
      <c r="J39" s="1972">
        <f>2*J$10</f>
        <v>20</v>
      </c>
      <c r="K39" s="1972">
        <f t="shared" ref="K39:U39" si="12">2*K$10</f>
        <v>8</v>
      </c>
      <c r="L39" s="1972">
        <f t="shared" si="12"/>
        <v>6</v>
      </c>
      <c r="M39" s="1972">
        <f t="shared" si="12"/>
        <v>6</v>
      </c>
      <c r="N39" s="1972">
        <f t="shared" si="12"/>
        <v>10</v>
      </c>
      <c r="O39" s="1972">
        <f t="shared" si="12"/>
        <v>4</v>
      </c>
      <c r="P39" s="1972">
        <f t="shared" si="12"/>
        <v>0</v>
      </c>
      <c r="Q39" s="1972">
        <f t="shared" si="12"/>
        <v>6</v>
      </c>
      <c r="R39" s="1972">
        <f t="shared" si="12"/>
        <v>12</v>
      </c>
      <c r="S39" s="1972">
        <f t="shared" si="12"/>
        <v>2</v>
      </c>
      <c r="T39" s="1972">
        <f t="shared" si="12"/>
        <v>0</v>
      </c>
      <c r="U39" s="1972">
        <f t="shared" si="12"/>
        <v>0</v>
      </c>
      <c r="V39" s="324"/>
      <c r="W39" s="324"/>
      <c r="X39" s="2018"/>
      <c r="Y39" s="328"/>
    </row>
    <row r="40" spans="2:26" ht="16.5" customHeight="1">
      <c r="B40" s="1946"/>
      <c r="C40" s="1943"/>
      <c r="D40" s="2036" t="s">
        <v>1030</v>
      </c>
      <c r="E40" s="2037"/>
      <c r="F40" s="2038"/>
      <c r="G40" s="1945" t="s">
        <v>18</v>
      </c>
      <c r="H40" s="1969">
        <f t="shared" si="0"/>
        <v>37</v>
      </c>
      <c r="I40" s="1941"/>
      <c r="J40" s="1972">
        <f t="shared" si="2"/>
        <v>10</v>
      </c>
      <c r="K40" s="1972">
        <f t="shared" si="2"/>
        <v>4</v>
      </c>
      <c r="L40" s="1972">
        <f t="shared" si="2"/>
        <v>3</v>
      </c>
      <c r="M40" s="1972">
        <f t="shared" si="2"/>
        <v>3</v>
      </c>
      <c r="N40" s="1972">
        <f t="shared" si="2"/>
        <v>5</v>
      </c>
      <c r="O40" s="1972">
        <f t="shared" si="2"/>
        <v>2</v>
      </c>
      <c r="P40" s="1972">
        <f t="shared" si="2"/>
        <v>0</v>
      </c>
      <c r="Q40" s="1972">
        <f t="shared" si="2"/>
        <v>3</v>
      </c>
      <c r="R40" s="1972">
        <f t="shared" si="2"/>
        <v>6</v>
      </c>
      <c r="S40" s="1972">
        <f t="shared" si="2"/>
        <v>1</v>
      </c>
      <c r="T40" s="1972">
        <f t="shared" si="2"/>
        <v>0</v>
      </c>
      <c r="U40" s="1972">
        <f t="shared" si="2"/>
        <v>0</v>
      </c>
      <c r="V40" s="324"/>
      <c r="W40" s="324"/>
      <c r="X40" s="2018"/>
      <c r="Y40" s="328"/>
    </row>
    <row r="41" spans="2:26" ht="16.5" customHeight="1">
      <c r="B41" s="1946"/>
      <c r="C41" s="1943"/>
      <c r="D41" s="2036" t="s">
        <v>1031</v>
      </c>
      <c r="E41" s="2037"/>
      <c r="F41" s="2038"/>
      <c r="G41" s="1945" t="s">
        <v>18</v>
      </c>
      <c r="H41" s="1969">
        <f t="shared" si="0"/>
        <v>37</v>
      </c>
      <c r="I41" s="1941"/>
      <c r="J41" s="1972">
        <f t="shared" si="2"/>
        <v>10</v>
      </c>
      <c r="K41" s="1972">
        <f t="shared" si="2"/>
        <v>4</v>
      </c>
      <c r="L41" s="1972">
        <f t="shared" si="2"/>
        <v>3</v>
      </c>
      <c r="M41" s="1972">
        <f t="shared" si="2"/>
        <v>3</v>
      </c>
      <c r="N41" s="1972">
        <f t="shared" si="2"/>
        <v>5</v>
      </c>
      <c r="O41" s="1972">
        <f t="shared" si="2"/>
        <v>2</v>
      </c>
      <c r="P41" s="1972">
        <f t="shared" si="2"/>
        <v>0</v>
      </c>
      <c r="Q41" s="1972">
        <f t="shared" si="2"/>
        <v>3</v>
      </c>
      <c r="R41" s="1972">
        <f t="shared" si="2"/>
        <v>6</v>
      </c>
      <c r="S41" s="1972">
        <f t="shared" si="2"/>
        <v>1</v>
      </c>
      <c r="T41" s="1972">
        <f t="shared" si="2"/>
        <v>0</v>
      </c>
      <c r="U41" s="1972">
        <f t="shared" si="2"/>
        <v>0</v>
      </c>
      <c r="V41" s="324"/>
      <c r="W41" s="324"/>
      <c r="X41" s="2018"/>
      <c r="Y41" s="328"/>
    </row>
    <row r="42" spans="2:26" ht="16.5" customHeight="1">
      <c r="B42" s="1947"/>
      <c r="C42" s="1943"/>
      <c r="D42" s="1991"/>
      <c r="E42" s="1991"/>
      <c r="F42" s="1948"/>
      <c r="G42" s="1945"/>
      <c r="H42" s="1969"/>
      <c r="I42" s="1941"/>
      <c r="J42" s="1972"/>
      <c r="K42" s="1972"/>
      <c r="L42" s="1972"/>
      <c r="M42" s="1972"/>
      <c r="N42" s="1972"/>
      <c r="O42" s="1972"/>
      <c r="P42" s="1972"/>
      <c r="Q42" s="1972"/>
      <c r="R42" s="1972"/>
      <c r="S42" s="1972"/>
      <c r="T42" s="1972"/>
      <c r="U42" s="1972"/>
      <c r="V42" s="324"/>
      <c r="W42" s="324"/>
      <c r="X42" s="2018"/>
    </row>
    <row r="43" spans="2:26" ht="16.5" customHeight="1">
      <c r="B43" s="1942">
        <f>+B27+1</f>
        <v>4</v>
      </c>
      <c r="C43" s="1943"/>
      <c r="D43" s="1975" t="s">
        <v>766</v>
      </c>
      <c r="E43" s="1991"/>
      <c r="F43" s="1944"/>
      <c r="G43" s="1945"/>
      <c r="H43" s="1969"/>
      <c r="I43" s="1941"/>
      <c r="J43" s="1972"/>
      <c r="K43" s="1972"/>
      <c r="L43" s="1972"/>
      <c r="M43" s="1972"/>
      <c r="N43" s="1972"/>
      <c r="O43" s="1972"/>
      <c r="P43" s="1972"/>
      <c r="Q43" s="1972"/>
      <c r="R43" s="1972"/>
      <c r="S43" s="1972"/>
      <c r="T43" s="1972"/>
      <c r="U43" s="1972"/>
      <c r="V43" s="324"/>
      <c r="W43" s="324"/>
      <c r="X43" s="2018"/>
    </row>
    <row r="44" spans="2:26" ht="16.5" customHeight="1">
      <c r="B44" s="1946">
        <f t="shared" ref="B44:B52" si="13">+B43+0.01</f>
        <v>4.01</v>
      </c>
      <c r="C44" s="1943"/>
      <c r="D44" s="1951" t="s">
        <v>767</v>
      </c>
      <c r="E44" s="1991"/>
      <c r="F44" s="1944"/>
      <c r="G44" s="1945" t="s">
        <v>18</v>
      </c>
      <c r="H44" s="1969">
        <f t="shared" si="0"/>
        <v>0</v>
      </c>
      <c r="I44" s="1941"/>
      <c r="J44" s="1972">
        <v>0</v>
      </c>
      <c r="K44" s="1972">
        <v>0</v>
      </c>
      <c r="L44" s="1972">
        <v>0</v>
      </c>
      <c r="M44" s="1972">
        <v>0</v>
      </c>
      <c r="N44" s="1972">
        <v>0</v>
      </c>
      <c r="O44" s="1972">
        <v>0</v>
      </c>
      <c r="P44" s="1972">
        <v>0</v>
      </c>
      <c r="Q44" s="1972">
        <v>0</v>
      </c>
      <c r="R44" s="1972">
        <v>0</v>
      </c>
      <c r="S44" s="1972">
        <v>0</v>
      </c>
      <c r="T44" s="1972">
        <v>0</v>
      </c>
      <c r="U44" s="1972">
        <v>0</v>
      </c>
      <c r="V44" s="324"/>
      <c r="W44" s="324"/>
      <c r="X44" s="2018"/>
      <c r="Y44" s="324"/>
    </row>
    <row r="45" spans="2:26" ht="16.5" customHeight="1">
      <c r="B45" s="1946">
        <f t="shared" si="13"/>
        <v>4.0199999999999996</v>
      </c>
      <c r="C45" s="1943"/>
      <c r="D45" s="1951" t="s">
        <v>768</v>
      </c>
      <c r="E45" s="1949"/>
      <c r="F45" s="1950"/>
      <c r="G45" s="1945" t="s">
        <v>18</v>
      </c>
      <c r="H45" s="1969">
        <f t="shared" si="0"/>
        <v>37</v>
      </c>
      <c r="I45" s="1941"/>
      <c r="J45" s="1972">
        <f t="shared" si="2"/>
        <v>10</v>
      </c>
      <c r="K45" s="1972">
        <f t="shared" si="2"/>
        <v>4</v>
      </c>
      <c r="L45" s="1972">
        <f t="shared" si="2"/>
        <v>3</v>
      </c>
      <c r="M45" s="1972">
        <f t="shared" si="2"/>
        <v>3</v>
      </c>
      <c r="N45" s="1972">
        <f t="shared" si="2"/>
        <v>5</v>
      </c>
      <c r="O45" s="1972">
        <f t="shared" si="2"/>
        <v>2</v>
      </c>
      <c r="P45" s="1972">
        <f t="shared" si="2"/>
        <v>0</v>
      </c>
      <c r="Q45" s="1972">
        <f t="shared" si="2"/>
        <v>3</v>
      </c>
      <c r="R45" s="1972">
        <f t="shared" si="2"/>
        <v>6</v>
      </c>
      <c r="S45" s="1972">
        <f t="shared" si="2"/>
        <v>1</v>
      </c>
      <c r="T45" s="1972">
        <f t="shared" si="2"/>
        <v>0</v>
      </c>
      <c r="U45" s="1972">
        <f t="shared" si="2"/>
        <v>0</v>
      </c>
      <c r="V45" s="324"/>
      <c r="W45" s="324"/>
      <c r="X45" s="2018"/>
      <c r="Y45" s="324"/>
    </row>
    <row r="46" spans="2:26" ht="16.5" customHeight="1">
      <c r="B46" s="1946">
        <f t="shared" si="13"/>
        <v>4.0299999999999994</v>
      </c>
      <c r="C46" s="1943"/>
      <c r="D46" s="1951" t="s">
        <v>769</v>
      </c>
      <c r="E46" s="1991"/>
      <c r="F46" s="1944"/>
      <c r="G46" s="1945" t="s">
        <v>187</v>
      </c>
      <c r="H46" s="1969">
        <f t="shared" si="0"/>
        <v>148</v>
      </c>
      <c r="I46" s="1941"/>
      <c r="J46" s="1972">
        <f>4*J$10</f>
        <v>40</v>
      </c>
      <c r="K46" s="1972">
        <f t="shared" ref="K46:U46" si="14">4*K$10</f>
        <v>16</v>
      </c>
      <c r="L46" s="1972">
        <f t="shared" si="14"/>
        <v>12</v>
      </c>
      <c r="M46" s="1972">
        <f t="shared" si="14"/>
        <v>12</v>
      </c>
      <c r="N46" s="1972">
        <f t="shared" si="14"/>
        <v>20</v>
      </c>
      <c r="O46" s="1972">
        <f t="shared" si="14"/>
        <v>8</v>
      </c>
      <c r="P46" s="1972">
        <f t="shared" si="14"/>
        <v>0</v>
      </c>
      <c r="Q46" s="1972">
        <f t="shared" si="14"/>
        <v>12</v>
      </c>
      <c r="R46" s="1972">
        <f t="shared" si="14"/>
        <v>24</v>
      </c>
      <c r="S46" s="1972">
        <f t="shared" si="14"/>
        <v>4</v>
      </c>
      <c r="T46" s="1972">
        <f t="shared" si="14"/>
        <v>0</v>
      </c>
      <c r="U46" s="1972">
        <f t="shared" si="14"/>
        <v>0</v>
      </c>
      <c r="V46" s="324"/>
      <c r="W46" s="324"/>
      <c r="X46" s="2018"/>
      <c r="Y46" s="324"/>
    </row>
    <row r="47" spans="2:26" ht="16.5" customHeight="1">
      <c r="B47" s="1946">
        <f t="shared" si="13"/>
        <v>4.0399999999999991</v>
      </c>
      <c r="C47" s="1943"/>
      <c r="D47" s="1951" t="s">
        <v>753</v>
      </c>
      <c r="E47" s="1991"/>
      <c r="F47" s="1944"/>
      <c r="G47" s="1945" t="s">
        <v>187</v>
      </c>
      <c r="H47" s="1969">
        <f t="shared" si="0"/>
        <v>74</v>
      </c>
      <c r="I47" s="1941"/>
      <c r="J47" s="1972">
        <f>2*J$10</f>
        <v>20</v>
      </c>
      <c r="K47" s="1972">
        <f t="shared" ref="K47:U47" si="15">2*K$10</f>
        <v>8</v>
      </c>
      <c r="L47" s="1972">
        <f t="shared" si="15"/>
        <v>6</v>
      </c>
      <c r="M47" s="1972">
        <f t="shared" si="15"/>
        <v>6</v>
      </c>
      <c r="N47" s="1972">
        <f t="shared" si="15"/>
        <v>10</v>
      </c>
      <c r="O47" s="1972">
        <f t="shared" si="15"/>
        <v>4</v>
      </c>
      <c r="P47" s="1972">
        <f t="shared" si="15"/>
        <v>0</v>
      </c>
      <c r="Q47" s="1972">
        <f t="shared" si="15"/>
        <v>6</v>
      </c>
      <c r="R47" s="1972">
        <f t="shared" si="15"/>
        <v>12</v>
      </c>
      <c r="S47" s="1972">
        <f t="shared" si="15"/>
        <v>2</v>
      </c>
      <c r="T47" s="1972">
        <f t="shared" si="15"/>
        <v>0</v>
      </c>
      <c r="U47" s="1972">
        <f t="shared" si="15"/>
        <v>0</v>
      </c>
      <c r="V47" s="324"/>
      <c r="W47" s="324"/>
      <c r="X47" s="2018"/>
      <c r="Y47" s="324"/>
    </row>
    <row r="48" spans="2:26" ht="16.5" customHeight="1">
      <c r="B48" s="1946">
        <f t="shared" si="13"/>
        <v>4.0499999999999989</v>
      </c>
      <c r="C48" s="1943"/>
      <c r="D48" s="1951" t="s">
        <v>754</v>
      </c>
      <c r="E48" s="1991"/>
      <c r="F48" s="1944"/>
      <c r="G48" s="1945" t="s">
        <v>18</v>
      </c>
      <c r="H48" s="1969">
        <f t="shared" si="0"/>
        <v>259</v>
      </c>
      <c r="I48" s="1941"/>
      <c r="J48" s="1972">
        <f>7*J$10</f>
        <v>70</v>
      </c>
      <c r="K48" s="1972">
        <f t="shared" ref="K48:U48" si="16">7*K$10</f>
        <v>28</v>
      </c>
      <c r="L48" s="1972">
        <f t="shared" si="16"/>
        <v>21</v>
      </c>
      <c r="M48" s="1972">
        <f t="shared" si="16"/>
        <v>21</v>
      </c>
      <c r="N48" s="1972">
        <f t="shared" si="16"/>
        <v>35</v>
      </c>
      <c r="O48" s="1972">
        <f t="shared" si="16"/>
        <v>14</v>
      </c>
      <c r="P48" s="1972">
        <f t="shared" si="16"/>
        <v>0</v>
      </c>
      <c r="Q48" s="1972">
        <f t="shared" si="16"/>
        <v>21</v>
      </c>
      <c r="R48" s="1972">
        <f t="shared" si="16"/>
        <v>42</v>
      </c>
      <c r="S48" s="1972">
        <f t="shared" si="16"/>
        <v>7</v>
      </c>
      <c r="T48" s="1972">
        <f t="shared" si="16"/>
        <v>0</v>
      </c>
      <c r="U48" s="1972">
        <f t="shared" si="16"/>
        <v>0</v>
      </c>
      <c r="V48" s="324"/>
      <c r="W48" s="324"/>
      <c r="X48" s="2018"/>
      <c r="Y48" s="324"/>
    </row>
    <row r="49" spans="2:26" ht="16.5" customHeight="1">
      <c r="B49" s="1946">
        <f t="shared" si="13"/>
        <v>4.0599999999999987</v>
      </c>
      <c r="C49" s="1943"/>
      <c r="D49" s="1951" t="s">
        <v>755</v>
      </c>
      <c r="E49" s="1991"/>
      <c r="F49" s="1944"/>
      <c r="G49" s="1945" t="s">
        <v>18</v>
      </c>
      <c r="H49" s="1969">
        <f t="shared" si="0"/>
        <v>37</v>
      </c>
      <c r="I49" s="1941"/>
      <c r="J49" s="1972">
        <f t="shared" si="2"/>
        <v>10</v>
      </c>
      <c r="K49" s="1972">
        <f t="shared" si="2"/>
        <v>4</v>
      </c>
      <c r="L49" s="1972">
        <f t="shared" si="2"/>
        <v>3</v>
      </c>
      <c r="M49" s="1972">
        <f t="shared" si="2"/>
        <v>3</v>
      </c>
      <c r="N49" s="1972">
        <f t="shared" si="2"/>
        <v>5</v>
      </c>
      <c r="O49" s="1972">
        <f t="shared" ref="K49:U60" si="17">+O$10</f>
        <v>2</v>
      </c>
      <c r="P49" s="1972">
        <f t="shared" si="17"/>
        <v>0</v>
      </c>
      <c r="Q49" s="1972">
        <f t="shared" si="17"/>
        <v>3</v>
      </c>
      <c r="R49" s="1972">
        <f t="shared" si="17"/>
        <v>6</v>
      </c>
      <c r="S49" s="1972">
        <f t="shared" si="17"/>
        <v>1</v>
      </c>
      <c r="T49" s="1972">
        <f t="shared" si="17"/>
        <v>0</v>
      </c>
      <c r="U49" s="1972">
        <f t="shared" si="17"/>
        <v>0</v>
      </c>
      <c r="V49" s="324"/>
      <c r="W49" s="324"/>
      <c r="X49" s="2018"/>
      <c r="Y49" s="324"/>
    </row>
    <row r="50" spans="2:26" ht="16.5" customHeight="1">
      <c r="B50" s="1946">
        <f t="shared" si="13"/>
        <v>4.0699999999999985</v>
      </c>
      <c r="C50" s="1943"/>
      <c r="D50" s="1951" t="s">
        <v>750</v>
      </c>
      <c r="E50" s="1991"/>
      <c r="F50" s="1944"/>
      <c r="G50" s="1945" t="s">
        <v>18</v>
      </c>
      <c r="H50" s="1969">
        <f t="shared" si="0"/>
        <v>148</v>
      </c>
      <c r="I50" s="1941"/>
      <c r="J50" s="1972">
        <f>4*J$10</f>
        <v>40</v>
      </c>
      <c r="K50" s="1972">
        <f t="shared" ref="K50:U50" si="18">4*K$10</f>
        <v>16</v>
      </c>
      <c r="L50" s="1972">
        <f t="shared" si="18"/>
        <v>12</v>
      </c>
      <c r="M50" s="1972">
        <f t="shared" si="18"/>
        <v>12</v>
      </c>
      <c r="N50" s="1972">
        <f t="shared" si="18"/>
        <v>20</v>
      </c>
      <c r="O50" s="1972">
        <f t="shared" si="18"/>
        <v>8</v>
      </c>
      <c r="P50" s="1972">
        <f t="shared" si="18"/>
        <v>0</v>
      </c>
      <c r="Q50" s="1972">
        <f t="shared" si="18"/>
        <v>12</v>
      </c>
      <c r="R50" s="1972">
        <f t="shared" si="18"/>
        <v>24</v>
      </c>
      <c r="S50" s="1972">
        <f t="shared" si="18"/>
        <v>4</v>
      </c>
      <c r="T50" s="1972">
        <f t="shared" si="18"/>
        <v>0</v>
      </c>
      <c r="U50" s="1972">
        <f t="shared" si="18"/>
        <v>0</v>
      </c>
      <c r="V50" s="324"/>
      <c r="W50" s="324"/>
      <c r="X50" s="2018"/>
      <c r="Y50" s="324"/>
    </row>
    <row r="51" spans="2:26" ht="16.5" customHeight="1">
      <c r="B51" s="1946">
        <f t="shared" si="13"/>
        <v>4.0799999999999983</v>
      </c>
      <c r="C51" s="1943"/>
      <c r="D51" s="1951" t="s">
        <v>762</v>
      </c>
      <c r="E51" s="1991"/>
      <c r="F51" s="1944"/>
      <c r="G51" s="1945" t="s">
        <v>18</v>
      </c>
      <c r="H51" s="1969">
        <f t="shared" si="0"/>
        <v>74</v>
      </c>
      <c r="I51" s="1941"/>
      <c r="J51" s="1972">
        <f>2*J$10</f>
        <v>20</v>
      </c>
      <c r="K51" s="1972">
        <f t="shared" ref="K51:U51" si="19">2*K$10</f>
        <v>8</v>
      </c>
      <c r="L51" s="1972">
        <f t="shared" si="19"/>
        <v>6</v>
      </c>
      <c r="M51" s="1972">
        <f t="shared" si="19"/>
        <v>6</v>
      </c>
      <c r="N51" s="1972">
        <f t="shared" si="19"/>
        <v>10</v>
      </c>
      <c r="O51" s="1972">
        <f t="shared" si="19"/>
        <v>4</v>
      </c>
      <c r="P51" s="1972">
        <f t="shared" si="19"/>
        <v>0</v>
      </c>
      <c r="Q51" s="1972">
        <f t="shared" si="19"/>
        <v>6</v>
      </c>
      <c r="R51" s="1972">
        <f t="shared" si="19"/>
        <v>12</v>
      </c>
      <c r="S51" s="1972">
        <f t="shared" si="19"/>
        <v>2</v>
      </c>
      <c r="T51" s="1972">
        <f t="shared" si="19"/>
        <v>0</v>
      </c>
      <c r="U51" s="1972">
        <f t="shared" si="19"/>
        <v>0</v>
      </c>
      <c r="V51" s="324"/>
      <c r="W51" s="324"/>
      <c r="X51" s="2018"/>
      <c r="Y51" s="324"/>
    </row>
    <row r="52" spans="2:26" ht="16.5" customHeight="1">
      <c r="B52" s="1946">
        <f t="shared" si="13"/>
        <v>4.0899999999999981</v>
      </c>
      <c r="C52" s="1943"/>
      <c r="D52" s="1951" t="s">
        <v>764</v>
      </c>
      <c r="E52" s="1991"/>
      <c r="F52" s="1944"/>
      <c r="G52" s="1945" t="s">
        <v>187</v>
      </c>
      <c r="H52" s="1969">
        <f t="shared" si="0"/>
        <v>37</v>
      </c>
      <c r="I52" s="1941"/>
      <c r="J52" s="1972">
        <f t="shared" si="2"/>
        <v>10</v>
      </c>
      <c r="K52" s="1972">
        <f t="shared" si="17"/>
        <v>4</v>
      </c>
      <c r="L52" s="1972">
        <f t="shared" si="17"/>
        <v>3</v>
      </c>
      <c r="M52" s="1972">
        <f t="shared" si="17"/>
        <v>3</v>
      </c>
      <c r="N52" s="1972">
        <f t="shared" si="17"/>
        <v>5</v>
      </c>
      <c r="O52" s="1972">
        <f t="shared" si="17"/>
        <v>2</v>
      </c>
      <c r="P52" s="1972">
        <f t="shared" si="17"/>
        <v>0</v>
      </c>
      <c r="Q52" s="1972">
        <f t="shared" si="17"/>
        <v>3</v>
      </c>
      <c r="R52" s="1972">
        <f t="shared" si="17"/>
        <v>6</v>
      </c>
      <c r="S52" s="1972">
        <f t="shared" si="17"/>
        <v>1</v>
      </c>
      <c r="T52" s="1972">
        <f t="shared" si="17"/>
        <v>0</v>
      </c>
      <c r="U52" s="1972">
        <f t="shared" si="17"/>
        <v>0</v>
      </c>
      <c r="V52" s="324"/>
      <c r="W52" s="324"/>
      <c r="X52" s="2018"/>
      <c r="Y52" s="328"/>
      <c r="Z52" s="324"/>
    </row>
    <row r="53" spans="2:26" ht="16.5" customHeight="1">
      <c r="B53" s="1946"/>
      <c r="C53" s="1943"/>
      <c r="D53" s="2036" t="s">
        <v>1032</v>
      </c>
      <c r="E53" s="2037"/>
      <c r="F53" s="2038"/>
      <c r="G53" s="1945" t="s">
        <v>18</v>
      </c>
      <c r="H53" s="1969">
        <f t="shared" si="0"/>
        <v>37</v>
      </c>
      <c r="I53" s="1941"/>
      <c r="J53" s="1972">
        <f t="shared" si="2"/>
        <v>10</v>
      </c>
      <c r="K53" s="1972">
        <f t="shared" si="17"/>
        <v>4</v>
      </c>
      <c r="L53" s="1972">
        <f t="shared" si="17"/>
        <v>3</v>
      </c>
      <c r="M53" s="1972">
        <f t="shared" si="17"/>
        <v>3</v>
      </c>
      <c r="N53" s="1972">
        <f t="shared" si="17"/>
        <v>5</v>
      </c>
      <c r="O53" s="1972">
        <f t="shared" si="17"/>
        <v>2</v>
      </c>
      <c r="P53" s="1972">
        <f t="shared" si="17"/>
        <v>0</v>
      </c>
      <c r="Q53" s="1972">
        <f t="shared" si="17"/>
        <v>3</v>
      </c>
      <c r="R53" s="1972">
        <f t="shared" si="17"/>
        <v>6</v>
      </c>
      <c r="S53" s="1972">
        <f t="shared" si="17"/>
        <v>1</v>
      </c>
      <c r="T53" s="1972">
        <f t="shared" si="17"/>
        <v>0</v>
      </c>
      <c r="U53" s="1972">
        <f t="shared" si="17"/>
        <v>0</v>
      </c>
      <c r="V53" s="324"/>
      <c r="W53" s="324"/>
      <c r="X53" s="2018"/>
      <c r="Y53" s="328"/>
      <c r="Z53" s="324"/>
    </row>
    <row r="54" spans="2:26" ht="16.5" customHeight="1">
      <c r="B54" s="1947"/>
      <c r="C54" s="1943"/>
      <c r="D54" s="1991"/>
      <c r="E54" s="1991"/>
      <c r="F54" s="1948"/>
      <c r="G54" s="1945"/>
      <c r="H54" s="1969"/>
      <c r="I54" s="1941"/>
      <c r="J54" s="1972"/>
      <c r="K54" s="1972"/>
      <c r="L54" s="1972"/>
      <c r="M54" s="1972"/>
      <c r="N54" s="1972"/>
      <c r="O54" s="1972"/>
      <c r="P54" s="1972"/>
      <c r="Q54" s="1972"/>
      <c r="R54" s="1972"/>
      <c r="S54" s="1972"/>
      <c r="T54" s="1972"/>
      <c r="U54" s="1972"/>
      <c r="V54" s="324"/>
      <c r="W54" s="324"/>
      <c r="X54" s="2018"/>
    </row>
    <row r="55" spans="2:26" ht="16.5" customHeight="1">
      <c r="B55" s="1942">
        <f>+B43+1</f>
        <v>5</v>
      </c>
      <c r="C55" s="1943"/>
      <c r="D55" s="1975" t="s">
        <v>770</v>
      </c>
      <c r="E55" s="1991"/>
      <c r="F55" s="1944"/>
      <c r="G55" s="1945"/>
      <c r="H55" s="1969"/>
      <c r="I55" s="1941"/>
      <c r="J55" s="1972"/>
      <c r="K55" s="1972"/>
      <c r="L55" s="1972"/>
      <c r="M55" s="1972"/>
      <c r="N55" s="1972"/>
      <c r="O55" s="1972"/>
      <c r="P55" s="1972"/>
      <c r="Q55" s="1972"/>
      <c r="R55" s="1972"/>
      <c r="S55" s="1972"/>
      <c r="T55" s="1972"/>
      <c r="U55" s="1972"/>
      <c r="V55" s="324"/>
      <c r="W55" s="324"/>
      <c r="X55" s="2018"/>
    </row>
    <row r="56" spans="2:26" ht="16.5" customHeight="1">
      <c r="B56" s="1946">
        <f>B55+0.01</f>
        <v>5.01</v>
      </c>
      <c r="C56" s="1943"/>
      <c r="D56" s="1951" t="s">
        <v>771</v>
      </c>
      <c r="E56" s="1949"/>
      <c r="F56" s="1950"/>
      <c r="G56" s="1945" t="s">
        <v>18</v>
      </c>
      <c r="H56" s="1969">
        <f t="shared" si="0"/>
        <v>37</v>
      </c>
      <c r="I56" s="1941"/>
      <c r="J56" s="1972">
        <f t="shared" si="2"/>
        <v>10</v>
      </c>
      <c r="K56" s="1972">
        <f t="shared" si="17"/>
        <v>4</v>
      </c>
      <c r="L56" s="1972">
        <f t="shared" si="17"/>
        <v>3</v>
      </c>
      <c r="M56" s="1972">
        <f t="shared" si="17"/>
        <v>3</v>
      </c>
      <c r="N56" s="1972">
        <f t="shared" si="17"/>
        <v>5</v>
      </c>
      <c r="O56" s="1972">
        <f t="shared" si="17"/>
        <v>2</v>
      </c>
      <c r="P56" s="1972">
        <f t="shared" si="17"/>
        <v>0</v>
      </c>
      <c r="Q56" s="1972">
        <f t="shared" si="17"/>
        <v>3</v>
      </c>
      <c r="R56" s="1972">
        <f t="shared" si="17"/>
        <v>6</v>
      </c>
      <c r="S56" s="1972">
        <f t="shared" si="17"/>
        <v>1</v>
      </c>
      <c r="T56" s="1972">
        <f t="shared" si="17"/>
        <v>0</v>
      </c>
      <c r="U56" s="1972">
        <f t="shared" si="17"/>
        <v>0</v>
      </c>
      <c r="V56" s="324"/>
      <c r="W56" s="324"/>
      <c r="X56" s="2018"/>
    </row>
    <row r="57" spans="2:26" ht="16.5" customHeight="1">
      <c r="B57" s="1946">
        <f t="shared" ref="B57:B63" si="20">B56+0.01</f>
        <v>5.0199999999999996</v>
      </c>
      <c r="C57" s="1943"/>
      <c r="D57" s="1951" t="s">
        <v>772</v>
      </c>
      <c r="E57" s="1991"/>
      <c r="F57" s="1944"/>
      <c r="G57" s="1945" t="s">
        <v>18</v>
      </c>
      <c r="H57" s="1969">
        <f t="shared" si="0"/>
        <v>74</v>
      </c>
      <c r="I57" s="1941"/>
      <c r="J57" s="1972">
        <f>2*J$10</f>
        <v>20</v>
      </c>
      <c r="K57" s="1972">
        <f t="shared" ref="K57:U57" si="21">2*K$10</f>
        <v>8</v>
      </c>
      <c r="L57" s="1972">
        <f t="shared" si="21"/>
        <v>6</v>
      </c>
      <c r="M57" s="1972">
        <f t="shared" si="21"/>
        <v>6</v>
      </c>
      <c r="N57" s="1972">
        <f t="shared" si="21"/>
        <v>10</v>
      </c>
      <c r="O57" s="1972">
        <f t="shared" si="21"/>
        <v>4</v>
      </c>
      <c r="P57" s="1972">
        <f t="shared" si="21"/>
        <v>0</v>
      </c>
      <c r="Q57" s="1972">
        <f t="shared" si="21"/>
        <v>6</v>
      </c>
      <c r="R57" s="1972">
        <f t="shared" si="21"/>
        <v>12</v>
      </c>
      <c r="S57" s="1972">
        <f t="shared" si="21"/>
        <v>2</v>
      </c>
      <c r="T57" s="1972">
        <f t="shared" si="21"/>
        <v>0</v>
      </c>
      <c r="U57" s="1972">
        <f t="shared" si="21"/>
        <v>0</v>
      </c>
      <c r="V57" s="324"/>
      <c r="W57" s="324"/>
      <c r="X57" s="2018"/>
      <c r="Y57" s="328"/>
      <c r="Z57" s="324"/>
    </row>
    <row r="58" spans="2:26" ht="16.5" customHeight="1">
      <c r="B58" s="1946">
        <f t="shared" si="20"/>
        <v>5.0299999999999994</v>
      </c>
      <c r="C58" s="1943"/>
      <c r="D58" s="1951" t="s">
        <v>773</v>
      </c>
      <c r="E58" s="1991"/>
      <c r="F58" s="1944"/>
      <c r="G58" s="1945" t="s">
        <v>18</v>
      </c>
      <c r="H58" s="1969">
        <f t="shared" si="0"/>
        <v>37</v>
      </c>
      <c r="I58" s="1941"/>
      <c r="J58" s="1972">
        <f t="shared" si="2"/>
        <v>10</v>
      </c>
      <c r="K58" s="1972">
        <f t="shared" si="17"/>
        <v>4</v>
      </c>
      <c r="L58" s="1972">
        <f t="shared" si="17"/>
        <v>3</v>
      </c>
      <c r="M58" s="1972">
        <f t="shared" si="17"/>
        <v>3</v>
      </c>
      <c r="N58" s="1972">
        <f t="shared" si="17"/>
        <v>5</v>
      </c>
      <c r="O58" s="1972">
        <f t="shared" si="17"/>
        <v>2</v>
      </c>
      <c r="P58" s="1972">
        <f t="shared" si="17"/>
        <v>0</v>
      </c>
      <c r="Q58" s="1972">
        <f t="shared" si="17"/>
        <v>3</v>
      </c>
      <c r="R58" s="1972">
        <f t="shared" si="17"/>
        <v>6</v>
      </c>
      <c r="S58" s="1972">
        <f t="shared" si="17"/>
        <v>1</v>
      </c>
      <c r="T58" s="1972">
        <f t="shared" si="17"/>
        <v>0</v>
      </c>
      <c r="U58" s="1972">
        <f t="shared" si="17"/>
        <v>0</v>
      </c>
      <c r="V58" s="324"/>
      <c r="W58" s="324"/>
      <c r="X58" s="2018"/>
      <c r="Y58" s="328"/>
      <c r="Z58" s="324"/>
    </row>
    <row r="59" spans="2:26" ht="16.5" customHeight="1">
      <c r="B59" s="1946">
        <f t="shared" si="20"/>
        <v>5.0399999999999991</v>
      </c>
      <c r="C59" s="1943"/>
      <c r="D59" s="1951" t="s">
        <v>774</v>
      </c>
      <c r="E59" s="1991"/>
      <c r="F59" s="1944"/>
      <c r="G59" s="1945" t="s">
        <v>187</v>
      </c>
      <c r="H59" s="1969">
        <f t="shared" si="0"/>
        <v>185</v>
      </c>
      <c r="I59" s="1941"/>
      <c r="J59" s="1972">
        <f>5*J$10</f>
        <v>50</v>
      </c>
      <c r="K59" s="1972">
        <f t="shared" ref="K59:U59" si="22">5*K$10</f>
        <v>20</v>
      </c>
      <c r="L59" s="1972">
        <f t="shared" si="22"/>
        <v>15</v>
      </c>
      <c r="M59" s="1972">
        <f t="shared" si="22"/>
        <v>15</v>
      </c>
      <c r="N59" s="1972">
        <f t="shared" si="22"/>
        <v>25</v>
      </c>
      <c r="O59" s="1972">
        <f t="shared" si="22"/>
        <v>10</v>
      </c>
      <c r="P59" s="1972">
        <f t="shared" si="22"/>
        <v>0</v>
      </c>
      <c r="Q59" s="1972">
        <f t="shared" si="22"/>
        <v>15</v>
      </c>
      <c r="R59" s="1972">
        <f t="shared" si="22"/>
        <v>30</v>
      </c>
      <c r="S59" s="1972">
        <f t="shared" si="22"/>
        <v>5</v>
      </c>
      <c r="T59" s="1972">
        <f t="shared" si="22"/>
        <v>0</v>
      </c>
      <c r="U59" s="1972">
        <f t="shared" si="22"/>
        <v>0</v>
      </c>
      <c r="V59" s="324"/>
      <c r="W59" s="324"/>
      <c r="X59" s="2018"/>
      <c r="Y59" s="328"/>
      <c r="Z59" s="324"/>
    </row>
    <row r="60" spans="2:26" ht="16.5" customHeight="1">
      <c r="B60" s="1946">
        <f t="shared" si="20"/>
        <v>5.0499999999999989</v>
      </c>
      <c r="C60" s="1943"/>
      <c r="D60" s="1951" t="s">
        <v>775</v>
      </c>
      <c r="E60" s="1991"/>
      <c r="F60" s="1944"/>
      <c r="G60" s="1945" t="s">
        <v>18</v>
      </c>
      <c r="H60" s="1969">
        <f t="shared" si="0"/>
        <v>37</v>
      </c>
      <c r="I60" s="1941"/>
      <c r="J60" s="1972">
        <f t="shared" si="2"/>
        <v>10</v>
      </c>
      <c r="K60" s="1972">
        <f t="shared" si="17"/>
        <v>4</v>
      </c>
      <c r="L60" s="1972">
        <f t="shared" si="17"/>
        <v>3</v>
      </c>
      <c r="M60" s="1972">
        <f t="shared" si="17"/>
        <v>3</v>
      </c>
      <c r="N60" s="1972">
        <f t="shared" si="17"/>
        <v>5</v>
      </c>
      <c r="O60" s="1972">
        <f t="shared" si="17"/>
        <v>2</v>
      </c>
      <c r="P60" s="1972">
        <f t="shared" si="17"/>
        <v>0</v>
      </c>
      <c r="Q60" s="1972">
        <f t="shared" si="17"/>
        <v>3</v>
      </c>
      <c r="R60" s="1972">
        <f t="shared" si="17"/>
        <v>6</v>
      </c>
      <c r="S60" s="1972">
        <f t="shared" si="17"/>
        <v>1</v>
      </c>
      <c r="T60" s="1972">
        <f t="shared" si="17"/>
        <v>0</v>
      </c>
      <c r="U60" s="1972">
        <f t="shared" si="17"/>
        <v>0</v>
      </c>
      <c r="V60" s="324"/>
      <c r="W60" s="324"/>
      <c r="X60" s="2018"/>
      <c r="Y60" s="328"/>
      <c r="Z60" s="324"/>
    </row>
    <row r="61" spans="2:26" ht="16.5" customHeight="1">
      <c r="B61" s="1946">
        <f t="shared" si="20"/>
        <v>5.0599999999999987</v>
      </c>
      <c r="C61" s="1943"/>
      <c r="D61" s="1951" t="s">
        <v>776</v>
      </c>
      <c r="E61" s="1991"/>
      <c r="F61" s="1944"/>
      <c r="G61" s="1945" t="s">
        <v>18</v>
      </c>
      <c r="H61" s="1969">
        <f t="shared" si="0"/>
        <v>74</v>
      </c>
      <c r="I61" s="1941"/>
      <c r="J61" s="1972">
        <f t="shared" ref="J61:U62" si="23">2*J$10</f>
        <v>20</v>
      </c>
      <c r="K61" s="1972">
        <f t="shared" si="23"/>
        <v>8</v>
      </c>
      <c r="L61" s="1972">
        <f t="shared" si="23"/>
        <v>6</v>
      </c>
      <c r="M61" s="1972">
        <f t="shared" si="23"/>
        <v>6</v>
      </c>
      <c r="N61" s="1972">
        <f t="shared" si="23"/>
        <v>10</v>
      </c>
      <c r="O61" s="1972">
        <f t="shared" si="23"/>
        <v>4</v>
      </c>
      <c r="P61" s="1972">
        <f t="shared" si="23"/>
        <v>0</v>
      </c>
      <c r="Q61" s="1972">
        <f t="shared" si="23"/>
        <v>6</v>
      </c>
      <c r="R61" s="1972">
        <f t="shared" si="23"/>
        <v>12</v>
      </c>
      <c r="S61" s="1972">
        <f t="shared" si="23"/>
        <v>2</v>
      </c>
      <c r="T61" s="1972">
        <f t="shared" si="23"/>
        <v>0</v>
      </c>
      <c r="U61" s="1972">
        <f t="shared" si="23"/>
        <v>0</v>
      </c>
      <c r="V61" s="324"/>
      <c r="W61" s="324"/>
      <c r="X61" s="2018"/>
      <c r="Y61" s="328"/>
      <c r="Z61" s="324"/>
    </row>
    <row r="62" spans="2:26" ht="16.5" customHeight="1">
      <c r="B62" s="1946">
        <f t="shared" si="20"/>
        <v>5.0699999999999985</v>
      </c>
      <c r="C62" s="1943"/>
      <c r="D62" s="1951" t="s">
        <v>777</v>
      </c>
      <c r="E62" s="1991"/>
      <c r="F62" s="1944"/>
      <c r="G62" s="1945" t="s">
        <v>18</v>
      </c>
      <c r="H62" s="1969">
        <f t="shared" si="0"/>
        <v>74</v>
      </c>
      <c r="I62" s="1941"/>
      <c r="J62" s="1972">
        <f t="shared" si="23"/>
        <v>20</v>
      </c>
      <c r="K62" s="1972">
        <f t="shared" si="23"/>
        <v>8</v>
      </c>
      <c r="L62" s="1972">
        <f t="shared" si="23"/>
        <v>6</v>
      </c>
      <c r="M62" s="1972">
        <f t="shared" si="23"/>
        <v>6</v>
      </c>
      <c r="N62" s="1972">
        <f t="shared" si="23"/>
        <v>10</v>
      </c>
      <c r="O62" s="1972">
        <f t="shared" si="23"/>
        <v>4</v>
      </c>
      <c r="P62" s="1972">
        <f t="shared" si="23"/>
        <v>0</v>
      </c>
      <c r="Q62" s="1972">
        <f t="shared" si="23"/>
        <v>6</v>
      </c>
      <c r="R62" s="1972">
        <f t="shared" si="23"/>
        <v>12</v>
      </c>
      <c r="S62" s="1972">
        <f t="shared" si="23"/>
        <v>2</v>
      </c>
      <c r="T62" s="1972">
        <f t="shared" si="23"/>
        <v>0</v>
      </c>
      <c r="U62" s="1972">
        <f t="shared" si="23"/>
        <v>0</v>
      </c>
      <c r="V62" s="324"/>
      <c r="W62" s="324"/>
      <c r="X62" s="2018"/>
      <c r="Y62" s="328"/>
      <c r="Z62" s="324"/>
    </row>
    <row r="63" spans="2:26" ht="16.5" customHeight="1">
      <c r="B63" s="1946">
        <f t="shared" si="20"/>
        <v>5.0799999999999983</v>
      </c>
      <c r="C63" s="1943"/>
      <c r="D63" s="1951" t="s">
        <v>778</v>
      </c>
      <c r="E63" s="1991"/>
      <c r="F63" s="1944"/>
      <c r="G63" s="1945" t="s">
        <v>18</v>
      </c>
      <c r="H63" s="1969">
        <f t="shared" si="0"/>
        <v>185</v>
      </c>
      <c r="I63" s="1941"/>
      <c r="J63" s="1972">
        <f>5*J$10</f>
        <v>50</v>
      </c>
      <c r="K63" s="1972">
        <f t="shared" ref="K63:U63" si="24">5*K$10</f>
        <v>20</v>
      </c>
      <c r="L63" s="1972">
        <f t="shared" si="24"/>
        <v>15</v>
      </c>
      <c r="M63" s="1972">
        <f t="shared" si="24"/>
        <v>15</v>
      </c>
      <c r="N63" s="1972">
        <f t="shared" si="24"/>
        <v>25</v>
      </c>
      <c r="O63" s="1972">
        <f t="shared" si="24"/>
        <v>10</v>
      </c>
      <c r="P63" s="1972">
        <f t="shared" si="24"/>
        <v>0</v>
      </c>
      <c r="Q63" s="1972">
        <f t="shared" si="24"/>
        <v>15</v>
      </c>
      <c r="R63" s="1972">
        <f t="shared" si="24"/>
        <v>30</v>
      </c>
      <c r="S63" s="1972">
        <f t="shared" si="24"/>
        <v>5</v>
      </c>
      <c r="T63" s="1972">
        <f t="shared" si="24"/>
        <v>0</v>
      </c>
      <c r="U63" s="1972">
        <f t="shared" si="24"/>
        <v>0</v>
      </c>
      <c r="V63" s="324"/>
      <c r="W63" s="324"/>
      <c r="X63" s="2018"/>
      <c r="Y63" s="328"/>
      <c r="Z63" s="324"/>
    </row>
    <row r="64" spans="2:26" ht="16.5" customHeight="1">
      <c r="B64" s="1947"/>
      <c r="C64" s="1943"/>
      <c r="D64" s="1991"/>
      <c r="E64" s="1991"/>
      <c r="F64" s="1948"/>
      <c r="G64" s="1945"/>
      <c r="H64" s="1969"/>
      <c r="I64" s="1941"/>
      <c r="J64" s="1972"/>
      <c r="K64" s="1972"/>
      <c r="L64" s="1972"/>
      <c r="M64" s="1972"/>
      <c r="N64" s="1972"/>
      <c r="O64" s="1972"/>
      <c r="P64" s="1972"/>
      <c r="Q64" s="1972"/>
      <c r="R64" s="1972"/>
      <c r="S64" s="1972"/>
      <c r="T64" s="1972"/>
      <c r="U64" s="1972"/>
      <c r="V64" s="324"/>
      <c r="W64" s="324"/>
      <c r="X64" s="2018"/>
    </row>
    <row r="65" spans="2:26" ht="16.5" customHeight="1">
      <c r="B65" s="1942">
        <f>+B55+1</f>
        <v>6</v>
      </c>
      <c r="C65" s="1943"/>
      <c r="D65" s="1975" t="s">
        <v>779</v>
      </c>
      <c r="E65" s="1991"/>
      <c r="F65" s="1944"/>
      <c r="G65" s="1945"/>
      <c r="H65" s="1969"/>
      <c r="I65" s="1941"/>
      <c r="J65" s="1972"/>
      <c r="K65" s="1972"/>
      <c r="L65" s="1972"/>
      <c r="M65" s="1972"/>
      <c r="N65" s="1972"/>
      <c r="O65" s="1972"/>
      <c r="P65" s="1972"/>
      <c r="Q65" s="1972"/>
      <c r="R65" s="1972"/>
      <c r="S65" s="1972"/>
      <c r="T65" s="1972"/>
      <c r="U65" s="1972"/>
      <c r="V65" s="324"/>
      <c r="W65" s="324"/>
      <c r="X65" s="2018"/>
    </row>
    <row r="66" spans="2:26" ht="16.5" customHeight="1">
      <c r="B66" s="1946">
        <f>B65+0.01</f>
        <v>6.01</v>
      </c>
      <c r="C66" s="1943"/>
      <c r="D66" s="1951" t="s">
        <v>780</v>
      </c>
      <c r="E66" s="1991"/>
      <c r="F66" s="1944"/>
      <c r="G66" s="1945" t="s">
        <v>187</v>
      </c>
      <c r="H66" s="1969">
        <f t="shared" si="0"/>
        <v>1480</v>
      </c>
      <c r="I66" s="1941"/>
      <c r="J66" s="1972">
        <f>40*J$10</f>
        <v>400</v>
      </c>
      <c r="K66" s="1972">
        <f t="shared" ref="K66:U66" si="25">40*K$10</f>
        <v>160</v>
      </c>
      <c r="L66" s="1972">
        <f t="shared" si="25"/>
        <v>120</v>
      </c>
      <c r="M66" s="1972">
        <f t="shared" si="25"/>
        <v>120</v>
      </c>
      <c r="N66" s="1972">
        <f t="shared" si="25"/>
        <v>200</v>
      </c>
      <c r="O66" s="1972">
        <f t="shared" si="25"/>
        <v>80</v>
      </c>
      <c r="P66" s="1972">
        <f t="shared" si="25"/>
        <v>0</v>
      </c>
      <c r="Q66" s="1972">
        <f t="shared" si="25"/>
        <v>120</v>
      </c>
      <c r="R66" s="1972">
        <f t="shared" si="25"/>
        <v>240</v>
      </c>
      <c r="S66" s="1972">
        <f t="shared" si="25"/>
        <v>40</v>
      </c>
      <c r="T66" s="1972">
        <f t="shared" si="25"/>
        <v>0</v>
      </c>
      <c r="U66" s="1972">
        <f t="shared" si="25"/>
        <v>0</v>
      </c>
      <c r="V66" s="324"/>
      <c r="W66" s="324"/>
      <c r="X66" s="2018"/>
      <c r="Y66" s="328"/>
      <c r="Z66" s="324"/>
    </row>
    <row r="67" spans="2:26" ht="16.5" customHeight="1">
      <c r="B67" s="1946">
        <f t="shared" ref="B67:B82" si="26">B66+0.01</f>
        <v>6.02</v>
      </c>
      <c r="C67" s="1943"/>
      <c r="D67" s="1951" t="s">
        <v>781</v>
      </c>
      <c r="E67" s="1991"/>
      <c r="F67" s="1944"/>
      <c r="G67" s="1945" t="s">
        <v>187</v>
      </c>
      <c r="H67" s="1969">
        <f t="shared" si="0"/>
        <v>1110</v>
      </c>
      <c r="I67" s="1941"/>
      <c r="J67" s="1972">
        <f>30*J$10</f>
        <v>300</v>
      </c>
      <c r="K67" s="1972">
        <f t="shared" ref="K67:U67" si="27">30*K$10</f>
        <v>120</v>
      </c>
      <c r="L67" s="1972">
        <f t="shared" si="27"/>
        <v>90</v>
      </c>
      <c r="M67" s="1972">
        <f t="shared" si="27"/>
        <v>90</v>
      </c>
      <c r="N67" s="1972">
        <f t="shared" si="27"/>
        <v>150</v>
      </c>
      <c r="O67" s="1972">
        <f t="shared" si="27"/>
        <v>60</v>
      </c>
      <c r="P67" s="1972">
        <f t="shared" si="27"/>
        <v>0</v>
      </c>
      <c r="Q67" s="1972">
        <f t="shared" si="27"/>
        <v>90</v>
      </c>
      <c r="R67" s="1972">
        <f t="shared" si="27"/>
        <v>180</v>
      </c>
      <c r="S67" s="1972">
        <f t="shared" si="27"/>
        <v>30</v>
      </c>
      <c r="T67" s="1972">
        <f t="shared" si="27"/>
        <v>0</v>
      </c>
      <c r="U67" s="1972">
        <f t="shared" si="27"/>
        <v>0</v>
      </c>
      <c r="V67" s="324"/>
      <c r="W67" s="324"/>
      <c r="X67" s="2018"/>
      <c r="Y67" s="328"/>
      <c r="Z67" s="324"/>
    </row>
    <row r="68" spans="2:26" ht="16.5" customHeight="1">
      <c r="B68" s="1946">
        <f t="shared" si="26"/>
        <v>6.0299999999999994</v>
      </c>
      <c r="C68" s="1943"/>
      <c r="D68" s="1951" t="s">
        <v>782</v>
      </c>
      <c r="E68" s="1991"/>
      <c r="F68" s="1944"/>
      <c r="G68" s="1945" t="s">
        <v>187</v>
      </c>
      <c r="H68" s="1969">
        <f t="shared" si="0"/>
        <v>555</v>
      </c>
      <c r="I68" s="1941"/>
      <c r="J68" s="1972">
        <f>15*J$10</f>
        <v>150</v>
      </c>
      <c r="K68" s="1972">
        <f t="shared" ref="K68:U68" si="28">15*K$10</f>
        <v>60</v>
      </c>
      <c r="L68" s="1972">
        <f t="shared" si="28"/>
        <v>45</v>
      </c>
      <c r="M68" s="1972">
        <f t="shared" si="28"/>
        <v>45</v>
      </c>
      <c r="N68" s="1972">
        <f t="shared" si="28"/>
        <v>75</v>
      </c>
      <c r="O68" s="1972">
        <f t="shared" si="28"/>
        <v>30</v>
      </c>
      <c r="P68" s="1972">
        <f t="shared" si="28"/>
        <v>0</v>
      </c>
      <c r="Q68" s="1972">
        <f t="shared" si="28"/>
        <v>45</v>
      </c>
      <c r="R68" s="1972">
        <f t="shared" si="28"/>
        <v>90</v>
      </c>
      <c r="S68" s="1972">
        <f t="shared" si="28"/>
        <v>15</v>
      </c>
      <c r="T68" s="1972">
        <f t="shared" si="28"/>
        <v>0</v>
      </c>
      <c r="U68" s="1972">
        <f t="shared" si="28"/>
        <v>0</v>
      </c>
      <c r="V68" s="324"/>
      <c r="W68" s="324"/>
      <c r="X68" s="2018"/>
      <c r="Y68" s="328"/>
      <c r="Z68" s="324"/>
    </row>
    <row r="69" spans="2:26" ht="16.5" customHeight="1">
      <c r="B69" s="1946">
        <f t="shared" si="26"/>
        <v>6.0399999999999991</v>
      </c>
      <c r="C69" s="1943"/>
      <c r="D69" s="1951" t="s">
        <v>783</v>
      </c>
      <c r="E69" s="1991"/>
      <c r="F69" s="1944"/>
      <c r="G69" s="1945" t="s">
        <v>18</v>
      </c>
      <c r="H69" s="1969">
        <f t="shared" si="0"/>
        <v>111</v>
      </c>
      <c r="I69" s="1941"/>
      <c r="J69" s="1972">
        <f>3*J$10</f>
        <v>30</v>
      </c>
      <c r="K69" s="1972">
        <f t="shared" ref="K69:U69" si="29">3*K$10</f>
        <v>12</v>
      </c>
      <c r="L69" s="1972">
        <f t="shared" si="29"/>
        <v>9</v>
      </c>
      <c r="M69" s="1972">
        <f t="shared" si="29"/>
        <v>9</v>
      </c>
      <c r="N69" s="1972">
        <f t="shared" si="29"/>
        <v>15</v>
      </c>
      <c r="O69" s="1972">
        <f t="shared" si="29"/>
        <v>6</v>
      </c>
      <c r="P69" s="1972">
        <f t="shared" si="29"/>
        <v>0</v>
      </c>
      <c r="Q69" s="1972">
        <f t="shared" si="29"/>
        <v>9</v>
      </c>
      <c r="R69" s="1972">
        <f t="shared" si="29"/>
        <v>18</v>
      </c>
      <c r="S69" s="1972">
        <f t="shared" si="29"/>
        <v>3</v>
      </c>
      <c r="T69" s="1972">
        <f t="shared" si="29"/>
        <v>0</v>
      </c>
      <c r="U69" s="1972">
        <f t="shared" si="29"/>
        <v>0</v>
      </c>
      <c r="V69" s="324"/>
      <c r="W69" s="324"/>
      <c r="X69" s="2018"/>
      <c r="Y69" s="328"/>
      <c r="Z69" s="324"/>
    </row>
    <row r="70" spans="2:26" ht="16.5" customHeight="1">
      <c r="B70" s="1946">
        <f t="shared" si="26"/>
        <v>6.0499999999999989</v>
      </c>
      <c r="C70" s="1943"/>
      <c r="D70" s="1951" t="s">
        <v>784</v>
      </c>
      <c r="E70" s="1991"/>
      <c r="F70" s="1944"/>
      <c r="G70" s="1945" t="s">
        <v>18</v>
      </c>
      <c r="H70" s="1969">
        <f t="shared" si="0"/>
        <v>111</v>
      </c>
      <c r="I70" s="1941"/>
      <c r="J70" s="1972">
        <f t="shared" ref="J70:U73" si="30">3*J$10</f>
        <v>30</v>
      </c>
      <c r="K70" s="1972">
        <f t="shared" si="30"/>
        <v>12</v>
      </c>
      <c r="L70" s="1972">
        <f t="shared" si="30"/>
        <v>9</v>
      </c>
      <c r="M70" s="1972">
        <f t="shared" si="30"/>
        <v>9</v>
      </c>
      <c r="N70" s="1972">
        <f t="shared" si="30"/>
        <v>15</v>
      </c>
      <c r="O70" s="1972">
        <f t="shared" si="30"/>
        <v>6</v>
      </c>
      <c r="P70" s="1972">
        <f t="shared" si="30"/>
        <v>0</v>
      </c>
      <c r="Q70" s="1972">
        <f t="shared" si="30"/>
        <v>9</v>
      </c>
      <c r="R70" s="1972">
        <f t="shared" si="30"/>
        <v>18</v>
      </c>
      <c r="S70" s="1972">
        <f t="shared" si="30"/>
        <v>3</v>
      </c>
      <c r="T70" s="1972">
        <f t="shared" si="30"/>
        <v>0</v>
      </c>
      <c r="U70" s="1972">
        <f t="shared" si="30"/>
        <v>0</v>
      </c>
      <c r="V70" s="324"/>
      <c r="W70" s="324"/>
      <c r="X70" s="2018"/>
      <c r="Y70" s="328"/>
      <c r="Z70" s="324"/>
    </row>
    <row r="71" spans="2:26" ht="16.5" customHeight="1">
      <c r="B71" s="1946">
        <f t="shared" si="26"/>
        <v>6.0599999999999987</v>
      </c>
      <c r="C71" s="1943"/>
      <c r="D71" s="1951" t="s">
        <v>785</v>
      </c>
      <c r="E71" s="1991"/>
      <c r="F71" s="1944"/>
      <c r="G71" s="1945" t="s">
        <v>18</v>
      </c>
      <c r="H71" s="1969">
        <f t="shared" si="0"/>
        <v>111</v>
      </c>
      <c r="I71" s="1941"/>
      <c r="J71" s="1972">
        <f t="shared" si="30"/>
        <v>30</v>
      </c>
      <c r="K71" s="1972">
        <f t="shared" si="30"/>
        <v>12</v>
      </c>
      <c r="L71" s="1972">
        <f t="shared" si="30"/>
        <v>9</v>
      </c>
      <c r="M71" s="1972">
        <f t="shared" si="30"/>
        <v>9</v>
      </c>
      <c r="N71" s="1972">
        <f t="shared" si="30"/>
        <v>15</v>
      </c>
      <c r="O71" s="1972">
        <f t="shared" si="30"/>
        <v>6</v>
      </c>
      <c r="P71" s="1972">
        <f t="shared" si="30"/>
        <v>0</v>
      </c>
      <c r="Q71" s="1972">
        <f t="shared" si="30"/>
        <v>9</v>
      </c>
      <c r="R71" s="1972">
        <f t="shared" si="30"/>
        <v>18</v>
      </c>
      <c r="S71" s="1972">
        <f t="shared" si="30"/>
        <v>3</v>
      </c>
      <c r="T71" s="1972">
        <f t="shared" si="30"/>
        <v>0</v>
      </c>
      <c r="U71" s="1972">
        <f t="shared" si="30"/>
        <v>0</v>
      </c>
      <c r="V71" s="324"/>
      <c r="W71" s="324"/>
      <c r="X71" s="2018"/>
      <c r="Y71" s="328"/>
      <c r="Z71" s="324"/>
    </row>
    <row r="72" spans="2:26" ht="16.5" customHeight="1">
      <c r="B72" s="1946">
        <f t="shared" si="26"/>
        <v>6.0699999999999985</v>
      </c>
      <c r="C72" s="1943"/>
      <c r="D72" s="1951" t="s">
        <v>786</v>
      </c>
      <c r="E72" s="1991"/>
      <c r="F72" s="1944"/>
      <c r="G72" s="1945" t="s">
        <v>18</v>
      </c>
      <c r="H72" s="1969">
        <f t="shared" si="0"/>
        <v>111</v>
      </c>
      <c r="I72" s="1941"/>
      <c r="J72" s="1972">
        <f t="shared" si="30"/>
        <v>30</v>
      </c>
      <c r="K72" s="1972">
        <f t="shared" si="30"/>
        <v>12</v>
      </c>
      <c r="L72" s="1972">
        <f t="shared" si="30"/>
        <v>9</v>
      </c>
      <c r="M72" s="1972">
        <f t="shared" si="30"/>
        <v>9</v>
      </c>
      <c r="N72" s="1972">
        <f t="shared" si="30"/>
        <v>15</v>
      </c>
      <c r="O72" s="1972">
        <f t="shared" si="30"/>
        <v>6</v>
      </c>
      <c r="P72" s="1972">
        <f t="shared" si="30"/>
        <v>0</v>
      </c>
      <c r="Q72" s="1972">
        <f t="shared" si="30"/>
        <v>9</v>
      </c>
      <c r="R72" s="1972">
        <f t="shared" si="30"/>
        <v>18</v>
      </c>
      <c r="S72" s="1972">
        <f t="shared" si="30"/>
        <v>3</v>
      </c>
      <c r="T72" s="1972">
        <f t="shared" si="30"/>
        <v>0</v>
      </c>
      <c r="U72" s="1972">
        <f t="shared" si="30"/>
        <v>0</v>
      </c>
      <c r="V72" s="324"/>
      <c r="W72" s="324"/>
      <c r="X72" s="2018"/>
      <c r="Y72" s="328"/>
      <c r="Z72" s="324"/>
    </row>
    <row r="73" spans="2:26" ht="16.5" customHeight="1">
      <c r="B73" s="1946">
        <f t="shared" si="26"/>
        <v>6.0799999999999983</v>
      </c>
      <c r="C73" s="1943"/>
      <c r="D73" s="1951" t="s">
        <v>787</v>
      </c>
      <c r="E73" s="1991"/>
      <c r="F73" s="1944"/>
      <c r="G73" s="1945" t="s">
        <v>18</v>
      </c>
      <c r="H73" s="1969">
        <f t="shared" si="0"/>
        <v>111</v>
      </c>
      <c r="I73" s="1941"/>
      <c r="J73" s="1972">
        <f t="shared" si="30"/>
        <v>30</v>
      </c>
      <c r="K73" s="1972">
        <f t="shared" si="30"/>
        <v>12</v>
      </c>
      <c r="L73" s="1972">
        <f t="shared" si="30"/>
        <v>9</v>
      </c>
      <c r="M73" s="1972">
        <f t="shared" si="30"/>
        <v>9</v>
      </c>
      <c r="N73" s="1972">
        <f t="shared" si="30"/>
        <v>15</v>
      </c>
      <c r="O73" s="1972">
        <f t="shared" si="30"/>
        <v>6</v>
      </c>
      <c r="P73" s="1972">
        <f t="shared" si="30"/>
        <v>0</v>
      </c>
      <c r="Q73" s="1972">
        <f t="shared" si="30"/>
        <v>9</v>
      </c>
      <c r="R73" s="1972">
        <f t="shared" si="30"/>
        <v>18</v>
      </c>
      <c r="S73" s="1972">
        <f t="shared" si="30"/>
        <v>3</v>
      </c>
      <c r="T73" s="1972">
        <f t="shared" si="30"/>
        <v>0</v>
      </c>
      <c r="U73" s="1972">
        <f t="shared" si="30"/>
        <v>0</v>
      </c>
      <c r="V73" s="324"/>
      <c r="W73" s="324"/>
      <c r="X73" s="2018"/>
      <c r="Y73" s="328"/>
      <c r="Z73" s="324"/>
    </row>
    <row r="74" spans="2:26" ht="16.5" customHeight="1">
      <c r="B74" s="1946">
        <f t="shared" si="26"/>
        <v>6.0899999999999981</v>
      </c>
      <c r="C74" s="1943"/>
      <c r="D74" s="1951" t="s">
        <v>788</v>
      </c>
      <c r="E74" s="1991"/>
      <c r="F74" s="1944"/>
      <c r="G74" s="1945" t="s">
        <v>18</v>
      </c>
      <c r="H74" s="1969">
        <f t="shared" si="0"/>
        <v>148</v>
      </c>
      <c r="I74" s="1941"/>
      <c r="J74" s="1972">
        <f>4*J$10</f>
        <v>40</v>
      </c>
      <c r="K74" s="1972">
        <f t="shared" ref="K74:U74" si="31">4*K$10</f>
        <v>16</v>
      </c>
      <c r="L74" s="1972">
        <f t="shared" si="31"/>
        <v>12</v>
      </c>
      <c r="M74" s="1972">
        <f t="shared" si="31"/>
        <v>12</v>
      </c>
      <c r="N74" s="1972">
        <f t="shared" si="31"/>
        <v>20</v>
      </c>
      <c r="O74" s="1972">
        <f t="shared" si="31"/>
        <v>8</v>
      </c>
      <c r="P74" s="1972">
        <f t="shared" si="31"/>
        <v>0</v>
      </c>
      <c r="Q74" s="1972">
        <f t="shared" si="31"/>
        <v>12</v>
      </c>
      <c r="R74" s="1972">
        <f t="shared" si="31"/>
        <v>24</v>
      </c>
      <c r="S74" s="1972">
        <f t="shared" si="31"/>
        <v>4</v>
      </c>
      <c r="T74" s="1972">
        <f t="shared" si="31"/>
        <v>0</v>
      </c>
      <c r="U74" s="1972">
        <f t="shared" si="31"/>
        <v>0</v>
      </c>
      <c r="V74" s="324"/>
      <c r="W74" s="324"/>
      <c r="X74" s="2018"/>
      <c r="Y74" s="328"/>
      <c r="Z74" s="324"/>
    </row>
    <row r="75" spans="2:26" ht="16.5" customHeight="1">
      <c r="B75" s="1946">
        <f t="shared" si="26"/>
        <v>6.0999999999999979</v>
      </c>
      <c r="C75" s="1943"/>
      <c r="D75" s="1951" t="s">
        <v>789</v>
      </c>
      <c r="E75" s="1991"/>
      <c r="F75" s="1944"/>
      <c r="G75" s="1945" t="s">
        <v>18</v>
      </c>
      <c r="H75" s="1969">
        <f t="shared" si="0"/>
        <v>37</v>
      </c>
      <c r="I75" s="1941"/>
      <c r="J75" s="1972">
        <f t="shared" si="2"/>
        <v>10</v>
      </c>
      <c r="K75" s="1972">
        <f t="shared" ref="K75:U75" si="32">+K$10</f>
        <v>4</v>
      </c>
      <c r="L75" s="1972">
        <f t="shared" si="32"/>
        <v>3</v>
      </c>
      <c r="M75" s="1972">
        <f t="shared" si="32"/>
        <v>3</v>
      </c>
      <c r="N75" s="1972">
        <f t="shared" si="32"/>
        <v>5</v>
      </c>
      <c r="O75" s="1972">
        <f t="shared" si="32"/>
        <v>2</v>
      </c>
      <c r="P75" s="1972">
        <f t="shared" si="32"/>
        <v>0</v>
      </c>
      <c r="Q75" s="1972">
        <f t="shared" si="32"/>
        <v>3</v>
      </c>
      <c r="R75" s="1972">
        <f t="shared" si="32"/>
        <v>6</v>
      </c>
      <c r="S75" s="1972">
        <f t="shared" si="32"/>
        <v>1</v>
      </c>
      <c r="T75" s="1972">
        <f t="shared" si="32"/>
        <v>0</v>
      </c>
      <c r="U75" s="1972">
        <f t="shared" si="32"/>
        <v>0</v>
      </c>
      <c r="V75" s="324"/>
      <c r="W75" s="324"/>
      <c r="X75" s="2018"/>
      <c r="Y75" s="328"/>
      <c r="Z75" s="324"/>
    </row>
    <row r="76" spans="2:26" ht="16.5" customHeight="1">
      <c r="B76" s="1946">
        <f t="shared" si="26"/>
        <v>6.1099999999999977</v>
      </c>
      <c r="C76" s="1943"/>
      <c r="D76" s="1951" t="s">
        <v>790</v>
      </c>
      <c r="E76" s="1949"/>
      <c r="F76" s="1950"/>
      <c r="G76" s="1945" t="s">
        <v>18</v>
      </c>
      <c r="H76" s="1969">
        <f t="shared" si="0"/>
        <v>111</v>
      </c>
      <c r="I76" s="1941"/>
      <c r="J76" s="1972">
        <f t="shared" ref="J76:U77" si="33">3*J$10</f>
        <v>30</v>
      </c>
      <c r="K76" s="1972">
        <f t="shared" si="33"/>
        <v>12</v>
      </c>
      <c r="L76" s="1972">
        <f t="shared" si="33"/>
        <v>9</v>
      </c>
      <c r="M76" s="1972">
        <f t="shared" si="33"/>
        <v>9</v>
      </c>
      <c r="N76" s="1972">
        <f t="shared" si="33"/>
        <v>15</v>
      </c>
      <c r="O76" s="1972">
        <f t="shared" si="33"/>
        <v>6</v>
      </c>
      <c r="P76" s="1972">
        <f t="shared" si="33"/>
        <v>0</v>
      </c>
      <c r="Q76" s="1972">
        <f t="shared" si="33"/>
        <v>9</v>
      </c>
      <c r="R76" s="1972">
        <f t="shared" si="33"/>
        <v>18</v>
      </c>
      <c r="S76" s="1972">
        <f t="shared" si="33"/>
        <v>3</v>
      </c>
      <c r="T76" s="1972">
        <f t="shared" si="33"/>
        <v>0</v>
      </c>
      <c r="U76" s="1972">
        <f t="shared" si="33"/>
        <v>0</v>
      </c>
      <c r="V76" s="324"/>
      <c r="W76" s="324"/>
      <c r="X76" s="2018"/>
      <c r="Y76" s="328"/>
      <c r="Z76" s="324"/>
    </row>
    <row r="77" spans="2:26" ht="16.5" customHeight="1">
      <c r="B77" s="1946">
        <f t="shared" si="26"/>
        <v>6.1199999999999974</v>
      </c>
      <c r="C77" s="1943"/>
      <c r="D77" s="1951" t="s">
        <v>791</v>
      </c>
      <c r="E77" s="1991"/>
      <c r="F77" s="1944"/>
      <c r="G77" s="1945" t="s">
        <v>18</v>
      </c>
      <c r="H77" s="1969">
        <f t="shared" si="0"/>
        <v>111</v>
      </c>
      <c r="I77" s="1941"/>
      <c r="J77" s="1972">
        <f t="shared" si="33"/>
        <v>30</v>
      </c>
      <c r="K77" s="1972">
        <f t="shared" si="33"/>
        <v>12</v>
      </c>
      <c r="L77" s="1972">
        <f t="shared" si="33"/>
        <v>9</v>
      </c>
      <c r="M77" s="1972">
        <f t="shared" si="33"/>
        <v>9</v>
      </c>
      <c r="N77" s="1972">
        <f t="shared" si="33"/>
        <v>15</v>
      </c>
      <c r="O77" s="1972">
        <f t="shared" si="33"/>
        <v>6</v>
      </c>
      <c r="P77" s="1972">
        <f t="shared" si="33"/>
        <v>0</v>
      </c>
      <c r="Q77" s="1972">
        <f t="shared" si="33"/>
        <v>9</v>
      </c>
      <c r="R77" s="1972">
        <f t="shared" si="33"/>
        <v>18</v>
      </c>
      <c r="S77" s="1972">
        <f t="shared" si="33"/>
        <v>3</v>
      </c>
      <c r="T77" s="1972">
        <f t="shared" si="33"/>
        <v>0</v>
      </c>
      <c r="U77" s="1972">
        <f t="shared" si="33"/>
        <v>0</v>
      </c>
      <c r="V77" s="324"/>
      <c r="W77" s="324"/>
      <c r="X77" s="2018"/>
      <c r="Y77" s="328"/>
      <c r="Z77" s="324"/>
    </row>
    <row r="78" spans="2:26" ht="16.5" customHeight="1">
      <c r="B78" s="1946">
        <f t="shared" si="26"/>
        <v>6.1299999999999972</v>
      </c>
      <c r="C78" s="1943"/>
      <c r="D78" s="1951" t="s">
        <v>775</v>
      </c>
      <c r="E78" s="1991"/>
      <c r="F78" s="1944"/>
      <c r="G78" s="1945" t="s">
        <v>18</v>
      </c>
      <c r="H78" s="1969">
        <f t="shared" si="0"/>
        <v>370</v>
      </c>
      <c r="I78" s="1941"/>
      <c r="J78" s="1972">
        <f>10*J$10</f>
        <v>100</v>
      </c>
      <c r="K78" s="1972">
        <f t="shared" ref="K78:U78" si="34">10*K$10</f>
        <v>40</v>
      </c>
      <c r="L78" s="1972">
        <f t="shared" si="34"/>
        <v>30</v>
      </c>
      <c r="M78" s="1972">
        <f t="shared" si="34"/>
        <v>30</v>
      </c>
      <c r="N78" s="1972">
        <f t="shared" si="34"/>
        <v>50</v>
      </c>
      <c r="O78" s="1972">
        <f t="shared" si="34"/>
        <v>20</v>
      </c>
      <c r="P78" s="1972">
        <f t="shared" si="34"/>
        <v>0</v>
      </c>
      <c r="Q78" s="1972">
        <f t="shared" si="34"/>
        <v>30</v>
      </c>
      <c r="R78" s="1972">
        <f t="shared" si="34"/>
        <v>60</v>
      </c>
      <c r="S78" s="1972">
        <f t="shared" si="34"/>
        <v>10</v>
      </c>
      <c r="T78" s="1972">
        <f t="shared" si="34"/>
        <v>0</v>
      </c>
      <c r="U78" s="1972">
        <f t="shared" si="34"/>
        <v>0</v>
      </c>
      <c r="V78" s="324"/>
      <c r="W78" s="324"/>
      <c r="X78" s="2018"/>
      <c r="Y78" s="328"/>
      <c r="Z78" s="324"/>
    </row>
    <row r="79" spans="2:26" ht="16.5" customHeight="1">
      <c r="B79" s="1946">
        <f t="shared" si="26"/>
        <v>6.139999999999997</v>
      </c>
      <c r="C79" s="1943"/>
      <c r="D79" s="1951" t="s">
        <v>776</v>
      </c>
      <c r="E79" s="1991"/>
      <c r="F79" s="1944"/>
      <c r="G79" s="1945" t="s">
        <v>18</v>
      </c>
      <c r="H79" s="1969">
        <f t="shared" ref="H79:H109" si="35">SUM(J79:U79)</f>
        <v>555</v>
      </c>
      <c r="I79" s="1941"/>
      <c r="J79" s="1972">
        <f>15*J$10</f>
        <v>150</v>
      </c>
      <c r="K79" s="1972">
        <f t="shared" ref="K79:U79" si="36">15*K$10</f>
        <v>60</v>
      </c>
      <c r="L79" s="1972">
        <f t="shared" si="36"/>
        <v>45</v>
      </c>
      <c r="M79" s="1972">
        <f t="shared" si="36"/>
        <v>45</v>
      </c>
      <c r="N79" s="1972">
        <f t="shared" si="36"/>
        <v>75</v>
      </c>
      <c r="O79" s="1972">
        <f t="shared" si="36"/>
        <v>30</v>
      </c>
      <c r="P79" s="1972">
        <f t="shared" si="36"/>
        <v>0</v>
      </c>
      <c r="Q79" s="1972">
        <f t="shared" si="36"/>
        <v>45</v>
      </c>
      <c r="R79" s="1972">
        <f t="shared" si="36"/>
        <v>90</v>
      </c>
      <c r="S79" s="1972">
        <f t="shared" si="36"/>
        <v>15</v>
      </c>
      <c r="T79" s="1972">
        <f t="shared" si="36"/>
        <v>0</v>
      </c>
      <c r="U79" s="1972">
        <f t="shared" si="36"/>
        <v>0</v>
      </c>
      <c r="V79" s="324"/>
      <c r="W79" s="324"/>
      <c r="X79" s="2018"/>
      <c r="Y79" s="328"/>
      <c r="Z79" s="324"/>
    </row>
    <row r="80" spans="2:26" ht="16.5" customHeight="1">
      <c r="B80" s="1946">
        <f t="shared" si="26"/>
        <v>6.1499999999999968</v>
      </c>
      <c r="C80" s="1943"/>
      <c r="D80" s="1951" t="s">
        <v>792</v>
      </c>
      <c r="E80" s="1991"/>
      <c r="F80" s="1944"/>
      <c r="G80" s="1945" t="s">
        <v>18</v>
      </c>
      <c r="H80" s="1969">
        <f t="shared" si="35"/>
        <v>962</v>
      </c>
      <c r="I80" s="1941"/>
      <c r="J80" s="1972">
        <f>26*J$10</f>
        <v>260</v>
      </c>
      <c r="K80" s="1972">
        <f t="shared" ref="K80:U80" si="37">26*K$10</f>
        <v>104</v>
      </c>
      <c r="L80" s="1972">
        <f t="shared" si="37"/>
        <v>78</v>
      </c>
      <c r="M80" s="1972">
        <f t="shared" si="37"/>
        <v>78</v>
      </c>
      <c r="N80" s="1972">
        <f t="shared" si="37"/>
        <v>130</v>
      </c>
      <c r="O80" s="1972">
        <f t="shared" si="37"/>
        <v>52</v>
      </c>
      <c r="P80" s="1972">
        <f t="shared" si="37"/>
        <v>0</v>
      </c>
      <c r="Q80" s="1972">
        <f t="shared" si="37"/>
        <v>78</v>
      </c>
      <c r="R80" s="1972">
        <f t="shared" si="37"/>
        <v>156</v>
      </c>
      <c r="S80" s="1972">
        <f t="shared" si="37"/>
        <v>26</v>
      </c>
      <c r="T80" s="1972">
        <f t="shared" si="37"/>
        <v>0</v>
      </c>
      <c r="U80" s="1972">
        <f t="shared" si="37"/>
        <v>0</v>
      </c>
      <c r="V80" s="324"/>
      <c r="W80" s="324"/>
      <c r="X80" s="2018"/>
      <c r="Y80" s="328"/>
      <c r="Z80" s="324"/>
    </row>
    <row r="81" spans="2:26" ht="16.5" customHeight="1">
      <c r="B81" s="1946">
        <f t="shared" si="26"/>
        <v>6.1599999999999966</v>
      </c>
      <c r="C81" s="1943"/>
      <c r="D81" s="1951" t="s">
        <v>793</v>
      </c>
      <c r="E81" s="1991"/>
      <c r="F81" s="1944"/>
      <c r="G81" s="1945" t="s">
        <v>18</v>
      </c>
      <c r="H81" s="1969">
        <f t="shared" si="35"/>
        <v>1665</v>
      </c>
      <c r="I81" s="1941"/>
      <c r="J81" s="1972">
        <f>45*J$10</f>
        <v>450</v>
      </c>
      <c r="K81" s="1972">
        <f t="shared" ref="K81:U81" si="38">45*K$10</f>
        <v>180</v>
      </c>
      <c r="L81" s="1972">
        <f t="shared" si="38"/>
        <v>135</v>
      </c>
      <c r="M81" s="1972">
        <f t="shared" si="38"/>
        <v>135</v>
      </c>
      <c r="N81" s="1972">
        <f t="shared" si="38"/>
        <v>225</v>
      </c>
      <c r="O81" s="1972">
        <f t="shared" si="38"/>
        <v>90</v>
      </c>
      <c r="P81" s="1972">
        <f t="shared" si="38"/>
        <v>0</v>
      </c>
      <c r="Q81" s="1972">
        <f t="shared" si="38"/>
        <v>135</v>
      </c>
      <c r="R81" s="1972">
        <f t="shared" si="38"/>
        <v>270</v>
      </c>
      <c r="S81" s="1972">
        <f t="shared" si="38"/>
        <v>45</v>
      </c>
      <c r="T81" s="1972">
        <f t="shared" si="38"/>
        <v>0</v>
      </c>
      <c r="U81" s="1972">
        <f t="shared" si="38"/>
        <v>0</v>
      </c>
      <c r="V81" s="324"/>
      <c r="W81" s="324"/>
      <c r="X81" s="2018"/>
      <c r="Y81" s="328"/>
      <c r="Z81" s="324"/>
    </row>
    <row r="82" spans="2:26" ht="16.5" customHeight="1">
      <c r="B82" s="1946">
        <f t="shared" si="26"/>
        <v>6.1699999999999964</v>
      </c>
      <c r="C82" s="1943"/>
      <c r="D82" s="1951" t="s">
        <v>794</v>
      </c>
      <c r="E82" s="1991"/>
      <c r="F82" s="1944"/>
      <c r="G82" s="1945" t="s">
        <v>18</v>
      </c>
      <c r="H82" s="1969">
        <f t="shared" si="35"/>
        <v>185</v>
      </c>
      <c r="I82" s="1941"/>
      <c r="J82" s="1972">
        <f>5*J$10</f>
        <v>50</v>
      </c>
      <c r="K82" s="1972">
        <f t="shared" ref="K82:U82" si="39">5*K$10</f>
        <v>20</v>
      </c>
      <c r="L82" s="1972">
        <f t="shared" si="39"/>
        <v>15</v>
      </c>
      <c r="M82" s="1972">
        <f t="shared" si="39"/>
        <v>15</v>
      </c>
      <c r="N82" s="1972">
        <f t="shared" si="39"/>
        <v>25</v>
      </c>
      <c r="O82" s="1972">
        <f t="shared" si="39"/>
        <v>10</v>
      </c>
      <c r="P82" s="1972">
        <f t="shared" si="39"/>
        <v>0</v>
      </c>
      <c r="Q82" s="1972">
        <f t="shared" si="39"/>
        <v>15</v>
      </c>
      <c r="R82" s="1972">
        <f t="shared" si="39"/>
        <v>30</v>
      </c>
      <c r="S82" s="1972">
        <f t="shared" si="39"/>
        <v>5</v>
      </c>
      <c r="T82" s="1972">
        <f t="shared" si="39"/>
        <v>0</v>
      </c>
      <c r="U82" s="1972">
        <f t="shared" si="39"/>
        <v>0</v>
      </c>
      <c r="V82" s="324"/>
      <c r="W82" s="324"/>
      <c r="X82" s="2018"/>
      <c r="Y82" s="328"/>
      <c r="Z82" s="324"/>
    </row>
    <row r="83" spans="2:26" ht="16.5" customHeight="1">
      <c r="B83" s="1947"/>
      <c r="C83" s="1943"/>
      <c r="D83" s="1951"/>
      <c r="E83" s="1951"/>
      <c r="F83" s="1948"/>
      <c r="G83" s="1945"/>
      <c r="H83" s="1969"/>
      <c r="I83" s="1941"/>
      <c r="J83" s="1972"/>
      <c r="K83" s="1972"/>
      <c r="L83" s="1972"/>
      <c r="M83" s="1972"/>
      <c r="N83" s="1972"/>
      <c r="O83" s="1972"/>
      <c r="P83" s="1972"/>
      <c r="Q83" s="1972"/>
      <c r="R83" s="1972"/>
      <c r="S83" s="1972"/>
      <c r="T83" s="1972"/>
      <c r="U83" s="1972"/>
      <c r="V83" s="324"/>
      <c r="W83" s="324"/>
      <c r="X83" s="2018"/>
    </row>
    <row r="84" spans="2:26" ht="16.5" customHeight="1">
      <c r="B84" s="1942">
        <f>+B65+1</f>
        <v>7</v>
      </c>
      <c r="C84" s="1943"/>
      <c r="D84" s="1975" t="s">
        <v>795</v>
      </c>
      <c r="E84" s="1991"/>
      <c r="F84" s="1944"/>
      <c r="G84" s="1945"/>
      <c r="H84" s="1969"/>
      <c r="I84" s="1941"/>
      <c r="J84" s="1972"/>
      <c r="K84" s="1972"/>
      <c r="L84" s="1972"/>
      <c r="M84" s="1972"/>
      <c r="N84" s="1972"/>
      <c r="O84" s="1972"/>
      <c r="P84" s="1972"/>
      <c r="Q84" s="1972"/>
      <c r="R84" s="1972"/>
      <c r="S84" s="1972"/>
      <c r="T84" s="1972"/>
      <c r="U84" s="1972"/>
      <c r="V84" s="324"/>
      <c r="W84" s="324"/>
      <c r="X84" s="2018"/>
    </row>
    <row r="85" spans="2:26" ht="16.5" customHeight="1">
      <c r="B85" s="1946">
        <f>B84+0.01</f>
        <v>7.01</v>
      </c>
      <c r="C85" s="1943"/>
      <c r="D85" s="1951" t="s">
        <v>796</v>
      </c>
      <c r="E85" s="1991"/>
      <c r="F85" s="1944"/>
      <c r="G85" s="1945" t="s">
        <v>187</v>
      </c>
      <c r="H85" s="1969">
        <f t="shared" si="35"/>
        <v>555</v>
      </c>
      <c r="I85" s="1941"/>
      <c r="J85" s="1972">
        <f>15*J$10</f>
        <v>150</v>
      </c>
      <c r="K85" s="1972">
        <f t="shared" ref="K85:U85" si="40">15*K$10</f>
        <v>60</v>
      </c>
      <c r="L85" s="1972">
        <f t="shared" si="40"/>
        <v>45</v>
      </c>
      <c r="M85" s="1972">
        <f t="shared" si="40"/>
        <v>45</v>
      </c>
      <c r="N85" s="1972">
        <f t="shared" si="40"/>
        <v>75</v>
      </c>
      <c r="O85" s="1972">
        <f t="shared" si="40"/>
        <v>30</v>
      </c>
      <c r="P85" s="1972">
        <f t="shared" si="40"/>
        <v>0</v>
      </c>
      <c r="Q85" s="1972">
        <f t="shared" si="40"/>
        <v>45</v>
      </c>
      <c r="R85" s="1972">
        <f t="shared" si="40"/>
        <v>90</v>
      </c>
      <c r="S85" s="1972">
        <f t="shared" si="40"/>
        <v>15</v>
      </c>
      <c r="T85" s="1972">
        <f t="shared" si="40"/>
        <v>0</v>
      </c>
      <c r="U85" s="1972">
        <f t="shared" si="40"/>
        <v>0</v>
      </c>
      <c r="V85" s="324"/>
      <c r="W85" s="324"/>
      <c r="X85" s="2018"/>
      <c r="Y85" s="328"/>
      <c r="Z85" s="324"/>
    </row>
    <row r="86" spans="2:26" ht="16.5" customHeight="1">
      <c r="B86" s="1946">
        <f t="shared" ref="B86:B89" si="41">B85+0.01</f>
        <v>7.02</v>
      </c>
      <c r="C86" s="1943"/>
      <c r="D86" s="1951" t="s">
        <v>753</v>
      </c>
      <c r="E86" s="1991"/>
      <c r="F86" s="1944"/>
      <c r="G86" s="1945" t="s">
        <v>18</v>
      </c>
      <c r="H86" s="1969">
        <f t="shared" si="35"/>
        <v>37</v>
      </c>
      <c r="I86" s="1941"/>
      <c r="J86" s="1972">
        <f t="shared" ref="J86:U108" si="42">+J$10</f>
        <v>10</v>
      </c>
      <c r="K86" s="1972">
        <f t="shared" si="42"/>
        <v>4</v>
      </c>
      <c r="L86" s="1972">
        <f t="shared" si="42"/>
        <v>3</v>
      </c>
      <c r="M86" s="1972">
        <f t="shared" si="42"/>
        <v>3</v>
      </c>
      <c r="N86" s="1972">
        <f t="shared" si="42"/>
        <v>5</v>
      </c>
      <c r="O86" s="1972">
        <f t="shared" si="42"/>
        <v>2</v>
      </c>
      <c r="P86" s="1972">
        <f t="shared" si="42"/>
        <v>0</v>
      </c>
      <c r="Q86" s="1972">
        <f t="shared" si="42"/>
        <v>3</v>
      </c>
      <c r="R86" s="1972">
        <f t="shared" si="42"/>
        <v>6</v>
      </c>
      <c r="S86" s="1972">
        <f t="shared" si="42"/>
        <v>1</v>
      </c>
      <c r="T86" s="1972">
        <f t="shared" si="42"/>
        <v>0</v>
      </c>
      <c r="U86" s="1972">
        <f t="shared" si="42"/>
        <v>0</v>
      </c>
      <c r="V86" s="324"/>
      <c r="W86" s="324"/>
      <c r="X86" s="2018"/>
      <c r="Y86" s="328"/>
      <c r="Z86" s="324"/>
    </row>
    <row r="87" spans="2:26" ht="16.5" customHeight="1">
      <c r="B87" s="1946">
        <f t="shared" si="41"/>
        <v>7.0299999999999994</v>
      </c>
      <c r="C87" s="1943"/>
      <c r="D87" s="1951" t="s">
        <v>778</v>
      </c>
      <c r="E87" s="1991"/>
      <c r="F87" s="1944"/>
      <c r="G87" s="1945" t="s">
        <v>18</v>
      </c>
      <c r="H87" s="1969">
        <f t="shared" si="35"/>
        <v>185</v>
      </c>
      <c r="I87" s="1941"/>
      <c r="J87" s="1972">
        <f>5*J$10</f>
        <v>50</v>
      </c>
      <c r="K87" s="1972">
        <f t="shared" ref="K87:U87" si="43">5*K$10</f>
        <v>20</v>
      </c>
      <c r="L87" s="1972">
        <f t="shared" si="43"/>
        <v>15</v>
      </c>
      <c r="M87" s="1972">
        <f t="shared" si="43"/>
        <v>15</v>
      </c>
      <c r="N87" s="1972">
        <f t="shared" si="43"/>
        <v>25</v>
      </c>
      <c r="O87" s="1972">
        <f t="shared" si="43"/>
        <v>10</v>
      </c>
      <c r="P87" s="1972">
        <f t="shared" si="43"/>
        <v>0</v>
      </c>
      <c r="Q87" s="1972">
        <f t="shared" si="43"/>
        <v>15</v>
      </c>
      <c r="R87" s="1972">
        <f t="shared" si="43"/>
        <v>30</v>
      </c>
      <c r="S87" s="1972">
        <f t="shared" si="43"/>
        <v>5</v>
      </c>
      <c r="T87" s="1972">
        <f t="shared" si="43"/>
        <v>0</v>
      </c>
      <c r="U87" s="1972">
        <f t="shared" si="43"/>
        <v>0</v>
      </c>
      <c r="V87" s="324"/>
      <c r="W87" s="324"/>
      <c r="X87" s="2018"/>
      <c r="Y87" s="328"/>
      <c r="Z87" s="324"/>
    </row>
    <row r="88" spans="2:26" ht="16.5" customHeight="1">
      <c r="B88" s="1946">
        <f t="shared" si="41"/>
        <v>7.0399999999999991</v>
      </c>
      <c r="C88" s="1943"/>
      <c r="D88" s="1951" t="s">
        <v>750</v>
      </c>
      <c r="E88" s="1991"/>
      <c r="F88" s="1944"/>
      <c r="G88" s="1945" t="s">
        <v>18</v>
      </c>
      <c r="H88" s="1969">
        <f t="shared" si="35"/>
        <v>74</v>
      </c>
      <c r="I88" s="1941"/>
      <c r="J88" s="1972">
        <f>2*J$10</f>
        <v>20</v>
      </c>
      <c r="K88" s="1972">
        <f t="shared" ref="K88:U88" si="44">2*K$10</f>
        <v>8</v>
      </c>
      <c r="L88" s="1972">
        <f t="shared" si="44"/>
        <v>6</v>
      </c>
      <c r="M88" s="1972">
        <f t="shared" si="44"/>
        <v>6</v>
      </c>
      <c r="N88" s="1972">
        <f t="shared" si="44"/>
        <v>10</v>
      </c>
      <c r="O88" s="1972">
        <f t="shared" si="44"/>
        <v>4</v>
      </c>
      <c r="P88" s="1972">
        <f t="shared" si="44"/>
        <v>0</v>
      </c>
      <c r="Q88" s="1972">
        <f t="shared" si="44"/>
        <v>6</v>
      </c>
      <c r="R88" s="1972">
        <f t="shared" si="44"/>
        <v>12</v>
      </c>
      <c r="S88" s="1972">
        <f t="shared" si="44"/>
        <v>2</v>
      </c>
      <c r="T88" s="1972">
        <f t="shared" si="44"/>
        <v>0</v>
      </c>
      <c r="U88" s="1972">
        <f t="shared" si="44"/>
        <v>0</v>
      </c>
      <c r="V88" s="324"/>
      <c r="W88" s="324"/>
      <c r="X88" s="2018"/>
      <c r="Y88" s="328"/>
      <c r="Z88" s="324"/>
    </row>
    <row r="89" spans="2:26" ht="16.5" customHeight="1">
      <c r="B89" s="1946">
        <f t="shared" si="41"/>
        <v>7.0499999999999989</v>
      </c>
      <c r="C89" s="1943"/>
      <c r="D89" s="1951" t="s">
        <v>755</v>
      </c>
      <c r="E89" s="1991"/>
      <c r="F89" s="1944"/>
      <c r="G89" s="1945" t="s">
        <v>18</v>
      </c>
      <c r="H89" s="1969">
        <f t="shared" si="35"/>
        <v>37</v>
      </c>
      <c r="I89" s="1941"/>
      <c r="J89" s="1972">
        <f t="shared" si="42"/>
        <v>10</v>
      </c>
      <c r="K89" s="1972">
        <f t="shared" si="42"/>
        <v>4</v>
      </c>
      <c r="L89" s="1972">
        <f t="shared" si="42"/>
        <v>3</v>
      </c>
      <c r="M89" s="1972">
        <f t="shared" si="42"/>
        <v>3</v>
      </c>
      <c r="N89" s="1972">
        <f t="shared" si="42"/>
        <v>5</v>
      </c>
      <c r="O89" s="1972">
        <f t="shared" si="42"/>
        <v>2</v>
      </c>
      <c r="P89" s="1972">
        <f t="shared" si="42"/>
        <v>0</v>
      </c>
      <c r="Q89" s="1972">
        <f t="shared" si="42"/>
        <v>3</v>
      </c>
      <c r="R89" s="1972">
        <f t="shared" si="42"/>
        <v>6</v>
      </c>
      <c r="S89" s="1972">
        <f t="shared" si="42"/>
        <v>1</v>
      </c>
      <c r="T89" s="1972">
        <f t="shared" si="42"/>
        <v>0</v>
      </c>
      <c r="U89" s="1972">
        <f t="shared" si="42"/>
        <v>0</v>
      </c>
      <c r="V89" s="324"/>
      <c r="W89" s="324"/>
      <c r="X89" s="2018"/>
      <c r="Y89" s="328"/>
      <c r="Z89" s="324"/>
    </row>
    <row r="90" spans="2:26" ht="16.5" customHeight="1">
      <c r="B90" s="1947"/>
      <c r="C90" s="1943"/>
      <c r="D90" s="1991"/>
      <c r="E90" s="1991"/>
      <c r="F90" s="1948"/>
      <c r="G90" s="1945"/>
      <c r="H90" s="1969"/>
      <c r="I90" s="1941"/>
      <c r="J90" s="1972"/>
      <c r="K90" s="1972"/>
      <c r="L90" s="1972"/>
      <c r="M90" s="1972"/>
      <c r="N90" s="1972"/>
      <c r="O90" s="1972"/>
      <c r="P90" s="1972"/>
      <c r="Q90" s="1972"/>
      <c r="R90" s="1972"/>
      <c r="S90" s="1972"/>
      <c r="T90" s="1972"/>
      <c r="U90" s="1972"/>
      <c r="V90" s="324"/>
      <c r="W90" s="324"/>
      <c r="X90" s="2018"/>
    </row>
    <row r="91" spans="2:26" ht="16.5" customHeight="1">
      <c r="B91" s="1952">
        <f>+B84+1</f>
        <v>8</v>
      </c>
      <c r="C91" s="1953"/>
      <c r="D91" s="1975" t="s">
        <v>172</v>
      </c>
      <c r="E91" s="1954"/>
      <c r="F91" s="1955"/>
      <c r="G91" s="1956"/>
      <c r="H91" s="1969"/>
      <c r="I91" s="1941"/>
      <c r="J91" s="1972"/>
      <c r="K91" s="1972"/>
      <c r="L91" s="1972"/>
      <c r="M91" s="1972"/>
      <c r="N91" s="1972"/>
      <c r="O91" s="1972"/>
      <c r="P91" s="1972"/>
      <c r="Q91" s="1972"/>
      <c r="R91" s="1972"/>
      <c r="S91" s="1972"/>
      <c r="T91" s="1972"/>
      <c r="U91" s="1972"/>
      <c r="V91" s="324"/>
      <c r="W91" s="324"/>
      <c r="X91" s="2018"/>
    </row>
    <row r="92" spans="2:26" ht="16.5" customHeight="1">
      <c r="B92" s="1957">
        <f>B91+0.01</f>
        <v>8.01</v>
      </c>
      <c r="C92" s="1953"/>
      <c r="D92" s="1951" t="s">
        <v>154</v>
      </c>
      <c r="E92" s="1954"/>
      <c r="F92" s="1955"/>
      <c r="G92" s="1956" t="s">
        <v>18</v>
      </c>
      <c r="H92" s="1969">
        <f t="shared" si="35"/>
        <v>37</v>
      </c>
      <c r="I92" s="1941"/>
      <c r="J92" s="1972">
        <f t="shared" si="42"/>
        <v>10</v>
      </c>
      <c r="K92" s="1972">
        <f t="shared" si="42"/>
        <v>4</v>
      </c>
      <c r="L92" s="1972">
        <f t="shared" si="42"/>
        <v>3</v>
      </c>
      <c r="M92" s="1972">
        <f t="shared" si="42"/>
        <v>3</v>
      </c>
      <c r="N92" s="1972">
        <f t="shared" si="42"/>
        <v>5</v>
      </c>
      <c r="O92" s="1972">
        <f t="shared" si="42"/>
        <v>2</v>
      </c>
      <c r="P92" s="1972">
        <f t="shared" si="42"/>
        <v>0</v>
      </c>
      <c r="Q92" s="1972">
        <f t="shared" si="42"/>
        <v>3</v>
      </c>
      <c r="R92" s="1972">
        <f t="shared" si="42"/>
        <v>6</v>
      </c>
      <c r="S92" s="1972">
        <f t="shared" si="42"/>
        <v>1</v>
      </c>
      <c r="T92" s="1972">
        <f t="shared" si="42"/>
        <v>0</v>
      </c>
      <c r="U92" s="1972">
        <f t="shared" si="42"/>
        <v>0</v>
      </c>
      <c r="V92" s="324"/>
      <c r="W92" s="324"/>
      <c r="X92" s="2018"/>
      <c r="Y92" s="328"/>
      <c r="Z92" s="324"/>
    </row>
    <row r="93" spans="2:26" ht="16.5" customHeight="1">
      <c r="B93" s="1957">
        <f t="shared" ref="B93:B99" si="45">B92+0.01</f>
        <v>8.02</v>
      </c>
      <c r="C93" s="1953"/>
      <c r="D93" s="1951" t="s">
        <v>599</v>
      </c>
      <c r="E93" s="1954"/>
      <c r="F93" s="1955"/>
      <c r="G93" s="1956" t="s">
        <v>187</v>
      </c>
      <c r="H93" s="1969">
        <f t="shared" si="35"/>
        <v>222</v>
      </c>
      <c r="I93" s="1941"/>
      <c r="J93" s="1972">
        <f>6*J$10</f>
        <v>60</v>
      </c>
      <c r="K93" s="1972">
        <f t="shared" ref="K93:U93" si="46">6*K$10</f>
        <v>24</v>
      </c>
      <c r="L93" s="1972">
        <f t="shared" si="46"/>
        <v>18</v>
      </c>
      <c r="M93" s="1972">
        <f t="shared" si="46"/>
        <v>18</v>
      </c>
      <c r="N93" s="1972">
        <f t="shared" si="46"/>
        <v>30</v>
      </c>
      <c r="O93" s="1972">
        <f t="shared" si="46"/>
        <v>12</v>
      </c>
      <c r="P93" s="1972">
        <f t="shared" si="46"/>
        <v>0</v>
      </c>
      <c r="Q93" s="1972">
        <f t="shared" si="46"/>
        <v>18</v>
      </c>
      <c r="R93" s="1972">
        <f t="shared" si="46"/>
        <v>36</v>
      </c>
      <c r="S93" s="1972">
        <f t="shared" si="46"/>
        <v>6</v>
      </c>
      <c r="T93" s="1972">
        <f t="shared" si="46"/>
        <v>0</v>
      </c>
      <c r="U93" s="1972">
        <f t="shared" si="46"/>
        <v>0</v>
      </c>
      <c r="V93" s="324"/>
      <c r="W93" s="324"/>
      <c r="X93" s="2018"/>
      <c r="Y93" s="328"/>
      <c r="Z93" s="324"/>
    </row>
    <row r="94" spans="2:26" ht="16.5" customHeight="1">
      <c r="B94" s="1957">
        <f t="shared" si="45"/>
        <v>8.0299999999999994</v>
      </c>
      <c r="C94" s="1953"/>
      <c r="D94" s="1951" t="s">
        <v>600</v>
      </c>
      <c r="E94" s="1954"/>
      <c r="F94" s="1955"/>
      <c r="G94" s="1956" t="s">
        <v>18</v>
      </c>
      <c r="H94" s="1969">
        <f t="shared" si="35"/>
        <v>74</v>
      </c>
      <c r="I94" s="1941"/>
      <c r="J94" s="1972">
        <f>2*J$10</f>
        <v>20</v>
      </c>
      <c r="K94" s="1972">
        <f t="shared" ref="K94:U94" si="47">2*K$10</f>
        <v>8</v>
      </c>
      <c r="L94" s="1972">
        <f t="shared" si="47"/>
        <v>6</v>
      </c>
      <c r="M94" s="1972">
        <f t="shared" si="47"/>
        <v>6</v>
      </c>
      <c r="N94" s="1972">
        <f t="shared" si="47"/>
        <v>10</v>
      </c>
      <c r="O94" s="1972">
        <f t="shared" si="47"/>
        <v>4</v>
      </c>
      <c r="P94" s="1972">
        <f t="shared" si="47"/>
        <v>0</v>
      </c>
      <c r="Q94" s="1972">
        <f t="shared" si="47"/>
        <v>6</v>
      </c>
      <c r="R94" s="1972">
        <f t="shared" si="47"/>
        <v>12</v>
      </c>
      <c r="S94" s="1972">
        <f t="shared" si="47"/>
        <v>2</v>
      </c>
      <c r="T94" s="1972">
        <f t="shared" si="47"/>
        <v>0</v>
      </c>
      <c r="U94" s="1972">
        <f t="shared" si="47"/>
        <v>0</v>
      </c>
      <c r="V94" s="324"/>
      <c r="W94" s="324"/>
      <c r="X94" s="2018"/>
      <c r="Y94" s="328"/>
      <c r="Z94" s="324"/>
    </row>
    <row r="95" spans="2:26" ht="16.5" customHeight="1">
      <c r="B95" s="1957">
        <f t="shared" si="45"/>
        <v>8.0399999999999991</v>
      </c>
      <c r="C95" s="1953"/>
      <c r="D95" s="1951" t="s">
        <v>343</v>
      </c>
      <c r="E95" s="1954"/>
      <c r="F95" s="1955"/>
      <c r="G95" s="1956" t="s">
        <v>18</v>
      </c>
      <c r="H95" s="1969">
        <f t="shared" si="35"/>
        <v>37</v>
      </c>
      <c r="I95" s="1941"/>
      <c r="J95" s="1972">
        <f t="shared" si="42"/>
        <v>10</v>
      </c>
      <c r="K95" s="1972">
        <f t="shared" si="42"/>
        <v>4</v>
      </c>
      <c r="L95" s="1972">
        <f t="shared" si="42"/>
        <v>3</v>
      </c>
      <c r="M95" s="1972">
        <f t="shared" si="42"/>
        <v>3</v>
      </c>
      <c r="N95" s="1972">
        <f t="shared" si="42"/>
        <v>5</v>
      </c>
      <c r="O95" s="1972">
        <f t="shared" si="42"/>
        <v>2</v>
      </c>
      <c r="P95" s="1972">
        <f t="shared" si="42"/>
        <v>0</v>
      </c>
      <c r="Q95" s="1972">
        <f t="shared" si="42"/>
        <v>3</v>
      </c>
      <c r="R95" s="1972">
        <f t="shared" si="42"/>
        <v>6</v>
      </c>
      <c r="S95" s="1972">
        <f t="shared" si="42"/>
        <v>1</v>
      </c>
      <c r="T95" s="1972">
        <f t="shared" si="42"/>
        <v>0</v>
      </c>
      <c r="U95" s="1972">
        <f t="shared" si="42"/>
        <v>0</v>
      </c>
      <c r="V95" s="324"/>
      <c r="W95" s="324"/>
      <c r="X95" s="2018"/>
      <c r="Y95" s="328"/>
      <c r="Z95" s="324"/>
    </row>
    <row r="96" spans="2:26" ht="16.5" customHeight="1">
      <c r="B96" s="1957">
        <f t="shared" si="45"/>
        <v>8.0499999999999989</v>
      </c>
      <c r="C96" s="1953"/>
      <c r="D96" s="1951" t="s">
        <v>601</v>
      </c>
      <c r="E96" s="1954"/>
      <c r="F96" s="1955"/>
      <c r="G96" s="1956" t="s">
        <v>18</v>
      </c>
      <c r="H96" s="1969">
        <f t="shared" si="35"/>
        <v>37</v>
      </c>
      <c r="I96" s="1941"/>
      <c r="J96" s="1972">
        <f t="shared" si="42"/>
        <v>10</v>
      </c>
      <c r="K96" s="1972">
        <f t="shared" si="42"/>
        <v>4</v>
      </c>
      <c r="L96" s="1972">
        <f t="shared" si="42"/>
        <v>3</v>
      </c>
      <c r="M96" s="1972">
        <f t="shared" si="42"/>
        <v>3</v>
      </c>
      <c r="N96" s="1972">
        <f t="shared" si="42"/>
        <v>5</v>
      </c>
      <c r="O96" s="1972">
        <f t="shared" si="42"/>
        <v>2</v>
      </c>
      <c r="P96" s="1972">
        <f t="shared" si="42"/>
        <v>0</v>
      </c>
      <c r="Q96" s="1972">
        <f t="shared" si="42"/>
        <v>3</v>
      </c>
      <c r="R96" s="1972">
        <f t="shared" si="42"/>
        <v>6</v>
      </c>
      <c r="S96" s="1972">
        <f t="shared" si="42"/>
        <v>1</v>
      </c>
      <c r="T96" s="1972">
        <f t="shared" si="42"/>
        <v>0</v>
      </c>
      <c r="U96" s="1972">
        <f t="shared" si="42"/>
        <v>0</v>
      </c>
      <c r="V96" s="324"/>
      <c r="W96" s="324"/>
      <c r="X96" s="2018"/>
      <c r="Y96" s="328"/>
      <c r="Z96" s="324"/>
    </row>
    <row r="97" spans="2:26" ht="16.5" customHeight="1">
      <c r="B97" s="1957">
        <f t="shared" si="45"/>
        <v>8.0599999999999987</v>
      </c>
      <c r="C97" s="1953"/>
      <c r="D97" s="1951" t="s">
        <v>602</v>
      </c>
      <c r="E97" s="1954"/>
      <c r="F97" s="1955"/>
      <c r="G97" s="1956" t="s">
        <v>18</v>
      </c>
      <c r="H97" s="1969">
        <f t="shared" si="35"/>
        <v>37</v>
      </c>
      <c r="I97" s="1941"/>
      <c r="J97" s="1972">
        <f t="shared" si="42"/>
        <v>10</v>
      </c>
      <c r="K97" s="1972">
        <f t="shared" si="42"/>
        <v>4</v>
      </c>
      <c r="L97" s="1972">
        <f t="shared" si="42"/>
        <v>3</v>
      </c>
      <c r="M97" s="1972">
        <f t="shared" si="42"/>
        <v>3</v>
      </c>
      <c r="N97" s="1972">
        <f t="shared" si="42"/>
        <v>5</v>
      </c>
      <c r="O97" s="1972">
        <f t="shared" si="42"/>
        <v>2</v>
      </c>
      <c r="P97" s="1972">
        <f t="shared" si="42"/>
        <v>0</v>
      </c>
      <c r="Q97" s="1972">
        <f t="shared" si="42"/>
        <v>3</v>
      </c>
      <c r="R97" s="1972">
        <f t="shared" si="42"/>
        <v>6</v>
      </c>
      <c r="S97" s="1972">
        <f t="shared" si="42"/>
        <v>1</v>
      </c>
      <c r="T97" s="1972">
        <f t="shared" si="42"/>
        <v>0</v>
      </c>
      <c r="U97" s="1972">
        <f t="shared" si="42"/>
        <v>0</v>
      </c>
      <c r="V97" s="324"/>
      <c r="W97" s="324"/>
      <c r="X97" s="2018"/>
      <c r="Y97" s="328"/>
      <c r="Z97" s="324"/>
    </row>
    <row r="98" spans="2:26" ht="16.5" customHeight="1">
      <c r="B98" s="1957">
        <f t="shared" si="45"/>
        <v>8.0699999999999985</v>
      </c>
      <c r="C98" s="1953"/>
      <c r="D98" s="1951" t="s">
        <v>603</v>
      </c>
      <c r="E98" s="1954"/>
      <c r="F98" s="1955"/>
      <c r="G98" s="1956" t="s">
        <v>18</v>
      </c>
      <c r="H98" s="1969">
        <f t="shared" si="35"/>
        <v>111</v>
      </c>
      <c r="I98" s="1941"/>
      <c r="J98" s="1972">
        <f>+J$10*3</f>
        <v>30</v>
      </c>
      <c r="K98" s="1972">
        <f t="shared" ref="K98:U98" si="48">+K$10*3</f>
        <v>12</v>
      </c>
      <c r="L98" s="1972">
        <f t="shared" si="48"/>
        <v>9</v>
      </c>
      <c r="M98" s="1972">
        <f t="shared" si="48"/>
        <v>9</v>
      </c>
      <c r="N98" s="1972">
        <f t="shared" si="48"/>
        <v>15</v>
      </c>
      <c r="O98" s="1972">
        <f t="shared" si="48"/>
        <v>6</v>
      </c>
      <c r="P98" s="1972">
        <f t="shared" si="48"/>
        <v>0</v>
      </c>
      <c r="Q98" s="1972">
        <f t="shared" si="48"/>
        <v>9</v>
      </c>
      <c r="R98" s="1972">
        <f t="shared" si="48"/>
        <v>18</v>
      </c>
      <c r="S98" s="1972">
        <f t="shared" si="48"/>
        <v>3</v>
      </c>
      <c r="T98" s="1972">
        <f t="shared" si="48"/>
        <v>0</v>
      </c>
      <c r="U98" s="1972">
        <f t="shared" si="48"/>
        <v>0</v>
      </c>
      <c r="V98" s="324"/>
      <c r="W98" s="324"/>
      <c r="X98" s="2018"/>
      <c r="Y98" s="328"/>
      <c r="Z98" s="324"/>
    </row>
    <row r="99" spans="2:26" ht="16.5" customHeight="1">
      <c r="B99" s="1957">
        <f t="shared" si="45"/>
        <v>8.0799999999999983</v>
      </c>
      <c r="C99" s="1953"/>
      <c r="D99" s="1951" t="s">
        <v>797</v>
      </c>
      <c r="E99" s="1954"/>
      <c r="F99" s="1955"/>
      <c r="G99" s="1956" t="s">
        <v>858</v>
      </c>
      <c r="H99" s="1969">
        <f t="shared" si="35"/>
        <v>0</v>
      </c>
      <c r="I99" s="1941"/>
      <c r="J99" s="1972">
        <v>0</v>
      </c>
      <c r="K99" s="1972">
        <v>0</v>
      </c>
      <c r="L99" s="1972">
        <v>0</v>
      </c>
      <c r="M99" s="1972">
        <v>0</v>
      </c>
      <c r="N99" s="1972">
        <v>0</v>
      </c>
      <c r="O99" s="1972">
        <v>0</v>
      </c>
      <c r="P99" s="1972">
        <v>0</v>
      </c>
      <c r="Q99" s="1972">
        <v>0</v>
      </c>
      <c r="R99" s="1972">
        <v>0</v>
      </c>
      <c r="S99" s="1972">
        <v>0</v>
      </c>
      <c r="T99" s="1972">
        <v>0</v>
      </c>
      <c r="U99" s="1972">
        <v>0</v>
      </c>
      <c r="V99" s="324"/>
      <c r="W99" s="324"/>
      <c r="X99" s="2018"/>
      <c r="Y99" s="328"/>
      <c r="Z99" s="324"/>
    </row>
    <row r="100" spans="2:26" ht="16.5" customHeight="1">
      <c r="B100" s="1957"/>
      <c r="C100" s="1953"/>
      <c r="D100" s="2039" t="s">
        <v>1033</v>
      </c>
      <c r="E100" s="2039"/>
      <c r="F100" s="2040"/>
      <c r="G100" s="1956" t="s">
        <v>858</v>
      </c>
      <c r="H100" s="1969">
        <f t="shared" si="35"/>
        <v>111</v>
      </c>
      <c r="I100" s="1941"/>
      <c r="J100" s="1972">
        <f>J10*3</f>
        <v>30</v>
      </c>
      <c r="K100" s="1972">
        <f t="shared" ref="K100:U100" si="49">K10*3</f>
        <v>12</v>
      </c>
      <c r="L100" s="1972">
        <f t="shared" si="49"/>
        <v>9</v>
      </c>
      <c r="M100" s="1972">
        <f t="shared" si="49"/>
        <v>9</v>
      </c>
      <c r="N100" s="1972">
        <f t="shared" si="49"/>
        <v>15</v>
      </c>
      <c r="O100" s="1972">
        <f t="shared" si="49"/>
        <v>6</v>
      </c>
      <c r="P100" s="1972">
        <f t="shared" si="49"/>
        <v>0</v>
      </c>
      <c r="Q100" s="1972">
        <f t="shared" si="49"/>
        <v>9</v>
      </c>
      <c r="R100" s="1972">
        <f t="shared" si="49"/>
        <v>18</v>
      </c>
      <c r="S100" s="1972">
        <f t="shared" si="49"/>
        <v>3</v>
      </c>
      <c r="T100" s="1972">
        <f t="shared" si="49"/>
        <v>0</v>
      </c>
      <c r="U100" s="1972">
        <f t="shared" si="49"/>
        <v>0</v>
      </c>
      <c r="V100" s="324"/>
      <c r="W100" s="324"/>
      <c r="X100" s="2018"/>
      <c r="Y100" s="328"/>
      <c r="Z100" s="324"/>
    </row>
    <row r="101" spans="2:26" ht="16.5" customHeight="1">
      <c r="B101" s="1957"/>
      <c r="C101" s="1953"/>
      <c r="D101" s="2036" t="s">
        <v>1034</v>
      </c>
      <c r="E101" s="2036"/>
      <c r="F101" s="2038"/>
      <c r="G101" s="1956" t="s">
        <v>18</v>
      </c>
      <c r="H101" s="1969">
        <f t="shared" si="35"/>
        <v>37</v>
      </c>
      <c r="I101" s="1941"/>
      <c r="J101" s="1972">
        <f t="shared" si="42"/>
        <v>10</v>
      </c>
      <c r="K101" s="1972">
        <f t="shared" si="42"/>
        <v>4</v>
      </c>
      <c r="L101" s="1972">
        <f t="shared" si="42"/>
        <v>3</v>
      </c>
      <c r="M101" s="1972">
        <f t="shared" si="42"/>
        <v>3</v>
      </c>
      <c r="N101" s="1972">
        <f t="shared" si="42"/>
        <v>5</v>
      </c>
      <c r="O101" s="1972">
        <f t="shared" si="42"/>
        <v>2</v>
      </c>
      <c r="P101" s="1972">
        <f t="shared" si="42"/>
        <v>0</v>
      </c>
      <c r="Q101" s="1972">
        <f t="shared" si="42"/>
        <v>3</v>
      </c>
      <c r="R101" s="1972">
        <f t="shared" si="42"/>
        <v>6</v>
      </c>
      <c r="S101" s="1972">
        <f t="shared" si="42"/>
        <v>1</v>
      </c>
      <c r="T101" s="1972">
        <f t="shared" si="42"/>
        <v>0</v>
      </c>
      <c r="U101" s="1972">
        <f t="shared" si="42"/>
        <v>0</v>
      </c>
      <c r="V101" s="324"/>
      <c r="W101" s="324"/>
      <c r="X101" s="2018"/>
      <c r="Y101" s="328"/>
      <c r="Z101" s="324"/>
    </row>
    <row r="102" spans="2:26" ht="16.5" customHeight="1">
      <c r="B102" s="1957"/>
      <c r="C102" s="1953"/>
      <c r="D102" s="2036" t="s">
        <v>1035</v>
      </c>
      <c r="E102" s="2036"/>
      <c r="F102" s="2038"/>
      <c r="G102" s="1956" t="s">
        <v>18</v>
      </c>
      <c r="H102" s="1969">
        <f t="shared" si="35"/>
        <v>37</v>
      </c>
      <c r="I102" s="1941"/>
      <c r="J102" s="1972">
        <f t="shared" si="42"/>
        <v>10</v>
      </c>
      <c r="K102" s="1972">
        <f t="shared" si="42"/>
        <v>4</v>
      </c>
      <c r="L102" s="1972">
        <f t="shared" si="42"/>
        <v>3</v>
      </c>
      <c r="M102" s="1972">
        <f t="shared" si="42"/>
        <v>3</v>
      </c>
      <c r="N102" s="1972">
        <f t="shared" si="42"/>
        <v>5</v>
      </c>
      <c r="O102" s="1972">
        <f t="shared" si="42"/>
        <v>2</v>
      </c>
      <c r="P102" s="1972">
        <f t="shared" si="42"/>
        <v>0</v>
      </c>
      <c r="Q102" s="1972">
        <f t="shared" si="42"/>
        <v>3</v>
      </c>
      <c r="R102" s="1972">
        <f t="shared" si="42"/>
        <v>6</v>
      </c>
      <c r="S102" s="1972">
        <f t="shared" si="42"/>
        <v>1</v>
      </c>
      <c r="T102" s="1972">
        <f t="shared" si="42"/>
        <v>0</v>
      </c>
      <c r="U102" s="1972">
        <f t="shared" si="42"/>
        <v>0</v>
      </c>
      <c r="V102" s="324"/>
      <c r="W102" s="324"/>
      <c r="X102" s="2018"/>
      <c r="Y102" s="328"/>
      <c r="Z102" s="324"/>
    </row>
    <row r="103" spans="2:26" ht="16.5" customHeight="1">
      <c r="B103" s="1958"/>
      <c r="C103" s="1953"/>
      <c r="D103" s="1951"/>
      <c r="E103" s="1954"/>
      <c r="F103" s="1959"/>
      <c r="G103" s="1956"/>
      <c r="H103" s="1969"/>
      <c r="I103" s="1941"/>
      <c r="J103" s="1972"/>
      <c r="K103" s="1972"/>
      <c r="L103" s="1972"/>
      <c r="M103" s="1972"/>
      <c r="N103" s="1972"/>
      <c r="O103" s="1972"/>
      <c r="P103" s="1972"/>
      <c r="Q103" s="1972"/>
      <c r="R103" s="1972"/>
      <c r="S103" s="1972"/>
      <c r="T103" s="1972"/>
      <c r="U103" s="1972"/>
      <c r="V103" s="324"/>
      <c r="W103" s="324"/>
      <c r="X103" s="2018"/>
    </row>
    <row r="104" spans="2:26" ht="16.5" customHeight="1">
      <c r="B104" s="1952">
        <f>+B91+1</f>
        <v>9</v>
      </c>
      <c r="C104" s="1953"/>
      <c r="D104" s="1975" t="s">
        <v>798</v>
      </c>
      <c r="E104" s="1954"/>
      <c r="F104" s="1955"/>
      <c r="G104" s="1956"/>
      <c r="H104" s="1969"/>
      <c r="I104" s="1941"/>
      <c r="J104" s="1972"/>
      <c r="K104" s="1972"/>
      <c r="L104" s="1972"/>
      <c r="M104" s="1972"/>
      <c r="N104" s="1972"/>
      <c r="O104" s="1972"/>
      <c r="P104" s="1972"/>
      <c r="Q104" s="1972"/>
      <c r="R104" s="1972"/>
      <c r="S104" s="1972"/>
      <c r="T104" s="1972"/>
      <c r="U104" s="1972"/>
      <c r="V104" s="324"/>
      <c r="W104" s="324"/>
      <c r="X104" s="2018"/>
    </row>
    <row r="105" spans="2:26" ht="16.5" customHeight="1">
      <c r="B105" s="1957">
        <f>B104+0.01</f>
        <v>9.01</v>
      </c>
      <c r="C105" s="1953"/>
      <c r="D105" s="1951" t="s">
        <v>734</v>
      </c>
      <c r="E105" s="1954"/>
      <c r="F105" s="1955"/>
      <c r="G105" s="1956" t="s">
        <v>187</v>
      </c>
      <c r="H105" s="1969">
        <f t="shared" si="35"/>
        <v>185</v>
      </c>
      <c r="I105" s="1941"/>
      <c r="J105" s="1972">
        <f>5*J$10</f>
        <v>50</v>
      </c>
      <c r="K105" s="1972">
        <f t="shared" ref="K105:U105" si="50">5*K$10</f>
        <v>20</v>
      </c>
      <c r="L105" s="1972">
        <f t="shared" si="50"/>
        <v>15</v>
      </c>
      <c r="M105" s="1972">
        <f t="shared" si="50"/>
        <v>15</v>
      </c>
      <c r="N105" s="1972">
        <f t="shared" si="50"/>
        <v>25</v>
      </c>
      <c r="O105" s="1972">
        <f t="shared" si="50"/>
        <v>10</v>
      </c>
      <c r="P105" s="1972">
        <f t="shared" si="50"/>
        <v>0</v>
      </c>
      <c r="Q105" s="1972">
        <f t="shared" si="50"/>
        <v>15</v>
      </c>
      <c r="R105" s="1972">
        <f t="shared" si="50"/>
        <v>30</v>
      </c>
      <c r="S105" s="1972">
        <f t="shared" si="50"/>
        <v>5</v>
      </c>
      <c r="T105" s="1972">
        <f t="shared" si="50"/>
        <v>0</v>
      </c>
      <c r="U105" s="1972">
        <f t="shared" si="50"/>
        <v>0</v>
      </c>
      <c r="V105" s="324"/>
      <c r="W105" s="324"/>
      <c r="X105" s="2018"/>
      <c r="Y105" s="328"/>
      <c r="Z105" s="324"/>
    </row>
    <row r="106" spans="2:26" ht="16.5" customHeight="1">
      <c r="B106" s="1957">
        <f t="shared" ref="B106:B109" si="51">B105+0.01</f>
        <v>9.02</v>
      </c>
      <c r="C106" s="1953"/>
      <c r="D106" s="1951" t="s">
        <v>799</v>
      </c>
      <c r="E106" s="1954"/>
      <c r="F106" s="1955"/>
      <c r="G106" s="1956" t="s">
        <v>18</v>
      </c>
      <c r="H106" s="1969">
        <f t="shared" si="35"/>
        <v>37</v>
      </c>
      <c r="I106" s="1941"/>
      <c r="J106" s="1972">
        <f t="shared" si="42"/>
        <v>10</v>
      </c>
      <c r="K106" s="1972">
        <f t="shared" si="42"/>
        <v>4</v>
      </c>
      <c r="L106" s="1972">
        <f t="shared" si="42"/>
        <v>3</v>
      </c>
      <c r="M106" s="1972">
        <f t="shared" si="42"/>
        <v>3</v>
      </c>
      <c r="N106" s="1972">
        <f t="shared" si="42"/>
        <v>5</v>
      </c>
      <c r="O106" s="1972">
        <f t="shared" si="42"/>
        <v>2</v>
      </c>
      <c r="P106" s="1972">
        <f t="shared" si="42"/>
        <v>0</v>
      </c>
      <c r="Q106" s="1972">
        <f t="shared" si="42"/>
        <v>3</v>
      </c>
      <c r="R106" s="1972">
        <f t="shared" si="42"/>
        <v>6</v>
      </c>
      <c r="S106" s="1972">
        <f t="shared" si="42"/>
        <v>1</v>
      </c>
      <c r="T106" s="1972">
        <f t="shared" si="42"/>
        <v>0</v>
      </c>
      <c r="U106" s="1972">
        <f t="shared" si="42"/>
        <v>0</v>
      </c>
      <c r="V106" s="324"/>
      <c r="W106" s="324"/>
      <c r="X106" s="2018"/>
      <c r="Y106" s="328"/>
      <c r="Z106" s="324"/>
    </row>
    <row r="107" spans="2:26" ht="16.5" customHeight="1">
      <c r="B107" s="1957">
        <f t="shared" si="51"/>
        <v>9.0299999999999994</v>
      </c>
      <c r="C107" s="1953"/>
      <c r="D107" s="1951" t="s">
        <v>290</v>
      </c>
      <c r="E107" s="1954"/>
      <c r="F107" s="1955"/>
      <c r="G107" s="1956" t="s">
        <v>18</v>
      </c>
      <c r="H107" s="1969">
        <f t="shared" si="35"/>
        <v>37</v>
      </c>
      <c r="I107" s="1941"/>
      <c r="J107" s="1972">
        <f t="shared" si="42"/>
        <v>10</v>
      </c>
      <c r="K107" s="1972">
        <f t="shared" si="42"/>
        <v>4</v>
      </c>
      <c r="L107" s="1972">
        <f t="shared" si="42"/>
        <v>3</v>
      </c>
      <c r="M107" s="1972">
        <f t="shared" si="42"/>
        <v>3</v>
      </c>
      <c r="N107" s="1972">
        <f t="shared" si="42"/>
        <v>5</v>
      </c>
      <c r="O107" s="1972">
        <f t="shared" si="42"/>
        <v>2</v>
      </c>
      <c r="P107" s="1972">
        <f t="shared" si="42"/>
        <v>0</v>
      </c>
      <c r="Q107" s="1972">
        <f t="shared" si="42"/>
        <v>3</v>
      </c>
      <c r="R107" s="1972">
        <f t="shared" si="42"/>
        <v>6</v>
      </c>
      <c r="S107" s="1972">
        <f t="shared" si="42"/>
        <v>1</v>
      </c>
      <c r="T107" s="1972">
        <f t="shared" si="42"/>
        <v>0</v>
      </c>
      <c r="U107" s="1972">
        <f t="shared" si="42"/>
        <v>0</v>
      </c>
      <c r="V107" s="324"/>
      <c r="W107" s="324"/>
      <c r="X107" s="2018"/>
      <c r="Y107" s="328"/>
      <c r="Z107" s="324"/>
    </row>
    <row r="108" spans="2:26" ht="16.5" customHeight="1">
      <c r="B108" s="1957">
        <f t="shared" si="51"/>
        <v>9.0399999999999991</v>
      </c>
      <c r="C108" s="1953"/>
      <c r="D108" s="1951" t="s">
        <v>365</v>
      </c>
      <c r="E108" s="1954"/>
      <c r="F108" s="1955"/>
      <c r="G108" s="1956" t="s">
        <v>18</v>
      </c>
      <c r="H108" s="1969">
        <f t="shared" si="35"/>
        <v>37</v>
      </c>
      <c r="I108" s="1941"/>
      <c r="J108" s="1972">
        <f t="shared" si="42"/>
        <v>10</v>
      </c>
      <c r="K108" s="1972">
        <f t="shared" si="42"/>
        <v>4</v>
      </c>
      <c r="L108" s="1972">
        <f t="shared" si="42"/>
        <v>3</v>
      </c>
      <c r="M108" s="1972">
        <f t="shared" si="42"/>
        <v>3</v>
      </c>
      <c r="N108" s="1972">
        <f t="shared" si="42"/>
        <v>5</v>
      </c>
      <c r="O108" s="1972">
        <f t="shared" si="42"/>
        <v>2</v>
      </c>
      <c r="P108" s="1972">
        <f t="shared" si="42"/>
        <v>0</v>
      </c>
      <c r="Q108" s="1972">
        <f t="shared" si="42"/>
        <v>3</v>
      </c>
      <c r="R108" s="1972">
        <f t="shared" si="42"/>
        <v>6</v>
      </c>
      <c r="S108" s="1972">
        <f t="shared" si="42"/>
        <v>1</v>
      </c>
      <c r="T108" s="1972">
        <f t="shared" si="42"/>
        <v>0</v>
      </c>
      <c r="U108" s="1972">
        <f t="shared" si="42"/>
        <v>0</v>
      </c>
      <c r="V108" s="324"/>
      <c r="W108" s="324"/>
      <c r="X108" s="2018"/>
      <c r="Y108" s="328"/>
      <c r="Z108" s="324"/>
    </row>
    <row r="109" spans="2:26" ht="16.5" customHeight="1">
      <c r="B109" s="1957">
        <f t="shared" si="51"/>
        <v>9.0499999999999989</v>
      </c>
      <c r="C109" s="1953"/>
      <c r="D109" s="1951" t="s">
        <v>174</v>
      </c>
      <c r="E109" s="1954"/>
      <c r="F109" s="1955"/>
      <c r="G109" s="1956" t="s">
        <v>18</v>
      </c>
      <c r="H109" s="1969">
        <f t="shared" si="35"/>
        <v>74</v>
      </c>
      <c r="I109" s="1941"/>
      <c r="J109" s="1972">
        <f>+J$10*2</f>
        <v>20</v>
      </c>
      <c r="K109" s="1972">
        <f t="shared" ref="K109:U109" si="52">+K$10*2</f>
        <v>8</v>
      </c>
      <c r="L109" s="1972">
        <f t="shared" si="52"/>
        <v>6</v>
      </c>
      <c r="M109" s="1972">
        <f t="shared" si="52"/>
        <v>6</v>
      </c>
      <c r="N109" s="1972">
        <f t="shared" si="52"/>
        <v>10</v>
      </c>
      <c r="O109" s="1972">
        <f t="shared" si="52"/>
        <v>4</v>
      </c>
      <c r="P109" s="1972">
        <f t="shared" si="52"/>
        <v>0</v>
      </c>
      <c r="Q109" s="1972">
        <f t="shared" si="52"/>
        <v>6</v>
      </c>
      <c r="R109" s="1972">
        <f t="shared" si="52"/>
        <v>12</v>
      </c>
      <c r="S109" s="1972">
        <f t="shared" si="52"/>
        <v>2</v>
      </c>
      <c r="T109" s="1972">
        <f t="shared" si="52"/>
        <v>0</v>
      </c>
      <c r="U109" s="1972">
        <f t="shared" si="52"/>
        <v>0</v>
      </c>
      <c r="V109" s="324"/>
      <c r="W109" s="324"/>
      <c r="X109" s="2018"/>
      <c r="Y109" s="328"/>
      <c r="Z109" s="324"/>
    </row>
    <row r="110" spans="2:26" ht="16.5" customHeight="1">
      <c r="B110" s="1960"/>
      <c r="C110" s="1961"/>
      <c r="D110" s="1976"/>
      <c r="E110" s="1962"/>
      <c r="F110" s="1963"/>
      <c r="G110" s="1964"/>
      <c r="H110" s="1970"/>
      <c r="I110" s="1941"/>
      <c r="J110" s="1971"/>
      <c r="K110" s="1971"/>
      <c r="L110" s="1971"/>
      <c r="M110" s="1971"/>
      <c r="N110" s="1971"/>
      <c r="O110" s="1971"/>
      <c r="P110" s="1971"/>
      <c r="Q110" s="1971"/>
      <c r="R110" s="1971"/>
      <c r="S110" s="1971"/>
      <c r="T110" s="1971"/>
      <c r="U110" s="1971"/>
      <c r="V110" s="324"/>
      <c r="W110" s="324"/>
      <c r="X110" s="2018"/>
    </row>
    <row r="111" spans="2:26" ht="18" customHeight="1">
      <c r="B111" s="1965" t="s">
        <v>190</v>
      </c>
      <c r="C111" s="1966" t="e">
        <v>#REF!</v>
      </c>
      <c r="D111" s="1995" t="s">
        <v>1028</v>
      </c>
      <c r="E111" s="2023"/>
      <c r="F111" s="2024"/>
      <c r="G111" s="1532"/>
      <c r="H111" s="1533"/>
      <c r="I111" s="2025"/>
      <c r="J111" s="1996"/>
      <c r="K111" s="1996"/>
      <c r="L111" s="1996"/>
      <c r="M111" s="1996"/>
      <c r="N111" s="1996"/>
      <c r="O111" s="1996"/>
      <c r="P111" s="1996"/>
      <c r="Q111" s="1996"/>
      <c r="R111" s="1996"/>
      <c r="S111" s="1996"/>
      <c r="T111" s="1996"/>
      <c r="U111" s="1996"/>
      <c r="V111" s="1726">
        <f>SUM(J111:U111)</f>
        <v>0</v>
      </c>
    </row>
    <row r="112" spans="2:26" ht="18" customHeight="1">
      <c r="B112" s="1942">
        <v>1</v>
      </c>
      <c r="C112" s="1943"/>
      <c r="D112" s="1975" t="s">
        <v>408</v>
      </c>
      <c r="E112" s="1951"/>
      <c r="F112" s="1944"/>
      <c r="G112" s="1945"/>
      <c r="H112" s="1973"/>
      <c r="I112" s="2025"/>
      <c r="J112" s="1972"/>
      <c r="K112" s="1972"/>
      <c r="L112" s="1997"/>
      <c r="M112" s="1997"/>
      <c r="N112" s="1997"/>
      <c r="O112" s="1997"/>
      <c r="P112" s="1997"/>
      <c r="Q112" s="1997"/>
      <c r="R112" s="1997"/>
      <c r="S112" s="1997"/>
      <c r="T112" s="1997"/>
      <c r="U112" s="1997"/>
      <c r="V112" s="1726">
        <f t="shared" ref="V112:V156" si="53">SUM(J112:U112)</f>
        <v>0</v>
      </c>
    </row>
    <row r="113" spans="2:22" ht="18" customHeight="1">
      <c r="B113" s="1946">
        <f>B112+0.01</f>
        <v>1.01</v>
      </c>
      <c r="C113" s="1943"/>
      <c r="D113" s="1951" t="s">
        <v>800</v>
      </c>
      <c r="E113" s="2026"/>
      <c r="F113" s="2027"/>
      <c r="G113" s="1945" t="s">
        <v>18</v>
      </c>
      <c r="H113" s="1973">
        <f>SUM(J113:U113)</f>
        <v>26</v>
      </c>
      <c r="I113" s="2028"/>
      <c r="J113" s="1972">
        <v>10</v>
      </c>
      <c r="K113" s="1972">
        <v>4</v>
      </c>
      <c r="L113" s="1972">
        <v>3</v>
      </c>
      <c r="M113" s="1972"/>
      <c r="N113" s="1972">
        <v>5</v>
      </c>
      <c r="O113" s="1972"/>
      <c r="P113" s="1972">
        <v>0</v>
      </c>
      <c r="Q113" s="1972">
        <v>3</v>
      </c>
      <c r="R113" s="1972"/>
      <c r="S113" s="1972">
        <v>1</v>
      </c>
      <c r="T113" s="1972"/>
      <c r="U113" s="1972"/>
      <c r="V113" s="1726">
        <f t="shared" si="53"/>
        <v>26</v>
      </c>
    </row>
    <row r="114" spans="2:22" ht="18" customHeight="1">
      <c r="B114" s="1946">
        <f t="shared" ref="B114:B126" si="54">+B113+0.01</f>
        <v>1.02</v>
      </c>
      <c r="C114" s="1943"/>
      <c r="D114" s="1951" t="s">
        <v>890</v>
      </c>
      <c r="E114" s="2026"/>
      <c r="F114" s="2027"/>
      <c r="G114" s="1945" t="s">
        <v>18</v>
      </c>
      <c r="H114" s="1973">
        <f t="shared" ref="H114:H155" si="55">SUM(J114:U114)</f>
        <v>11</v>
      </c>
      <c r="I114" s="2028"/>
      <c r="J114" s="1972"/>
      <c r="K114" s="1972"/>
      <c r="L114" s="1998"/>
      <c r="M114" s="1998">
        <v>3</v>
      </c>
      <c r="N114" s="1998"/>
      <c r="O114" s="1998">
        <v>2</v>
      </c>
      <c r="P114" s="1998"/>
      <c r="Q114" s="1998"/>
      <c r="R114" s="1998">
        <v>6</v>
      </c>
      <c r="S114" s="1998"/>
      <c r="T114" s="1998">
        <v>0</v>
      </c>
      <c r="U114" s="1998">
        <v>0</v>
      </c>
      <c r="V114" s="1726">
        <f t="shared" si="53"/>
        <v>11</v>
      </c>
    </row>
    <row r="115" spans="2:22" ht="18" customHeight="1">
      <c r="B115" s="1946">
        <f t="shared" si="54"/>
        <v>1.03</v>
      </c>
      <c r="C115" s="1943"/>
      <c r="D115" s="1951" t="s">
        <v>801</v>
      </c>
      <c r="E115" s="1951"/>
      <c r="F115" s="1944"/>
      <c r="G115" s="1945" t="s">
        <v>18</v>
      </c>
      <c r="H115" s="1973">
        <f t="shared" si="55"/>
        <v>26</v>
      </c>
      <c r="I115" s="2029"/>
      <c r="J115" s="1972">
        <f t="shared" ref="J115:J126" si="56">+J113</f>
        <v>10</v>
      </c>
      <c r="K115" s="1972">
        <f t="shared" ref="K115:U115" si="57">+K113</f>
        <v>4</v>
      </c>
      <c r="L115" s="1972">
        <f t="shared" si="57"/>
        <v>3</v>
      </c>
      <c r="M115" s="1972">
        <f t="shared" si="57"/>
        <v>0</v>
      </c>
      <c r="N115" s="1972">
        <f t="shared" si="57"/>
        <v>5</v>
      </c>
      <c r="O115" s="1972">
        <f t="shared" si="57"/>
        <v>0</v>
      </c>
      <c r="P115" s="1972">
        <f t="shared" si="57"/>
        <v>0</v>
      </c>
      <c r="Q115" s="1972">
        <f t="shared" si="57"/>
        <v>3</v>
      </c>
      <c r="R115" s="1972">
        <f t="shared" si="57"/>
        <v>0</v>
      </c>
      <c r="S115" s="1972">
        <f t="shared" si="57"/>
        <v>1</v>
      </c>
      <c r="T115" s="1972">
        <f t="shared" si="57"/>
        <v>0</v>
      </c>
      <c r="U115" s="1972">
        <f t="shared" si="57"/>
        <v>0</v>
      </c>
      <c r="V115" s="1726">
        <f t="shared" si="53"/>
        <v>26</v>
      </c>
    </row>
    <row r="116" spans="2:22" ht="18" customHeight="1">
      <c r="B116" s="1946">
        <f t="shared" si="54"/>
        <v>1.04</v>
      </c>
      <c r="C116" s="1943"/>
      <c r="D116" s="1951" t="s">
        <v>891</v>
      </c>
      <c r="E116" s="1949"/>
      <c r="F116" s="1950"/>
      <c r="G116" s="1945" t="s">
        <v>18</v>
      </c>
      <c r="H116" s="1973">
        <f t="shared" si="55"/>
        <v>11</v>
      </c>
      <c r="I116" s="2029"/>
      <c r="J116" s="1972">
        <f t="shared" si="56"/>
        <v>0</v>
      </c>
      <c r="K116" s="1972">
        <f t="shared" ref="K116:U116" si="58">+K114</f>
        <v>0</v>
      </c>
      <c r="L116" s="1972">
        <f t="shared" si="58"/>
        <v>0</v>
      </c>
      <c r="M116" s="1972">
        <f t="shared" si="58"/>
        <v>3</v>
      </c>
      <c r="N116" s="1972">
        <f t="shared" si="58"/>
        <v>0</v>
      </c>
      <c r="O116" s="1972">
        <f t="shared" si="58"/>
        <v>2</v>
      </c>
      <c r="P116" s="1972">
        <f t="shared" si="58"/>
        <v>0</v>
      </c>
      <c r="Q116" s="1972">
        <f t="shared" si="58"/>
        <v>0</v>
      </c>
      <c r="R116" s="1972">
        <f t="shared" si="58"/>
        <v>6</v>
      </c>
      <c r="S116" s="1972">
        <f t="shared" si="58"/>
        <v>0</v>
      </c>
      <c r="T116" s="1972">
        <f t="shared" si="58"/>
        <v>0</v>
      </c>
      <c r="U116" s="1972">
        <f t="shared" si="58"/>
        <v>0</v>
      </c>
      <c r="V116" s="1726">
        <f t="shared" si="53"/>
        <v>11</v>
      </c>
    </row>
    <row r="117" spans="2:22" ht="18" customHeight="1">
      <c r="B117" s="1946">
        <f t="shared" si="54"/>
        <v>1.05</v>
      </c>
      <c r="C117" s="1943"/>
      <c r="D117" s="1951" t="s">
        <v>802</v>
      </c>
      <c r="E117" s="1949"/>
      <c r="F117" s="1950"/>
      <c r="G117" s="1945" t="s">
        <v>18</v>
      </c>
      <c r="H117" s="1973">
        <f t="shared" si="55"/>
        <v>26</v>
      </c>
      <c r="I117" s="2029"/>
      <c r="J117" s="1972">
        <f t="shared" si="56"/>
        <v>10</v>
      </c>
      <c r="K117" s="1972">
        <f t="shared" ref="K117:U117" si="59">+K115</f>
        <v>4</v>
      </c>
      <c r="L117" s="1972">
        <f t="shared" si="59"/>
        <v>3</v>
      </c>
      <c r="M117" s="1972">
        <f t="shared" si="59"/>
        <v>0</v>
      </c>
      <c r="N117" s="1972">
        <f t="shared" si="59"/>
        <v>5</v>
      </c>
      <c r="O117" s="1972">
        <f t="shared" si="59"/>
        <v>0</v>
      </c>
      <c r="P117" s="1972">
        <f t="shared" si="59"/>
        <v>0</v>
      </c>
      <c r="Q117" s="1972">
        <f t="shared" si="59"/>
        <v>3</v>
      </c>
      <c r="R117" s="1972">
        <f t="shared" si="59"/>
        <v>0</v>
      </c>
      <c r="S117" s="1972">
        <f t="shared" si="59"/>
        <v>1</v>
      </c>
      <c r="T117" s="1972">
        <f t="shared" si="59"/>
        <v>0</v>
      </c>
      <c r="U117" s="1972">
        <f t="shared" si="59"/>
        <v>0</v>
      </c>
      <c r="V117" s="1726">
        <f t="shared" si="53"/>
        <v>26</v>
      </c>
    </row>
    <row r="118" spans="2:22" ht="18" customHeight="1">
      <c r="B118" s="1946">
        <f t="shared" si="54"/>
        <v>1.06</v>
      </c>
      <c r="C118" s="1943"/>
      <c r="D118" s="1951" t="s">
        <v>892</v>
      </c>
      <c r="E118" s="1949"/>
      <c r="F118" s="1950"/>
      <c r="G118" s="1945" t="s">
        <v>18</v>
      </c>
      <c r="H118" s="1973">
        <f t="shared" si="55"/>
        <v>11</v>
      </c>
      <c r="I118" s="2029"/>
      <c r="J118" s="1972">
        <f t="shared" si="56"/>
        <v>0</v>
      </c>
      <c r="K118" s="1972">
        <f t="shared" ref="K118:U118" si="60">+K116</f>
        <v>0</v>
      </c>
      <c r="L118" s="1972">
        <f t="shared" si="60"/>
        <v>0</v>
      </c>
      <c r="M118" s="1972">
        <f t="shared" si="60"/>
        <v>3</v>
      </c>
      <c r="N118" s="1972">
        <f t="shared" si="60"/>
        <v>0</v>
      </c>
      <c r="O118" s="1972">
        <f t="shared" si="60"/>
        <v>2</v>
      </c>
      <c r="P118" s="1972">
        <f t="shared" si="60"/>
        <v>0</v>
      </c>
      <c r="Q118" s="1972">
        <f t="shared" si="60"/>
        <v>0</v>
      </c>
      <c r="R118" s="1972">
        <f t="shared" si="60"/>
        <v>6</v>
      </c>
      <c r="S118" s="1972">
        <f t="shared" si="60"/>
        <v>0</v>
      </c>
      <c r="T118" s="1972">
        <f t="shared" si="60"/>
        <v>0</v>
      </c>
      <c r="U118" s="1972">
        <f t="shared" si="60"/>
        <v>0</v>
      </c>
      <c r="V118" s="1726">
        <f t="shared" si="53"/>
        <v>11</v>
      </c>
    </row>
    <row r="119" spans="2:22" ht="18" customHeight="1">
      <c r="B119" s="1946">
        <f t="shared" si="54"/>
        <v>1.07</v>
      </c>
      <c r="C119" s="1943"/>
      <c r="D119" s="1951" t="s">
        <v>803</v>
      </c>
      <c r="E119" s="2026"/>
      <c r="F119" s="2027"/>
      <c r="G119" s="1945" t="s">
        <v>18</v>
      </c>
      <c r="H119" s="1973">
        <f t="shared" si="55"/>
        <v>26</v>
      </c>
      <c r="I119" s="2029"/>
      <c r="J119" s="1972">
        <f t="shared" si="56"/>
        <v>10</v>
      </c>
      <c r="K119" s="1972">
        <f t="shared" ref="K119:U119" si="61">+K117</f>
        <v>4</v>
      </c>
      <c r="L119" s="1972">
        <f t="shared" si="61"/>
        <v>3</v>
      </c>
      <c r="M119" s="1972">
        <f t="shared" si="61"/>
        <v>0</v>
      </c>
      <c r="N119" s="1972">
        <f t="shared" si="61"/>
        <v>5</v>
      </c>
      <c r="O119" s="1972">
        <f t="shared" si="61"/>
        <v>0</v>
      </c>
      <c r="P119" s="1972">
        <f t="shared" si="61"/>
        <v>0</v>
      </c>
      <c r="Q119" s="1972">
        <f t="shared" si="61"/>
        <v>3</v>
      </c>
      <c r="R119" s="1972">
        <f t="shared" si="61"/>
        <v>0</v>
      </c>
      <c r="S119" s="1972">
        <f t="shared" si="61"/>
        <v>1</v>
      </c>
      <c r="T119" s="1972">
        <f t="shared" si="61"/>
        <v>0</v>
      </c>
      <c r="U119" s="1972">
        <f t="shared" si="61"/>
        <v>0</v>
      </c>
      <c r="V119" s="1726">
        <f t="shared" si="53"/>
        <v>26</v>
      </c>
    </row>
    <row r="120" spans="2:22" ht="18" customHeight="1">
      <c r="B120" s="1946">
        <f t="shared" si="54"/>
        <v>1.08</v>
      </c>
      <c r="C120" s="1943"/>
      <c r="D120" s="1951" t="s">
        <v>893</v>
      </c>
      <c r="E120" s="2026"/>
      <c r="F120" s="2027"/>
      <c r="G120" s="1945" t="s">
        <v>18</v>
      </c>
      <c r="H120" s="1973">
        <f t="shared" si="55"/>
        <v>11</v>
      </c>
      <c r="I120" s="2029"/>
      <c r="J120" s="1972">
        <f t="shared" si="56"/>
        <v>0</v>
      </c>
      <c r="K120" s="1972">
        <f t="shared" ref="K120:U120" si="62">+K118</f>
        <v>0</v>
      </c>
      <c r="L120" s="1972">
        <f t="shared" si="62"/>
        <v>0</v>
      </c>
      <c r="M120" s="1972">
        <f t="shared" si="62"/>
        <v>3</v>
      </c>
      <c r="N120" s="1972">
        <f t="shared" si="62"/>
        <v>0</v>
      </c>
      <c r="O120" s="1972">
        <f t="shared" si="62"/>
        <v>2</v>
      </c>
      <c r="P120" s="1972">
        <f t="shared" si="62"/>
        <v>0</v>
      </c>
      <c r="Q120" s="1972">
        <f t="shared" si="62"/>
        <v>0</v>
      </c>
      <c r="R120" s="1972">
        <f t="shared" si="62"/>
        <v>6</v>
      </c>
      <c r="S120" s="1972">
        <f t="shared" si="62"/>
        <v>0</v>
      </c>
      <c r="T120" s="1972">
        <f t="shared" si="62"/>
        <v>0</v>
      </c>
      <c r="U120" s="1972">
        <f t="shared" si="62"/>
        <v>0</v>
      </c>
      <c r="V120" s="1726">
        <f t="shared" si="53"/>
        <v>11</v>
      </c>
    </row>
    <row r="121" spans="2:22" ht="18" customHeight="1">
      <c r="B121" s="1946">
        <f t="shared" si="54"/>
        <v>1.0900000000000001</v>
      </c>
      <c r="C121" s="1943"/>
      <c r="D121" s="1951" t="s">
        <v>804</v>
      </c>
      <c r="E121" s="2026"/>
      <c r="F121" s="2027"/>
      <c r="G121" s="1945" t="s">
        <v>18</v>
      </c>
      <c r="H121" s="1973">
        <f t="shared" si="55"/>
        <v>26</v>
      </c>
      <c r="I121" s="2029"/>
      <c r="J121" s="1972">
        <f t="shared" si="56"/>
        <v>10</v>
      </c>
      <c r="K121" s="1972">
        <f t="shared" ref="K121:U121" si="63">+K119</f>
        <v>4</v>
      </c>
      <c r="L121" s="1972">
        <f t="shared" si="63"/>
        <v>3</v>
      </c>
      <c r="M121" s="1972">
        <f t="shared" si="63"/>
        <v>0</v>
      </c>
      <c r="N121" s="1972">
        <f t="shared" si="63"/>
        <v>5</v>
      </c>
      <c r="O121" s="1972">
        <f t="shared" si="63"/>
        <v>0</v>
      </c>
      <c r="P121" s="1972">
        <f t="shared" si="63"/>
        <v>0</v>
      </c>
      <c r="Q121" s="1972">
        <f t="shared" si="63"/>
        <v>3</v>
      </c>
      <c r="R121" s="1972">
        <f t="shared" si="63"/>
        <v>0</v>
      </c>
      <c r="S121" s="1972">
        <f t="shared" si="63"/>
        <v>1</v>
      </c>
      <c r="T121" s="1972">
        <f t="shared" si="63"/>
        <v>0</v>
      </c>
      <c r="U121" s="1972">
        <f t="shared" si="63"/>
        <v>0</v>
      </c>
      <c r="V121" s="1726">
        <f t="shared" si="53"/>
        <v>26</v>
      </c>
    </row>
    <row r="122" spans="2:22" ht="18" customHeight="1">
      <c r="B122" s="1946">
        <f t="shared" si="54"/>
        <v>1.1000000000000001</v>
      </c>
      <c r="C122" s="1943"/>
      <c r="D122" s="1951" t="s">
        <v>894</v>
      </c>
      <c r="E122" s="2026"/>
      <c r="F122" s="2027"/>
      <c r="G122" s="1945" t="s">
        <v>18</v>
      </c>
      <c r="H122" s="1973">
        <f t="shared" si="55"/>
        <v>11</v>
      </c>
      <c r="I122" s="2029"/>
      <c r="J122" s="1972">
        <f t="shared" si="56"/>
        <v>0</v>
      </c>
      <c r="K122" s="1972">
        <f t="shared" ref="K122:U122" si="64">+K120</f>
        <v>0</v>
      </c>
      <c r="L122" s="1972">
        <f t="shared" si="64"/>
        <v>0</v>
      </c>
      <c r="M122" s="1972">
        <f t="shared" si="64"/>
        <v>3</v>
      </c>
      <c r="N122" s="1972">
        <f t="shared" si="64"/>
        <v>0</v>
      </c>
      <c r="O122" s="1972">
        <f t="shared" si="64"/>
        <v>2</v>
      </c>
      <c r="P122" s="1972">
        <f t="shared" si="64"/>
        <v>0</v>
      </c>
      <c r="Q122" s="1972">
        <f t="shared" si="64"/>
        <v>0</v>
      </c>
      <c r="R122" s="1972">
        <f t="shared" si="64"/>
        <v>6</v>
      </c>
      <c r="S122" s="1972">
        <f t="shared" si="64"/>
        <v>0</v>
      </c>
      <c r="T122" s="1972">
        <f t="shared" si="64"/>
        <v>0</v>
      </c>
      <c r="U122" s="1972">
        <f t="shared" si="64"/>
        <v>0</v>
      </c>
      <c r="V122" s="1726">
        <f t="shared" si="53"/>
        <v>11</v>
      </c>
    </row>
    <row r="123" spans="2:22" ht="18" customHeight="1">
      <c r="B123" s="1946">
        <f t="shared" si="54"/>
        <v>1.1100000000000001</v>
      </c>
      <c r="C123" s="1943"/>
      <c r="D123" s="1951" t="s">
        <v>805</v>
      </c>
      <c r="E123" s="2026"/>
      <c r="F123" s="2027"/>
      <c r="G123" s="1945" t="s">
        <v>18</v>
      </c>
      <c r="H123" s="1973">
        <f t="shared" si="55"/>
        <v>26</v>
      </c>
      <c r="I123" s="2029"/>
      <c r="J123" s="1972">
        <f t="shared" si="56"/>
        <v>10</v>
      </c>
      <c r="K123" s="1972">
        <f t="shared" ref="K123:U123" si="65">+K121</f>
        <v>4</v>
      </c>
      <c r="L123" s="1972">
        <f t="shared" si="65"/>
        <v>3</v>
      </c>
      <c r="M123" s="1972">
        <f t="shared" si="65"/>
        <v>0</v>
      </c>
      <c r="N123" s="1972">
        <f t="shared" si="65"/>
        <v>5</v>
      </c>
      <c r="O123" s="1972">
        <f t="shared" si="65"/>
        <v>0</v>
      </c>
      <c r="P123" s="1972">
        <f t="shared" si="65"/>
        <v>0</v>
      </c>
      <c r="Q123" s="1972">
        <f t="shared" si="65"/>
        <v>3</v>
      </c>
      <c r="R123" s="1972">
        <f t="shared" si="65"/>
        <v>0</v>
      </c>
      <c r="S123" s="1972">
        <f t="shared" si="65"/>
        <v>1</v>
      </c>
      <c r="T123" s="1972">
        <f t="shared" si="65"/>
        <v>0</v>
      </c>
      <c r="U123" s="1972">
        <f t="shared" si="65"/>
        <v>0</v>
      </c>
      <c r="V123" s="1726">
        <f t="shared" si="53"/>
        <v>26</v>
      </c>
    </row>
    <row r="124" spans="2:22" ht="18" customHeight="1">
      <c r="B124" s="1946">
        <f t="shared" si="54"/>
        <v>1.1200000000000001</v>
      </c>
      <c r="C124" s="1943"/>
      <c r="D124" s="1951" t="s">
        <v>895</v>
      </c>
      <c r="E124" s="2026"/>
      <c r="F124" s="2027"/>
      <c r="G124" s="1945" t="s">
        <v>18</v>
      </c>
      <c r="H124" s="1973">
        <f t="shared" si="55"/>
        <v>11</v>
      </c>
      <c r="I124" s="2029"/>
      <c r="J124" s="1972">
        <f t="shared" si="56"/>
        <v>0</v>
      </c>
      <c r="K124" s="1972">
        <f t="shared" ref="K124:U124" si="66">+K122</f>
        <v>0</v>
      </c>
      <c r="L124" s="1972">
        <f t="shared" si="66"/>
        <v>0</v>
      </c>
      <c r="M124" s="1972">
        <f t="shared" si="66"/>
        <v>3</v>
      </c>
      <c r="N124" s="1972">
        <f t="shared" si="66"/>
        <v>0</v>
      </c>
      <c r="O124" s="1972">
        <f t="shared" si="66"/>
        <v>2</v>
      </c>
      <c r="P124" s="1972">
        <f t="shared" si="66"/>
        <v>0</v>
      </c>
      <c r="Q124" s="1972">
        <f t="shared" si="66"/>
        <v>0</v>
      </c>
      <c r="R124" s="1972">
        <f t="shared" si="66"/>
        <v>6</v>
      </c>
      <c r="S124" s="1972">
        <f t="shared" si="66"/>
        <v>0</v>
      </c>
      <c r="T124" s="1972">
        <f t="shared" si="66"/>
        <v>0</v>
      </c>
      <c r="U124" s="1972">
        <f t="shared" si="66"/>
        <v>0</v>
      </c>
      <c r="V124" s="1726">
        <f t="shared" si="53"/>
        <v>11</v>
      </c>
    </row>
    <row r="125" spans="2:22" ht="18" customHeight="1">
      <c r="B125" s="1946">
        <f t="shared" si="54"/>
        <v>1.1300000000000001</v>
      </c>
      <c r="C125" s="1943"/>
      <c r="D125" s="1951" t="s">
        <v>806</v>
      </c>
      <c r="E125" s="2026"/>
      <c r="F125" s="2027"/>
      <c r="G125" s="1945" t="s">
        <v>18</v>
      </c>
      <c r="H125" s="1973">
        <f t="shared" si="55"/>
        <v>26</v>
      </c>
      <c r="I125" s="2029"/>
      <c r="J125" s="1972">
        <f t="shared" si="56"/>
        <v>10</v>
      </c>
      <c r="K125" s="1972">
        <f t="shared" ref="K125:U125" si="67">+K123</f>
        <v>4</v>
      </c>
      <c r="L125" s="1972">
        <f t="shared" si="67"/>
        <v>3</v>
      </c>
      <c r="M125" s="1972">
        <f t="shared" si="67"/>
        <v>0</v>
      </c>
      <c r="N125" s="1972">
        <f t="shared" si="67"/>
        <v>5</v>
      </c>
      <c r="O125" s="1972">
        <f t="shared" si="67"/>
        <v>0</v>
      </c>
      <c r="P125" s="1972">
        <f t="shared" si="67"/>
        <v>0</v>
      </c>
      <c r="Q125" s="1972">
        <f t="shared" si="67"/>
        <v>3</v>
      </c>
      <c r="R125" s="1972">
        <f t="shared" si="67"/>
        <v>0</v>
      </c>
      <c r="S125" s="1972">
        <f t="shared" si="67"/>
        <v>1</v>
      </c>
      <c r="T125" s="1972">
        <f t="shared" si="67"/>
        <v>0</v>
      </c>
      <c r="U125" s="1972">
        <f t="shared" si="67"/>
        <v>0</v>
      </c>
      <c r="V125" s="1726">
        <f t="shared" si="53"/>
        <v>26</v>
      </c>
    </row>
    <row r="126" spans="2:22" ht="18" customHeight="1">
      <c r="B126" s="1946">
        <f t="shared" si="54"/>
        <v>1.1400000000000001</v>
      </c>
      <c r="C126" s="1943"/>
      <c r="D126" s="1951" t="s">
        <v>896</v>
      </c>
      <c r="E126" s="2026"/>
      <c r="F126" s="2027"/>
      <c r="G126" s="1945" t="s">
        <v>18</v>
      </c>
      <c r="H126" s="1973">
        <f t="shared" si="55"/>
        <v>11</v>
      </c>
      <c r="I126" s="2029"/>
      <c r="J126" s="1972">
        <f t="shared" si="56"/>
        <v>0</v>
      </c>
      <c r="K126" s="1972">
        <f t="shared" ref="K126:U126" si="68">+K124</f>
        <v>0</v>
      </c>
      <c r="L126" s="1972">
        <f t="shared" si="68"/>
        <v>0</v>
      </c>
      <c r="M126" s="1972">
        <f t="shared" si="68"/>
        <v>3</v>
      </c>
      <c r="N126" s="1972">
        <f t="shared" si="68"/>
        <v>0</v>
      </c>
      <c r="O126" s="1972">
        <f t="shared" si="68"/>
        <v>2</v>
      </c>
      <c r="P126" s="1972">
        <f t="shared" si="68"/>
        <v>0</v>
      </c>
      <c r="Q126" s="1972">
        <f t="shared" si="68"/>
        <v>0</v>
      </c>
      <c r="R126" s="1972">
        <f t="shared" si="68"/>
        <v>6</v>
      </c>
      <c r="S126" s="1972">
        <f t="shared" si="68"/>
        <v>0</v>
      </c>
      <c r="T126" s="1972">
        <f t="shared" si="68"/>
        <v>0</v>
      </c>
      <c r="U126" s="1972">
        <f t="shared" si="68"/>
        <v>0</v>
      </c>
      <c r="V126" s="1726">
        <f t="shared" si="53"/>
        <v>11</v>
      </c>
    </row>
    <row r="127" spans="2:22" ht="18" customHeight="1">
      <c r="B127" s="1947"/>
      <c r="C127" s="1943"/>
      <c r="D127" s="1951"/>
      <c r="E127" s="1951"/>
      <c r="F127" s="1948"/>
      <c r="G127" s="1945"/>
      <c r="H127" s="1973"/>
      <c r="I127" s="2029"/>
      <c r="J127" s="1972"/>
      <c r="K127" s="1972"/>
      <c r="L127" s="1997"/>
      <c r="M127" s="1997"/>
      <c r="N127" s="1997"/>
      <c r="O127" s="1997"/>
      <c r="P127" s="1997"/>
      <c r="Q127" s="1997"/>
      <c r="R127" s="1997"/>
      <c r="S127" s="1997"/>
      <c r="T127" s="1997"/>
      <c r="U127" s="1997"/>
      <c r="V127" s="1726">
        <f t="shared" si="53"/>
        <v>0</v>
      </c>
    </row>
    <row r="128" spans="2:22" ht="18" customHeight="1">
      <c r="B128" s="1942">
        <v>2</v>
      </c>
      <c r="C128" s="1943"/>
      <c r="D128" s="1975" t="s">
        <v>807</v>
      </c>
      <c r="E128" s="1951"/>
      <c r="F128" s="1944"/>
      <c r="G128" s="1945"/>
      <c r="H128" s="1973"/>
      <c r="I128" s="2029"/>
      <c r="J128" s="1972"/>
      <c r="K128" s="1972"/>
      <c r="L128" s="1972"/>
      <c r="M128" s="1972"/>
      <c r="N128" s="1972"/>
      <c r="O128" s="1972"/>
      <c r="P128" s="1997"/>
      <c r="Q128" s="1997"/>
      <c r="R128" s="1997"/>
      <c r="S128" s="1997"/>
      <c r="T128" s="1997"/>
      <c r="U128" s="1997"/>
      <c r="V128" s="1726">
        <f t="shared" si="53"/>
        <v>0</v>
      </c>
    </row>
    <row r="129" spans="2:22" ht="18" customHeight="1">
      <c r="B129" s="1946">
        <f t="shared" ref="B129:B135" si="69">+B128+0.01</f>
        <v>2.0099999999999998</v>
      </c>
      <c r="C129" s="1943"/>
      <c r="D129" s="1951" t="s">
        <v>426</v>
      </c>
      <c r="E129" s="1951"/>
      <c r="F129" s="1944"/>
      <c r="G129" s="1945" t="s">
        <v>121</v>
      </c>
      <c r="H129" s="1973">
        <f t="shared" si="55"/>
        <v>4.29</v>
      </c>
      <c r="I129" s="2029"/>
      <c r="J129" s="1972">
        <f>0.13*J$10</f>
        <v>1.3</v>
      </c>
      <c r="K129" s="1972"/>
      <c r="L129" s="1972">
        <f t="shared" ref="L129:U129" si="70">0.13*L$10</f>
        <v>0.39</v>
      </c>
      <c r="M129" s="1972">
        <f t="shared" si="70"/>
        <v>0.39</v>
      </c>
      <c r="N129" s="1972">
        <f t="shared" si="70"/>
        <v>0.65</v>
      </c>
      <c r="O129" s="1972">
        <f t="shared" si="70"/>
        <v>0.26</v>
      </c>
      <c r="P129" s="1972">
        <f t="shared" si="70"/>
        <v>0</v>
      </c>
      <c r="Q129" s="1972">
        <f t="shared" si="70"/>
        <v>0.39</v>
      </c>
      <c r="R129" s="1972">
        <f t="shared" si="70"/>
        <v>0.78</v>
      </c>
      <c r="S129" s="1972">
        <f t="shared" si="70"/>
        <v>0.13</v>
      </c>
      <c r="T129" s="1972">
        <f t="shared" si="70"/>
        <v>0</v>
      </c>
      <c r="U129" s="1972">
        <f t="shared" si="70"/>
        <v>0</v>
      </c>
      <c r="V129" s="2030">
        <f t="shared" si="53"/>
        <v>4.29</v>
      </c>
    </row>
    <row r="130" spans="2:22" ht="18" customHeight="1">
      <c r="B130" s="1946">
        <f t="shared" si="69"/>
        <v>2.0199999999999996</v>
      </c>
      <c r="C130" s="1943"/>
      <c r="D130" s="1951" t="s">
        <v>427</v>
      </c>
      <c r="E130" s="1951"/>
      <c r="F130" s="1944"/>
      <c r="G130" s="1945" t="s">
        <v>121</v>
      </c>
      <c r="H130" s="1973">
        <f t="shared" si="55"/>
        <v>0.2</v>
      </c>
      <c r="I130" s="2029"/>
      <c r="J130" s="1972"/>
      <c r="K130" s="1972">
        <f>0.05*K$10</f>
        <v>0.2</v>
      </c>
      <c r="L130" s="1997"/>
      <c r="M130" s="1999"/>
      <c r="N130" s="1997"/>
      <c r="O130" s="1997"/>
      <c r="P130" s="1997"/>
      <c r="Q130" s="1997"/>
      <c r="R130" s="1997"/>
      <c r="S130" s="1997"/>
      <c r="T130" s="1997"/>
      <c r="U130" s="1997"/>
      <c r="V130" s="2030">
        <f t="shared" si="53"/>
        <v>0.2</v>
      </c>
    </row>
    <row r="131" spans="2:22" ht="18" customHeight="1">
      <c r="B131" s="1946">
        <f t="shared" si="69"/>
        <v>2.0299999999999994</v>
      </c>
      <c r="C131" s="1943"/>
      <c r="D131" s="1951" t="s">
        <v>808</v>
      </c>
      <c r="E131" s="1951"/>
      <c r="F131" s="1944"/>
      <c r="G131" s="1945" t="s">
        <v>604</v>
      </c>
      <c r="H131" s="1973">
        <f t="shared" si="55"/>
        <v>37</v>
      </c>
      <c r="I131" s="2029"/>
      <c r="J131" s="1972">
        <f>+J113+J114</f>
        <v>10</v>
      </c>
      <c r="K131" s="1972">
        <f t="shared" ref="K131:U131" si="71">+K113+K114</f>
        <v>4</v>
      </c>
      <c r="L131" s="1972">
        <f t="shared" si="71"/>
        <v>3</v>
      </c>
      <c r="M131" s="1972">
        <f t="shared" si="71"/>
        <v>3</v>
      </c>
      <c r="N131" s="1972">
        <f t="shared" si="71"/>
        <v>5</v>
      </c>
      <c r="O131" s="1972">
        <f t="shared" si="71"/>
        <v>2</v>
      </c>
      <c r="P131" s="1972">
        <f t="shared" si="71"/>
        <v>0</v>
      </c>
      <c r="Q131" s="1972">
        <f t="shared" si="71"/>
        <v>3</v>
      </c>
      <c r="R131" s="1972">
        <f t="shared" si="71"/>
        <v>6</v>
      </c>
      <c r="S131" s="1972">
        <f t="shared" si="71"/>
        <v>1</v>
      </c>
      <c r="T131" s="1972">
        <f t="shared" si="71"/>
        <v>0</v>
      </c>
      <c r="U131" s="1972">
        <f t="shared" si="71"/>
        <v>0</v>
      </c>
      <c r="V131" s="1726">
        <f t="shared" si="53"/>
        <v>37</v>
      </c>
    </row>
    <row r="132" spans="2:22" ht="18" customHeight="1">
      <c r="B132" s="1946">
        <f t="shared" si="69"/>
        <v>2.0399999999999991</v>
      </c>
      <c r="C132" s="1943"/>
      <c r="D132" s="1951" t="s">
        <v>809</v>
      </c>
      <c r="E132" s="2026"/>
      <c r="F132" s="2027"/>
      <c r="G132" s="1945" t="s">
        <v>121</v>
      </c>
      <c r="H132" s="1973">
        <f t="shared" si="55"/>
        <v>4.29</v>
      </c>
      <c r="I132" s="2029"/>
      <c r="J132" s="1972">
        <f>+J$10*0.13</f>
        <v>1.3</v>
      </c>
      <c r="K132" s="1972"/>
      <c r="L132" s="1972">
        <f t="shared" ref="L132:U132" si="72">+L$10*0.13</f>
        <v>0.39</v>
      </c>
      <c r="M132" s="1972">
        <f t="shared" si="72"/>
        <v>0.39</v>
      </c>
      <c r="N132" s="1972">
        <f t="shared" si="72"/>
        <v>0.65</v>
      </c>
      <c r="O132" s="1972">
        <f t="shared" si="72"/>
        <v>0.26</v>
      </c>
      <c r="P132" s="1972">
        <f t="shared" si="72"/>
        <v>0</v>
      </c>
      <c r="Q132" s="1972">
        <f t="shared" si="72"/>
        <v>0.39</v>
      </c>
      <c r="R132" s="1972">
        <f t="shared" si="72"/>
        <v>0.78</v>
      </c>
      <c r="S132" s="1972">
        <f t="shared" si="72"/>
        <v>0.13</v>
      </c>
      <c r="T132" s="1972">
        <f t="shared" si="72"/>
        <v>0</v>
      </c>
      <c r="U132" s="1972">
        <f t="shared" si="72"/>
        <v>0</v>
      </c>
      <c r="V132" s="2030">
        <f t="shared" si="53"/>
        <v>4.29</v>
      </c>
    </row>
    <row r="133" spans="2:22" ht="18" customHeight="1">
      <c r="B133" s="1946">
        <f t="shared" si="69"/>
        <v>2.0499999999999989</v>
      </c>
      <c r="C133" s="1943"/>
      <c r="D133" s="1951" t="s">
        <v>810</v>
      </c>
      <c r="E133" s="1951"/>
      <c r="F133" s="1944"/>
      <c r="G133" s="1945" t="s">
        <v>121</v>
      </c>
      <c r="H133" s="1973">
        <f t="shared" si="55"/>
        <v>0.2</v>
      </c>
      <c r="I133" s="2029"/>
      <c r="J133" s="1972"/>
      <c r="K133" s="1972">
        <f>+K$10*0.05</f>
        <v>0.2</v>
      </c>
      <c r="L133" s="1997"/>
      <c r="M133" s="1997"/>
      <c r="N133" s="1997"/>
      <c r="O133" s="1997"/>
      <c r="P133" s="1997"/>
      <c r="Q133" s="1997"/>
      <c r="R133" s="1997"/>
      <c r="S133" s="1997"/>
      <c r="T133" s="1997"/>
      <c r="U133" s="1997"/>
      <c r="V133" s="2030">
        <f t="shared" si="53"/>
        <v>0.2</v>
      </c>
    </row>
    <row r="134" spans="2:22" ht="18" customHeight="1">
      <c r="B134" s="1946">
        <f t="shared" si="69"/>
        <v>2.0599999999999987</v>
      </c>
      <c r="C134" s="1943"/>
      <c r="D134" s="1951" t="s">
        <v>811</v>
      </c>
      <c r="E134" s="1951"/>
      <c r="F134" s="1944"/>
      <c r="G134" s="1945" t="s">
        <v>604</v>
      </c>
      <c r="H134" s="1973">
        <f t="shared" si="55"/>
        <v>37</v>
      </c>
      <c r="I134" s="2029"/>
      <c r="J134" s="1972">
        <f>+J113+J114</f>
        <v>10</v>
      </c>
      <c r="K134" s="1972">
        <f t="shared" ref="K134:U134" si="73">+K113+K114</f>
        <v>4</v>
      </c>
      <c r="L134" s="1972">
        <f t="shared" si="73"/>
        <v>3</v>
      </c>
      <c r="M134" s="1972">
        <f t="shared" si="73"/>
        <v>3</v>
      </c>
      <c r="N134" s="1972">
        <f t="shared" si="73"/>
        <v>5</v>
      </c>
      <c r="O134" s="1972">
        <f t="shared" si="73"/>
        <v>2</v>
      </c>
      <c r="P134" s="1972">
        <f t="shared" si="73"/>
        <v>0</v>
      </c>
      <c r="Q134" s="1972">
        <f t="shared" si="73"/>
        <v>3</v>
      </c>
      <c r="R134" s="1972">
        <f t="shared" si="73"/>
        <v>6</v>
      </c>
      <c r="S134" s="1972">
        <f t="shared" si="73"/>
        <v>1</v>
      </c>
      <c r="T134" s="1972">
        <f t="shared" si="73"/>
        <v>0</v>
      </c>
      <c r="U134" s="1972">
        <f t="shared" si="73"/>
        <v>0</v>
      </c>
      <c r="V134" s="1726">
        <f t="shared" si="53"/>
        <v>37</v>
      </c>
    </row>
    <row r="135" spans="2:22" ht="18" customHeight="1">
      <c r="B135" s="1946">
        <f t="shared" si="69"/>
        <v>2.0699999999999985</v>
      </c>
      <c r="C135" s="1943"/>
      <c r="D135" s="1951" t="s">
        <v>812</v>
      </c>
      <c r="E135" s="1951"/>
      <c r="F135" s="1944"/>
      <c r="G135" s="1945" t="s">
        <v>18</v>
      </c>
      <c r="H135" s="1973">
        <f t="shared" si="55"/>
        <v>37</v>
      </c>
      <c r="I135" s="2029"/>
      <c r="J135" s="1972">
        <f>+J113+J114</f>
        <v>10</v>
      </c>
      <c r="K135" s="1972">
        <f t="shared" ref="K135:U135" si="74">+K113+K114</f>
        <v>4</v>
      </c>
      <c r="L135" s="1972">
        <f t="shared" si="74"/>
        <v>3</v>
      </c>
      <c r="M135" s="1972">
        <f t="shared" si="74"/>
        <v>3</v>
      </c>
      <c r="N135" s="1972">
        <f t="shared" si="74"/>
        <v>5</v>
      </c>
      <c r="O135" s="1972">
        <f t="shared" si="74"/>
        <v>2</v>
      </c>
      <c r="P135" s="1972">
        <f t="shared" si="74"/>
        <v>0</v>
      </c>
      <c r="Q135" s="1972">
        <f t="shared" si="74"/>
        <v>3</v>
      </c>
      <c r="R135" s="1972">
        <f t="shared" si="74"/>
        <v>6</v>
      </c>
      <c r="S135" s="1972">
        <f t="shared" si="74"/>
        <v>1</v>
      </c>
      <c r="T135" s="1972">
        <f t="shared" si="74"/>
        <v>0</v>
      </c>
      <c r="U135" s="1972">
        <f t="shared" si="74"/>
        <v>0</v>
      </c>
      <c r="V135" s="1726">
        <f t="shared" si="53"/>
        <v>37</v>
      </c>
    </row>
    <row r="136" spans="2:22" ht="18" customHeight="1">
      <c r="B136" s="1947"/>
      <c r="C136" s="1943"/>
      <c r="D136" s="1951"/>
      <c r="E136" s="1951"/>
      <c r="F136" s="1948"/>
      <c r="G136" s="1945"/>
      <c r="H136" s="1973"/>
      <c r="I136" s="2029"/>
      <c r="J136" s="1972"/>
      <c r="K136" s="1972"/>
      <c r="L136" s="1997"/>
      <c r="M136" s="1997"/>
      <c r="N136" s="1997"/>
      <c r="O136" s="1997"/>
      <c r="P136" s="1997"/>
      <c r="Q136" s="1997"/>
      <c r="R136" s="1997"/>
      <c r="S136" s="1997"/>
      <c r="T136" s="1997"/>
      <c r="U136" s="1997"/>
      <c r="V136" s="1726">
        <f t="shared" si="53"/>
        <v>0</v>
      </c>
    </row>
    <row r="137" spans="2:22" ht="18" customHeight="1">
      <c r="B137" s="1942">
        <v>3</v>
      </c>
      <c r="C137" s="1943"/>
      <c r="D137" s="1975" t="s">
        <v>813</v>
      </c>
      <c r="E137" s="1951"/>
      <c r="F137" s="1944"/>
      <c r="G137" s="1945"/>
      <c r="H137" s="1973"/>
      <c r="I137" s="2029"/>
      <c r="J137" s="1972"/>
      <c r="K137" s="1972"/>
      <c r="L137" s="1997"/>
      <c r="M137" s="1997"/>
      <c r="N137" s="1997"/>
      <c r="O137" s="1997"/>
      <c r="P137" s="1997"/>
      <c r="Q137" s="1997"/>
      <c r="R137" s="1997"/>
      <c r="S137" s="1997"/>
      <c r="T137" s="1997"/>
      <c r="U137" s="1997"/>
      <c r="V137" s="1726">
        <f t="shared" si="53"/>
        <v>0</v>
      </c>
    </row>
    <row r="138" spans="2:22" ht="18" customHeight="1">
      <c r="B138" s="1946">
        <f>+B137+0.01</f>
        <v>3.01</v>
      </c>
      <c r="C138" s="1943"/>
      <c r="D138" s="1951" t="s">
        <v>814</v>
      </c>
      <c r="E138" s="1951"/>
      <c r="F138" s="1944"/>
      <c r="G138" s="1945" t="s">
        <v>604</v>
      </c>
      <c r="H138" s="1973">
        <f t="shared" si="55"/>
        <v>37</v>
      </c>
      <c r="I138" s="2029"/>
      <c r="J138" s="1972">
        <f>+J113+J114</f>
        <v>10</v>
      </c>
      <c r="K138" s="1972">
        <f t="shared" ref="K138:U138" si="75">+K113+K114</f>
        <v>4</v>
      </c>
      <c r="L138" s="1972">
        <f t="shared" si="75"/>
        <v>3</v>
      </c>
      <c r="M138" s="1972">
        <f t="shared" si="75"/>
        <v>3</v>
      </c>
      <c r="N138" s="1972">
        <f t="shared" si="75"/>
        <v>5</v>
      </c>
      <c r="O138" s="1972">
        <f t="shared" si="75"/>
        <v>2</v>
      </c>
      <c r="P138" s="1972">
        <f t="shared" si="75"/>
        <v>0</v>
      </c>
      <c r="Q138" s="1972">
        <f t="shared" si="75"/>
        <v>3</v>
      </c>
      <c r="R138" s="1972">
        <f t="shared" si="75"/>
        <v>6</v>
      </c>
      <c r="S138" s="1972">
        <f t="shared" si="75"/>
        <v>1</v>
      </c>
      <c r="T138" s="1972">
        <f t="shared" si="75"/>
        <v>0</v>
      </c>
      <c r="U138" s="1972">
        <f t="shared" si="75"/>
        <v>0</v>
      </c>
      <c r="V138" s="1726">
        <f t="shared" si="53"/>
        <v>37</v>
      </c>
    </row>
    <row r="139" spans="2:22" ht="18" customHeight="1">
      <c r="B139" s="1946">
        <f>+B138+0.01</f>
        <v>3.0199999999999996</v>
      </c>
      <c r="C139" s="1943"/>
      <c r="D139" s="1951" t="s">
        <v>815</v>
      </c>
      <c r="E139" s="1951"/>
      <c r="F139" s="1944"/>
      <c r="G139" s="1945" t="s">
        <v>604</v>
      </c>
      <c r="H139" s="1973">
        <f t="shared" si="55"/>
        <v>37</v>
      </c>
      <c r="I139" s="2029"/>
      <c r="J139" s="1972">
        <f>+J113+J114</f>
        <v>10</v>
      </c>
      <c r="K139" s="1972">
        <f t="shared" ref="K139:U139" si="76">+K113+K114</f>
        <v>4</v>
      </c>
      <c r="L139" s="1972">
        <f t="shared" si="76"/>
        <v>3</v>
      </c>
      <c r="M139" s="1972">
        <f t="shared" si="76"/>
        <v>3</v>
      </c>
      <c r="N139" s="1972">
        <f t="shared" si="76"/>
        <v>5</v>
      </c>
      <c r="O139" s="1972">
        <f t="shared" si="76"/>
        <v>2</v>
      </c>
      <c r="P139" s="1972">
        <f t="shared" si="76"/>
        <v>0</v>
      </c>
      <c r="Q139" s="1972">
        <f t="shared" si="76"/>
        <v>3</v>
      </c>
      <c r="R139" s="1972">
        <f t="shared" si="76"/>
        <v>6</v>
      </c>
      <c r="S139" s="1972">
        <f t="shared" si="76"/>
        <v>1</v>
      </c>
      <c r="T139" s="1972">
        <f t="shared" si="76"/>
        <v>0</v>
      </c>
      <c r="U139" s="1972">
        <f t="shared" si="76"/>
        <v>0</v>
      </c>
      <c r="V139" s="1726">
        <f t="shared" si="53"/>
        <v>37</v>
      </c>
    </row>
    <row r="140" spans="2:22" ht="18" customHeight="1">
      <c r="B140" s="1947"/>
      <c r="C140" s="1943"/>
      <c r="D140" s="1951"/>
      <c r="E140" s="1951"/>
      <c r="F140" s="1948"/>
      <c r="G140" s="1945"/>
      <c r="H140" s="1973"/>
      <c r="I140" s="2029"/>
      <c r="J140" s="1972"/>
      <c r="K140" s="1972"/>
      <c r="L140" s="1997"/>
      <c r="M140" s="1997"/>
      <c r="N140" s="1997"/>
      <c r="O140" s="1997"/>
      <c r="P140" s="1997"/>
      <c r="Q140" s="1997"/>
      <c r="R140" s="1997"/>
      <c r="S140" s="1997"/>
      <c r="T140" s="1997"/>
      <c r="U140" s="1997"/>
      <c r="V140" s="1726">
        <f t="shared" si="53"/>
        <v>0</v>
      </c>
    </row>
    <row r="141" spans="2:22" ht="18" customHeight="1">
      <c r="B141" s="1942">
        <v>4</v>
      </c>
      <c r="C141" s="1943"/>
      <c r="D141" s="1975" t="s">
        <v>816</v>
      </c>
      <c r="E141" s="1951"/>
      <c r="F141" s="1944"/>
      <c r="G141" s="1945"/>
      <c r="H141" s="1973"/>
      <c r="I141" s="2029"/>
      <c r="J141" s="1972"/>
      <c r="K141" s="1972"/>
      <c r="L141" s="1997"/>
      <c r="M141" s="1997"/>
      <c r="N141" s="1997"/>
      <c r="O141" s="1997"/>
      <c r="P141" s="1997"/>
      <c r="Q141" s="1997"/>
      <c r="R141" s="1997"/>
      <c r="S141" s="1997"/>
      <c r="T141" s="1997"/>
      <c r="U141" s="1997"/>
      <c r="V141" s="1726">
        <f t="shared" si="53"/>
        <v>0</v>
      </c>
    </row>
    <row r="142" spans="2:22" ht="18" customHeight="1">
      <c r="B142" s="1946">
        <f t="shared" ref="B142:B144" si="77">+B141+0.01</f>
        <v>4.01</v>
      </c>
      <c r="C142" s="1943"/>
      <c r="D142" s="1951" t="s">
        <v>817</v>
      </c>
      <c r="E142" s="1951"/>
      <c r="F142" s="1944"/>
      <c r="G142" s="1945" t="s">
        <v>604</v>
      </c>
      <c r="H142" s="1973">
        <f t="shared" si="55"/>
        <v>37</v>
      </c>
      <c r="I142" s="2029"/>
      <c r="J142" s="1972">
        <f>+J113+J114</f>
        <v>10</v>
      </c>
      <c r="K142" s="1972">
        <f t="shared" ref="K142:U142" si="78">+K113+K114</f>
        <v>4</v>
      </c>
      <c r="L142" s="1972">
        <f t="shared" si="78"/>
        <v>3</v>
      </c>
      <c r="M142" s="1972">
        <f t="shared" si="78"/>
        <v>3</v>
      </c>
      <c r="N142" s="1972">
        <f t="shared" si="78"/>
        <v>5</v>
      </c>
      <c r="O142" s="1972">
        <f t="shared" si="78"/>
        <v>2</v>
      </c>
      <c r="P142" s="1972">
        <f t="shared" si="78"/>
        <v>0</v>
      </c>
      <c r="Q142" s="1972">
        <f t="shared" si="78"/>
        <v>3</v>
      </c>
      <c r="R142" s="1972">
        <f t="shared" si="78"/>
        <v>6</v>
      </c>
      <c r="S142" s="1972">
        <f t="shared" si="78"/>
        <v>1</v>
      </c>
      <c r="T142" s="1972">
        <f t="shared" si="78"/>
        <v>0</v>
      </c>
      <c r="U142" s="1972">
        <f t="shared" si="78"/>
        <v>0</v>
      </c>
      <c r="V142" s="1726">
        <f t="shared" si="53"/>
        <v>37</v>
      </c>
    </row>
    <row r="143" spans="2:22" ht="18" customHeight="1">
      <c r="B143" s="1946">
        <f t="shared" si="77"/>
        <v>4.0199999999999996</v>
      </c>
      <c r="C143" s="1943"/>
      <c r="D143" s="1951" t="s">
        <v>818</v>
      </c>
      <c r="E143" s="1951"/>
      <c r="F143" s="1944"/>
      <c r="G143" s="1945" t="s">
        <v>604</v>
      </c>
      <c r="H143" s="1973">
        <f t="shared" si="55"/>
        <v>37</v>
      </c>
      <c r="I143" s="2029"/>
      <c r="J143" s="1972">
        <f>+J113+J114</f>
        <v>10</v>
      </c>
      <c r="K143" s="1972">
        <f t="shared" ref="K143:U143" si="79">+K113+K114</f>
        <v>4</v>
      </c>
      <c r="L143" s="1972">
        <f t="shared" si="79"/>
        <v>3</v>
      </c>
      <c r="M143" s="1972">
        <f t="shared" si="79"/>
        <v>3</v>
      </c>
      <c r="N143" s="1972">
        <f t="shared" si="79"/>
        <v>5</v>
      </c>
      <c r="O143" s="1972">
        <f t="shared" si="79"/>
        <v>2</v>
      </c>
      <c r="P143" s="1972">
        <f t="shared" si="79"/>
        <v>0</v>
      </c>
      <c r="Q143" s="1972">
        <f t="shared" si="79"/>
        <v>3</v>
      </c>
      <c r="R143" s="1972">
        <f t="shared" si="79"/>
        <v>6</v>
      </c>
      <c r="S143" s="1972">
        <f t="shared" si="79"/>
        <v>1</v>
      </c>
      <c r="T143" s="1972">
        <f t="shared" si="79"/>
        <v>0</v>
      </c>
      <c r="U143" s="1972">
        <f t="shared" si="79"/>
        <v>0</v>
      </c>
      <c r="V143" s="1726">
        <f t="shared" si="53"/>
        <v>37</v>
      </c>
    </row>
    <row r="144" spans="2:22" ht="18" customHeight="1">
      <c r="B144" s="1946">
        <f t="shared" si="77"/>
        <v>4.0299999999999994</v>
      </c>
      <c r="C144" s="1943"/>
      <c r="D144" s="1951" t="s">
        <v>819</v>
      </c>
      <c r="E144" s="1951"/>
      <c r="F144" s="1944"/>
      <c r="G144" s="1945" t="s">
        <v>604</v>
      </c>
      <c r="H144" s="1973">
        <f t="shared" si="55"/>
        <v>37</v>
      </c>
      <c r="I144" s="2029"/>
      <c r="J144" s="1972">
        <f>+J113+J114</f>
        <v>10</v>
      </c>
      <c r="K144" s="1972">
        <f t="shared" ref="K144:U144" si="80">+K113+K114</f>
        <v>4</v>
      </c>
      <c r="L144" s="1972">
        <f t="shared" si="80"/>
        <v>3</v>
      </c>
      <c r="M144" s="1972">
        <f t="shared" si="80"/>
        <v>3</v>
      </c>
      <c r="N144" s="1972">
        <f t="shared" si="80"/>
        <v>5</v>
      </c>
      <c r="O144" s="1972">
        <f t="shared" si="80"/>
        <v>2</v>
      </c>
      <c r="P144" s="1972">
        <f t="shared" si="80"/>
        <v>0</v>
      </c>
      <c r="Q144" s="1972">
        <f t="shared" si="80"/>
        <v>3</v>
      </c>
      <c r="R144" s="1972">
        <f t="shared" si="80"/>
        <v>6</v>
      </c>
      <c r="S144" s="1972">
        <f t="shared" si="80"/>
        <v>1</v>
      </c>
      <c r="T144" s="1972">
        <f t="shared" si="80"/>
        <v>0</v>
      </c>
      <c r="U144" s="1972">
        <f t="shared" si="80"/>
        <v>0</v>
      </c>
      <c r="V144" s="1726">
        <f t="shared" si="53"/>
        <v>37</v>
      </c>
    </row>
    <row r="145" spans="2:22" ht="18" customHeight="1">
      <c r="B145" s="1947"/>
      <c r="C145" s="1943"/>
      <c r="D145" s="1951"/>
      <c r="E145" s="1951"/>
      <c r="F145" s="1948"/>
      <c r="G145" s="1945"/>
      <c r="H145" s="1973"/>
      <c r="I145" s="2029"/>
      <c r="J145" s="1972"/>
      <c r="K145" s="1972"/>
      <c r="L145" s="1997"/>
      <c r="M145" s="1997"/>
      <c r="N145" s="1997"/>
      <c r="O145" s="1997"/>
      <c r="P145" s="1997"/>
      <c r="Q145" s="1997"/>
      <c r="R145" s="1997"/>
      <c r="S145" s="1997"/>
      <c r="T145" s="1997"/>
      <c r="U145" s="1997"/>
      <c r="V145" s="1726">
        <f t="shared" si="53"/>
        <v>0</v>
      </c>
    </row>
    <row r="146" spans="2:22" ht="18" customHeight="1">
      <c r="B146" s="1942">
        <f>1+B141</f>
        <v>5</v>
      </c>
      <c r="C146" s="1943"/>
      <c r="D146" s="1975" t="s">
        <v>605</v>
      </c>
      <c r="E146" s="1951"/>
      <c r="F146" s="1944"/>
      <c r="G146" s="1945"/>
      <c r="H146" s="1973"/>
      <c r="I146" s="2029"/>
      <c r="J146" s="1972"/>
      <c r="K146" s="1972"/>
      <c r="L146" s="1997"/>
      <c r="M146" s="1997"/>
      <c r="N146" s="1997"/>
      <c r="O146" s="1997"/>
      <c r="P146" s="1997"/>
      <c r="Q146" s="1997"/>
      <c r="R146" s="1997"/>
      <c r="S146" s="1997"/>
      <c r="T146" s="1997"/>
      <c r="U146" s="1997"/>
      <c r="V146" s="1726">
        <f t="shared" si="53"/>
        <v>0</v>
      </c>
    </row>
    <row r="147" spans="2:22" ht="18" customHeight="1">
      <c r="B147" s="1946">
        <f t="shared" ref="B147:B151" si="81">+B146+0.01</f>
        <v>5.01</v>
      </c>
      <c r="C147" s="1943"/>
      <c r="D147" s="1951" t="s">
        <v>606</v>
      </c>
      <c r="E147" s="1951"/>
      <c r="F147" s="1944"/>
      <c r="G147" s="1945" t="s">
        <v>604</v>
      </c>
      <c r="H147" s="1973">
        <f t="shared" si="55"/>
        <v>37</v>
      </c>
      <c r="I147" s="2029"/>
      <c r="J147" s="1972">
        <f>+J113+J114</f>
        <v>10</v>
      </c>
      <c r="K147" s="1972">
        <f t="shared" ref="K147:U147" si="82">+K113+K114</f>
        <v>4</v>
      </c>
      <c r="L147" s="1972">
        <f t="shared" si="82"/>
        <v>3</v>
      </c>
      <c r="M147" s="1972">
        <f t="shared" si="82"/>
        <v>3</v>
      </c>
      <c r="N147" s="1972">
        <f t="shared" si="82"/>
        <v>5</v>
      </c>
      <c r="O147" s="1972">
        <f t="shared" si="82"/>
        <v>2</v>
      </c>
      <c r="P147" s="1972">
        <f t="shared" si="82"/>
        <v>0</v>
      </c>
      <c r="Q147" s="1972">
        <f t="shared" si="82"/>
        <v>3</v>
      </c>
      <c r="R147" s="1972">
        <f t="shared" si="82"/>
        <v>6</v>
      </c>
      <c r="S147" s="1972">
        <f t="shared" si="82"/>
        <v>1</v>
      </c>
      <c r="T147" s="1972">
        <f t="shared" si="82"/>
        <v>0</v>
      </c>
      <c r="U147" s="1972">
        <f t="shared" si="82"/>
        <v>0</v>
      </c>
      <c r="V147" s="1726">
        <f t="shared" si="53"/>
        <v>37</v>
      </c>
    </row>
    <row r="148" spans="2:22" ht="18" customHeight="1">
      <c r="B148" s="1946">
        <f t="shared" si="81"/>
        <v>5.0199999999999996</v>
      </c>
      <c r="C148" s="1943"/>
      <c r="D148" s="1951" t="s">
        <v>426</v>
      </c>
      <c r="E148" s="1951"/>
      <c r="F148" s="1944"/>
      <c r="G148" s="1945" t="s">
        <v>121</v>
      </c>
      <c r="H148" s="1973">
        <f t="shared" si="55"/>
        <v>76.5</v>
      </c>
      <c r="I148" s="2029"/>
      <c r="J148" s="1972">
        <f>+J$10*2.25</f>
        <v>22.5</v>
      </c>
      <c r="K148" s="1972">
        <f t="shared" ref="K148:U148" si="83">+K$10*2.25</f>
        <v>9</v>
      </c>
      <c r="L148" s="1972">
        <f t="shared" si="83"/>
        <v>6.75</v>
      </c>
      <c r="M148" s="1972"/>
      <c r="N148" s="1972">
        <f t="shared" si="83"/>
        <v>11.25</v>
      </c>
      <c r="O148" s="1972">
        <f t="shared" si="83"/>
        <v>4.5</v>
      </c>
      <c r="P148" s="1972">
        <f t="shared" si="83"/>
        <v>0</v>
      </c>
      <c r="Q148" s="1972">
        <f t="shared" si="83"/>
        <v>6.75</v>
      </c>
      <c r="R148" s="1972">
        <f t="shared" si="83"/>
        <v>13.5</v>
      </c>
      <c r="S148" s="1972">
        <f t="shared" si="83"/>
        <v>2.25</v>
      </c>
      <c r="T148" s="1972">
        <f t="shared" si="83"/>
        <v>0</v>
      </c>
      <c r="U148" s="1972">
        <f t="shared" si="83"/>
        <v>0</v>
      </c>
      <c r="V148" s="1726">
        <f t="shared" si="53"/>
        <v>76.5</v>
      </c>
    </row>
    <row r="149" spans="2:22" ht="18" customHeight="1">
      <c r="B149" s="1946">
        <f t="shared" si="81"/>
        <v>5.0299999999999994</v>
      </c>
      <c r="C149" s="1943"/>
      <c r="D149" s="1951" t="s">
        <v>427</v>
      </c>
      <c r="E149" s="1951"/>
      <c r="F149" s="1944"/>
      <c r="G149" s="1945" t="s">
        <v>121</v>
      </c>
      <c r="H149" s="1973">
        <f t="shared" si="55"/>
        <v>6.75</v>
      </c>
      <c r="I149" s="2029"/>
      <c r="J149" s="1972"/>
      <c r="K149" s="1972"/>
      <c r="L149" s="1997"/>
      <c r="M149" s="1972">
        <f>+M$10*2.25</f>
        <v>6.75</v>
      </c>
      <c r="N149" s="1997"/>
      <c r="O149" s="1997"/>
      <c r="P149" s="1997"/>
      <c r="Q149" s="1997"/>
      <c r="R149" s="1997"/>
      <c r="S149" s="1997"/>
      <c r="T149" s="1997"/>
      <c r="U149" s="1997"/>
      <c r="V149" s="1726">
        <f t="shared" si="53"/>
        <v>6.75</v>
      </c>
    </row>
    <row r="150" spans="2:22" ht="18" customHeight="1">
      <c r="B150" s="1946">
        <f t="shared" si="81"/>
        <v>5.0399999999999991</v>
      </c>
      <c r="C150" s="1943"/>
      <c r="D150" s="1951" t="s">
        <v>607</v>
      </c>
      <c r="E150" s="2026"/>
      <c r="F150" s="2027"/>
      <c r="G150" s="1945" t="s">
        <v>18</v>
      </c>
      <c r="H150" s="1973">
        <f t="shared" si="55"/>
        <v>37</v>
      </c>
      <c r="I150" s="2029"/>
      <c r="J150" s="1972">
        <f>+J113+J114</f>
        <v>10</v>
      </c>
      <c r="K150" s="1972">
        <f t="shared" ref="K150:U150" si="84">+K113+K114</f>
        <v>4</v>
      </c>
      <c r="L150" s="1972">
        <f t="shared" si="84"/>
        <v>3</v>
      </c>
      <c r="M150" s="1972">
        <f t="shared" si="84"/>
        <v>3</v>
      </c>
      <c r="N150" s="1972">
        <f t="shared" si="84"/>
        <v>5</v>
      </c>
      <c r="O150" s="1972">
        <f t="shared" si="84"/>
        <v>2</v>
      </c>
      <c r="P150" s="1972">
        <f t="shared" si="84"/>
        <v>0</v>
      </c>
      <c r="Q150" s="1972">
        <f t="shared" si="84"/>
        <v>3</v>
      </c>
      <c r="R150" s="1972">
        <f t="shared" si="84"/>
        <v>6</v>
      </c>
      <c r="S150" s="1972">
        <f t="shared" si="84"/>
        <v>1</v>
      </c>
      <c r="T150" s="1972">
        <f t="shared" si="84"/>
        <v>0</v>
      </c>
      <c r="U150" s="1972">
        <f t="shared" si="84"/>
        <v>0</v>
      </c>
      <c r="V150" s="1726">
        <f t="shared" si="53"/>
        <v>37</v>
      </c>
    </row>
    <row r="151" spans="2:22" ht="18" customHeight="1">
      <c r="B151" s="1946">
        <f t="shared" si="81"/>
        <v>5.0499999999999989</v>
      </c>
      <c r="C151" s="1943"/>
      <c r="D151" s="1951" t="s">
        <v>608</v>
      </c>
      <c r="E151" s="1951"/>
      <c r="F151" s="1944"/>
      <c r="G151" s="1945" t="s">
        <v>121</v>
      </c>
      <c r="H151" s="1973">
        <f t="shared" si="55"/>
        <v>83.25</v>
      </c>
      <c r="I151" s="2029"/>
      <c r="J151" s="1972">
        <f>+J148+J149</f>
        <v>22.5</v>
      </c>
      <c r="K151" s="1972">
        <f t="shared" ref="K151:U151" si="85">+K148+K149</f>
        <v>9</v>
      </c>
      <c r="L151" s="1972">
        <f t="shared" si="85"/>
        <v>6.75</v>
      </c>
      <c r="M151" s="1972">
        <f t="shared" si="85"/>
        <v>6.75</v>
      </c>
      <c r="N151" s="1972">
        <f t="shared" si="85"/>
        <v>11.25</v>
      </c>
      <c r="O151" s="1972">
        <f t="shared" si="85"/>
        <v>4.5</v>
      </c>
      <c r="P151" s="1972">
        <f t="shared" si="85"/>
        <v>0</v>
      </c>
      <c r="Q151" s="1972">
        <f t="shared" si="85"/>
        <v>6.75</v>
      </c>
      <c r="R151" s="1972">
        <f t="shared" si="85"/>
        <v>13.5</v>
      </c>
      <c r="S151" s="1972">
        <f t="shared" si="85"/>
        <v>2.25</v>
      </c>
      <c r="T151" s="1972">
        <f t="shared" si="85"/>
        <v>0</v>
      </c>
      <c r="U151" s="1972">
        <f t="shared" si="85"/>
        <v>0</v>
      </c>
      <c r="V151" s="1726">
        <f t="shared" si="53"/>
        <v>83.25</v>
      </c>
    </row>
    <row r="152" spans="2:22" ht="18" customHeight="1">
      <c r="B152" s="1947"/>
      <c r="C152" s="1943"/>
      <c r="D152" s="1951"/>
      <c r="E152" s="1951"/>
      <c r="F152" s="1948"/>
      <c r="G152" s="1945"/>
      <c r="H152" s="1973"/>
      <c r="I152" s="2029"/>
      <c r="J152" s="1972"/>
      <c r="K152" s="1972"/>
      <c r="L152" s="1997"/>
      <c r="M152" s="1997"/>
      <c r="N152" s="1997"/>
      <c r="O152" s="1997"/>
      <c r="P152" s="1997"/>
      <c r="Q152" s="1997"/>
      <c r="R152" s="1997"/>
      <c r="S152" s="1997"/>
      <c r="T152" s="1997"/>
      <c r="U152" s="1997"/>
      <c r="V152" s="1726">
        <f t="shared" si="53"/>
        <v>0</v>
      </c>
    </row>
    <row r="153" spans="2:22" ht="18" customHeight="1">
      <c r="B153" s="1942">
        <f>1+B146</f>
        <v>6</v>
      </c>
      <c r="C153" s="1943"/>
      <c r="D153" s="1975" t="s">
        <v>609</v>
      </c>
      <c r="E153" s="1951"/>
      <c r="F153" s="1944"/>
      <c r="G153" s="1945"/>
      <c r="H153" s="1973"/>
      <c r="I153" s="2029"/>
      <c r="J153" s="1972"/>
      <c r="K153" s="1972"/>
      <c r="L153" s="1997"/>
      <c r="M153" s="1997"/>
      <c r="N153" s="1997"/>
      <c r="O153" s="1997"/>
      <c r="P153" s="1997"/>
      <c r="Q153" s="1997"/>
      <c r="R153" s="1997"/>
      <c r="S153" s="1997"/>
      <c r="T153" s="1997"/>
      <c r="U153" s="1997"/>
      <c r="V153" s="1726">
        <f t="shared" si="53"/>
        <v>0</v>
      </c>
    </row>
    <row r="154" spans="2:22" ht="18" customHeight="1">
      <c r="B154" s="1946">
        <f>+B153+0.01</f>
        <v>6.01</v>
      </c>
      <c r="C154" s="1943"/>
      <c r="D154" s="1951" t="s">
        <v>610</v>
      </c>
      <c r="E154" s="1951"/>
      <c r="F154" s="1944"/>
      <c r="G154" s="1945" t="s">
        <v>18</v>
      </c>
      <c r="H154" s="1973">
        <f t="shared" si="55"/>
        <v>37</v>
      </c>
      <c r="I154" s="2029"/>
      <c r="J154" s="1972">
        <f>+J113+J114</f>
        <v>10</v>
      </c>
      <c r="K154" s="1972">
        <f t="shared" ref="K154:U154" si="86">+K113+K114</f>
        <v>4</v>
      </c>
      <c r="L154" s="1972">
        <f t="shared" si="86"/>
        <v>3</v>
      </c>
      <c r="M154" s="1972">
        <f t="shared" si="86"/>
        <v>3</v>
      </c>
      <c r="N154" s="1972">
        <f t="shared" si="86"/>
        <v>5</v>
      </c>
      <c r="O154" s="1972">
        <f t="shared" si="86"/>
        <v>2</v>
      </c>
      <c r="P154" s="1972">
        <f t="shared" si="86"/>
        <v>0</v>
      </c>
      <c r="Q154" s="1972">
        <f t="shared" si="86"/>
        <v>3</v>
      </c>
      <c r="R154" s="1972">
        <f t="shared" si="86"/>
        <v>6</v>
      </c>
      <c r="S154" s="1972">
        <f t="shared" si="86"/>
        <v>1</v>
      </c>
      <c r="T154" s="1972">
        <f t="shared" si="86"/>
        <v>0</v>
      </c>
      <c r="U154" s="1972">
        <f t="shared" si="86"/>
        <v>0</v>
      </c>
      <c r="V154" s="1726">
        <f t="shared" si="53"/>
        <v>37</v>
      </c>
    </row>
    <row r="155" spans="2:22" ht="18" customHeight="1">
      <c r="B155" s="1946">
        <f>+B154+0.01</f>
        <v>6.02</v>
      </c>
      <c r="C155" s="1943"/>
      <c r="D155" s="1951" t="s">
        <v>957</v>
      </c>
      <c r="E155" s="2026"/>
      <c r="F155" s="2027"/>
      <c r="G155" s="1956" t="s">
        <v>611</v>
      </c>
      <c r="H155" s="1973">
        <f t="shared" si="55"/>
        <v>11</v>
      </c>
      <c r="I155" s="2029"/>
      <c r="J155" s="1972">
        <v>1</v>
      </c>
      <c r="K155" s="1972">
        <v>1</v>
      </c>
      <c r="L155" s="1972">
        <v>1</v>
      </c>
      <c r="M155" s="1972">
        <v>1</v>
      </c>
      <c r="N155" s="1972">
        <v>1</v>
      </c>
      <c r="O155" s="1972">
        <v>1</v>
      </c>
      <c r="P155" s="1972"/>
      <c r="Q155" s="1972">
        <v>1</v>
      </c>
      <c r="R155" s="1972">
        <v>1</v>
      </c>
      <c r="S155" s="1972">
        <v>1</v>
      </c>
      <c r="T155" s="1972">
        <v>1</v>
      </c>
      <c r="U155" s="1972">
        <v>1</v>
      </c>
      <c r="V155" s="1726">
        <f t="shared" si="53"/>
        <v>11</v>
      </c>
    </row>
    <row r="156" spans="2:22" ht="18" customHeight="1">
      <c r="B156" s="2031"/>
      <c r="C156" s="2032"/>
      <c r="D156" s="2033"/>
      <c r="E156" s="2033"/>
      <c r="F156" s="2034"/>
      <c r="G156" s="1978"/>
      <c r="H156" s="1977"/>
      <c r="I156" s="2029"/>
      <c r="J156" s="1974"/>
      <c r="K156" s="1974"/>
      <c r="L156" s="2000"/>
      <c r="M156" s="2000"/>
      <c r="N156" s="2000"/>
      <c r="O156" s="2000"/>
      <c r="P156" s="2000"/>
      <c r="Q156" s="2000"/>
      <c r="R156" s="2000"/>
      <c r="S156" s="2000"/>
      <c r="T156" s="2000"/>
      <c r="U156" s="2000"/>
      <c r="V156" s="1726">
        <f t="shared" si="53"/>
        <v>0</v>
      </c>
    </row>
    <row r="157" spans="2:22">
      <c r="B157" s="2035"/>
      <c r="C157" s="321"/>
      <c r="D157" s="322"/>
      <c r="G157" s="323"/>
      <c r="J157" s="525"/>
      <c r="K157" s="525"/>
      <c r="L157" s="525"/>
      <c r="M157" s="525"/>
      <c r="N157" s="525"/>
      <c r="O157" s="525"/>
      <c r="P157" s="525"/>
      <c r="Q157" s="525"/>
      <c r="R157" s="525"/>
      <c r="S157" s="525"/>
      <c r="T157" s="525"/>
      <c r="U157" s="525"/>
    </row>
    <row r="158" spans="2:22">
      <c r="B158" s="321"/>
      <c r="C158" s="321"/>
      <c r="D158" s="322"/>
      <c r="E158" s="321"/>
      <c r="F158" s="321"/>
      <c r="G158" s="323"/>
      <c r="H158" s="583"/>
      <c r="I158" s="1980"/>
      <c r="J158" s="525"/>
      <c r="K158" s="525"/>
      <c r="L158" s="525"/>
      <c r="M158" s="525"/>
      <c r="N158" s="525"/>
      <c r="O158" s="525"/>
      <c r="P158" s="525"/>
      <c r="Q158" s="525"/>
      <c r="R158" s="525"/>
      <c r="S158" s="525"/>
      <c r="T158" s="525"/>
      <c r="U158" s="525"/>
    </row>
    <row r="159" spans="2:22">
      <c r="B159" s="321"/>
      <c r="C159" s="321"/>
      <c r="D159" s="322"/>
      <c r="E159" s="321"/>
      <c r="F159" s="321"/>
      <c r="G159" s="323"/>
      <c r="H159" s="525"/>
      <c r="I159" s="1981"/>
      <c r="J159" s="525"/>
      <c r="K159" s="525"/>
      <c r="L159" s="525"/>
      <c r="M159" s="525"/>
      <c r="N159" s="525"/>
      <c r="O159" s="525"/>
      <c r="P159" s="525"/>
      <c r="Q159" s="525"/>
      <c r="R159" s="525"/>
      <c r="S159" s="525"/>
      <c r="T159" s="525"/>
      <c r="U159" s="525"/>
    </row>
    <row r="160" spans="2:22">
      <c r="B160" s="321"/>
      <c r="C160" s="321"/>
      <c r="D160" s="322"/>
      <c r="E160" s="321"/>
      <c r="F160" s="321"/>
      <c r="G160" s="323"/>
      <c r="H160" s="1758"/>
      <c r="I160" s="1982"/>
      <c r="J160" s="525"/>
      <c r="K160" s="525"/>
      <c r="L160" s="525"/>
      <c r="M160" s="525"/>
      <c r="N160" s="525"/>
      <c r="O160" s="525"/>
      <c r="P160" s="525"/>
      <c r="Q160" s="525"/>
      <c r="R160" s="525"/>
      <c r="S160" s="525"/>
      <c r="T160" s="525"/>
      <c r="U160" s="525"/>
    </row>
    <row r="161" spans="2:10">
      <c r="B161" s="321"/>
      <c r="C161" s="321"/>
      <c r="D161" s="322"/>
      <c r="E161" s="321"/>
      <c r="F161" s="321"/>
      <c r="G161" s="323"/>
      <c r="H161" s="1709"/>
      <c r="I161" s="1983"/>
      <c r="J161" s="1759"/>
    </row>
    <row r="162" spans="2:10">
      <c r="B162" s="321"/>
      <c r="C162" s="321"/>
      <c r="D162" s="322"/>
      <c r="E162" s="321"/>
      <c r="F162" s="321"/>
      <c r="G162" s="323"/>
      <c r="H162" s="1710"/>
      <c r="I162" s="1984"/>
      <c r="J162" s="1759"/>
    </row>
    <row r="163" spans="2:10">
      <c r="B163" s="321"/>
      <c r="C163" s="321"/>
      <c r="D163" s="322"/>
      <c r="E163" s="321"/>
      <c r="F163" s="321"/>
      <c r="G163" s="323"/>
      <c r="H163" s="1708"/>
      <c r="I163" s="1985"/>
      <c r="J163" s="525"/>
    </row>
  </sheetData>
  <autoFilter ref="A8:AI110" xr:uid="{00000000-0001-0000-1900-000000000000}"/>
  <mergeCells count="13">
    <mergeCell ref="T3:T5"/>
    <mergeCell ref="U3:U5"/>
    <mergeCell ref="C7:F7"/>
    <mergeCell ref="O3:O5"/>
    <mergeCell ref="P3:P5"/>
    <mergeCell ref="Q3:Q5"/>
    <mergeCell ref="R3:R5"/>
    <mergeCell ref="S3:S5"/>
    <mergeCell ref="J3:J5"/>
    <mergeCell ref="K3:K5"/>
    <mergeCell ref="L3:L5"/>
    <mergeCell ref="M3:M5"/>
    <mergeCell ref="N3:N5"/>
  </mergeCells>
  <printOptions horizontalCentered="1"/>
  <pageMargins left="0.31496062992125984" right="0.31496062992125984" top="0.35433070866141736" bottom="0.35433070866141736" header="0.31496062992125984" footer="0.31496062992125984"/>
  <pageSetup paperSize="9" scale="38" orientation="portrait" r:id="rId1"/>
  <rowBreaks count="2" manualBreakCount="2">
    <brk id="64" min="1" max="20" man="1"/>
    <brk id="110" min="1" max="20" man="1"/>
  </rowBreaks>
  <colBreaks count="1" manualBreakCount="1">
    <brk id="21" max="150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E8973-D368-49F8-A63B-0FC27716A674}">
  <sheetPr>
    <pageSetUpPr fitToPage="1"/>
  </sheetPr>
  <dimension ref="A1:S103"/>
  <sheetViews>
    <sheetView tabSelected="1" view="pageBreakPreview" zoomScaleNormal="100" zoomScaleSheetLayoutView="100" workbookViewId="0">
      <selection activeCell="R8" sqref="R8"/>
    </sheetView>
  </sheetViews>
  <sheetFormatPr baseColWidth="10" defaultRowHeight="12.75"/>
  <cols>
    <col min="1" max="1" width="6.1640625" style="2070" customWidth="1"/>
    <col min="2" max="2" width="27" style="2075" customWidth="1"/>
    <col min="3" max="3" width="8" style="2075" customWidth="1"/>
    <col min="4" max="9" width="11.1640625" style="2070" customWidth="1"/>
    <col min="10" max="10" width="12.1640625" style="2070" customWidth="1"/>
    <col min="11" max="11" width="7.6640625" style="2070" customWidth="1"/>
    <col min="12" max="13" width="10.33203125" style="2070" customWidth="1"/>
    <col min="14" max="14" width="10.1640625" style="2070" customWidth="1"/>
    <col min="15" max="16" width="6.83203125" style="2070" customWidth="1"/>
    <col min="17" max="256" width="12" style="2069"/>
    <col min="257" max="257" width="6.1640625" style="2069" customWidth="1"/>
    <col min="258" max="258" width="27" style="2069" customWidth="1"/>
    <col min="259" max="259" width="8" style="2069" customWidth="1"/>
    <col min="260" max="265" width="11.1640625" style="2069" customWidth="1"/>
    <col min="266" max="266" width="12.1640625" style="2069" customWidth="1"/>
    <col min="267" max="267" width="7.6640625" style="2069" customWidth="1"/>
    <col min="268" max="269" width="10.33203125" style="2069" customWidth="1"/>
    <col min="270" max="270" width="10.1640625" style="2069" customWidth="1"/>
    <col min="271" max="272" width="6.83203125" style="2069" customWidth="1"/>
    <col min="273" max="512" width="12" style="2069"/>
    <col min="513" max="513" width="6.1640625" style="2069" customWidth="1"/>
    <col min="514" max="514" width="27" style="2069" customWidth="1"/>
    <col min="515" max="515" width="8" style="2069" customWidth="1"/>
    <col min="516" max="521" width="11.1640625" style="2069" customWidth="1"/>
    <col min="522" max="522" width="12.1640625" style="2069" customWidth="1"/>
    <col min="523" max="523" width="7.6640625" style="2069" customWidth="1"/>
    <col min="524" max="525" width="10.33203125" style="2069" customWidth="1"/>
    <col min="526" max="526" width="10.1640625" style="2069" customWidth="1"/>
    <col min="527" max="528" width="6.83203125" style="2069" customWidth="1"/>
    <col min="529" max="768" width="12" style="2069"/>
    <col min="769" max="769" width="6.1640625" style="2069" customWidth="1"/>
    <col min="770" max="770" width="27" style="2069" customWidth="1"/>
    <col min="771" max="771" width="8" style="2069" customWidth="1"/>
    <col min="772" max="777" width="11.1640625" style="2069" customWidth="1"/>
    <col min="778" max="778" width="12.1640625" style="2069" customWidth="1"/>
    <col min="779" max="779" width="7.6640625" style="2069" customWidth="1"/>
    <col min="780" max="781" width="10.33203125" style="2069" customWidth="1"/>
    <col min="782" max="782" width="10.1640625" style="2069" customWidth="1"/>
    <col min="783" max="784" width="6.83203125" style="2069" customWidth="1"/>
    <col min="785" max="1024" width="12" style="2069"/>
    <col min="1025" max="1025" width="6.1640625" style="2069" customWidth="1"/>
    <col min="1026" max="1026" width="27" style="2069" customWidth="1"/>
    <col min="1027" max="1027" width="8" style="2069" customWidth="1"/>
    <col min="1028" max="1033" width="11.1640625" style="2069" customWidth="1"/>
    <col min="1034" max="1034" width="12.1640625" style="2069" customWidth="1"/>
    <col min="1035" max="1035" width="7.6640625" style="2069" customWidth="1"/>
    <col min="1036" max="1037" width="10.33203125" style="2069" customWidth="1"/>
    <col min="1038" max="1038" width="10.1640625" style="2069" customWidth="1"/>
    <col min="1039" max="1040" width="6.83203125" style="2069" customWidth="1"/>
    <col min="1041" max="1280" width="12" style="2069"/>
    <col min="1281" max="1281" width="6.1640625" style="2069" customWidth="1"/>
    <col min="1282" max="1282" width="27" style="2069" customWidth="1"/>
    <col min="1283" max="1283" width="8" style="2069" customWidth="1"/>
    <col min="1284" max="1289" width="11.1640625" style="2069" customWidth="1"/>
    <col min="1290" max="1290" width="12.1640625" style="2069" customWidth="1"/>
    <col min="1291" max="1291" width="7.6640625" style="2069" customWidth="1"/>
    <col min="1292" max="1293" width="10.33203125" style="2069" customWidth="1"/>
    <col min="1294" max="1294" width="10.1640625" style="2069" customWidth="1"/>
    <col min="1295" max="1296" width="6.83203125" style="2069" customWidth="1"/>
    <col min="1297" max="1536" width="12" style="2069"/>
    <col min="1537" max="1537" width="6.1640625" style="2069" customWidth="1"/>
    <col min="1538" max="1538" width="27" style="2069" customWidth="1"/>
    <col min="1539" max="1539" width="8" style="2069" customWidth="1"/>
    <col min="1540" max="1545" width="11.1640625" style="2069" customWidth="1"/>
    <col min="1546" max="1546" width="12.1640625" style="2069" customWidth="1"/>
    <col min="1547" max="1547" width="7.6640625" style="2069" customWidth="1"/>
    <col min="1548" max="1549" width="10.33203125" style="2069" customWidth="1"/>
    <col min="1550" max="1550" width="10.1640625" style="2069" customWidth="1"/>
    <col min="1551" max="1552" width="6.83203125" style="2069" customWidth="1"/>
    <col min="1553" max="1792" width="12" style="2069"/>
    <col min="1793" max="1793" width="6.1640625" style="2069" customWidth="1"/>
    <col min="1794" max="1794" width="27" style="2069" customWidth="1"/>
    <col min="1795" max="1795" width="8" style="2069" customWidth="1"/>
    <col min="1796" max="1801" width="11.1640625" style="2069" customWidth="1"/>
    <col min="1802" max="1802" width="12.1640625" style="2069" customWidth="1"/>
    <col min="1803" max="1803" width="7.6640625" style="2069" customWidth="1"/>
    <col min="1804" max="1805" width="10.33203125" style="2069" customWidth="1"/>
    <col min="1806" max="1806" width="10.1640625" style="2069" customWidth="1"/>
    <col min="1807" max="1808" width="6.83203125" style="2069" customWidth="1"/>
    <col min="1809" max="2048" width="12" style="2069"/>
    <col min="2049" max="2049" width="6.1640625" style="2069" customWidth="1"/>
    <col min="2050" max="2050" width="27" style="2069" customWidth="1"/>
    <col min="2051" max="2051" width="8" style="2069" customWidth="1"/>
    <col min="2052" max="2057" width="11.1640625" style="2069" customWidth="1"/>
    <col min="2058" max="2058" width="12.1640625" style="2069" customWidth="1"/>
    <col min="2059" max="2059" width="7.6640625" style="2069" customWidth="1"/>
    <col min="2060" max="2061" width="10.33203125" style="2069" customWidth="1"/>
    <col min="2062" max="2062" width="10.1640625" style="2069" customWidth="1"/>
    <col min="2063" max="2064" width="6.83203125" style="2069" customWidth="1"/>
    <col min="2065" max="2304" width="12" style="2069"/>
    <col min="2305" max="2305" width="6.1640625" style="2069" customWidth="1"/>
    <col min="2306" max="2306" width="27" style="2069" customWidth="1"/>
    <col min="2307" max="2307" width="8" style="2069" customWidth="1"/>
    <col min="2308" max="2313" width="11.1640625" style="2069" customWidth="1"/>
    <col min="2314" max="2314" width="12.1640625" style="2069" customWidth="1"/>
    <col min="2315" max="2315" width="7.6640625" style="2069" customWidth="1"/>
    <col min="2316" max="2317" width="10.33203125" style="2069" customWidth="1"/>
    <col min="2318" max="2318" width="10.1640625" style="2069" customWidth="1"/>
    <col min="2319" max="2320" width="6.83203125" style="2069" customWidth="1"/>
    <col min="2321" max="2560" width="12" style="2069"/>
    <col min="2561" max="2561" width="6.1640625" style="2069" customWidth="1"/>
    <col min="2562" max="2562" width="27" style="2069" customWidth="1"/>
    <col min="2563" max="2563" width="8" style="2069" customWidth="1"/>
    <col min="2564" max="2569" width="11.1640625" style="2069" customWidth="1"/>
    <col min="2570" max="2570" width="12.1640625" style="2069" customWidth="1"/>
    <col min="2571" max="2571" width="7.6640625" style="2069" customWidth="1"/>
    <col min="2572" max="2573" width="10.33203125" style="2069" customWidth="1"/>
    <col min="2574" max="2574" width="10.1640625" style="2069" customWidth="1"/>
    <col min="2575" max="2576" width="6.83203125" style="2069" customWidth="1"/>
    <col min="2577" max="2816" width="12" style="2069"/>
    <col min="2817" max="2817" width="6.1640625" style="2069" customWidth="1"/>
    <col min="2818" max="2818" width="27" style="2069" customWidth="1"/>
    <col min="2819" max="2819" width="8" style="2069" customWidth="1"/>
    <col min="2820" max="2825" width="11.1640625" style="2069" customWidth="1"/>
    <col min="2826" max="2826" width="12.1640625" style="2069" customWidth="1"/>
    <col min="2827" max="2827" width="7.6640625" style="2069" customWidth="1"/>
    <col min="2828" max="2829" width="10.33203125" style="2069" customWidth="1"/>
    <col min="2830" max="2830" width="10.1640625" style="2069" customWidth="1"/>
    <col min="2831" max="2832" width="6.83203125" style="2069" customWidth="1"/>
    <col min="2833" max="3072" width="12" style="2069"/>
    <col min="3073" max="3073" width="6.1640625" style="2069" customWidth="1"/>
    <col min="3074" max="3074" width="27" style="2069" customWidth="1"/>
    <col min="3075" max="3075" width="8" style="2069" customWidth="1"/>
    <col min="3076" max="3081" width="11.1640625" style="2069" customWidth="1"/>
    <col min="3082" max="3082" width="12.1640625" style="2069" customWidth="1"/>
    <col min="3083" max="3083" width="7.6640625" style="2069" customWidth="1"/>
    <col min="3084" max="3085" width="10.33203125" style="2069" customWidth="1"/>
    <col min="3086" max="3086" width="10.1640625" style="2069" customWidth="1"/>
    <col min="3087" max="3088" width="6.83203125" style="2069" customWidth="1"/>
    <col min="3089" max="3328" width="12" style="2069"/>
    <col min="3329" max="3329" width="6.1640625" style="2069" customWidth="1"/>
    <col min="3330" max="3330" width="27" style="2069" customWidth="1"/>
    <col min="3331" max="3331" width="8" style="2069" customWidth="1"/>
    <col min="3332" max="3337" width="11.1640625" style="2069" customWidth="1"/>
    <col min="3338" max="3338" width="12.1640625" style="2069" customWidth="1"/>
    <col min="3339" max="3339" width="7.6640625" style="2069" customWidth="1"/>
    <col min="3340" max="3341" width="10.33203125" style="2069" customWidth="1"/>
    <col min="3342" max="3342" width="10.1640625" style="2069" customWidth="1"/>
    <col min="3343" max="3344" width="6.83203125" style="2069" customWidth="1"/>
    <col min="3345" max="3584" width="12" style="2069"/>
    <col min="3585" max="3585" width="6.1640625" style="2069" customWidth="1"/>
    <col min="3586" max="3586" width="27" style="2069" customWidth="1"/>
    <col min="3587" max="3587" width="8" style="2069" customWidth="1"/>
    <col min="3588" max="3593" width="11.1640625" style="2069" customWidth="1"/>
    <col min="3594" max="3594" width="12.1640625" style="2069" customWidth="1"/>
    <col min="3595" max="3595" width="7.6640625" style="2069" customWidth="1"/>
    <col min="3596" max="3597" width="10.33203125" style="2069" customWidth="1"/>
    <col min="3598" max="3598" width="10.1640625" style="2069" customWidth="1"/>
    <col min="3599" max="3600" width="6.83203125" style="2069" customWidth="1"/>
    <col min="3601" max="3840" width="12" style="2069"/>
    <col min="3841" max="3841" width="6.1640625" style="2069" customWidth="1"/>
    <col min="3842" max="3842" width="27" style="2069" customWidth="1"/>
    <col min="3843" max="3843" width="8" style="2069" customWidth="1"/>
    <col min="3844" max="3849" width="11.1640625" style="2069" customWidth="1"/>
    <col min="3850" max="3850" width="12.1640625" style="2069" customWidth="1"/>
    <col min="3851" max="3851" width="7.6640625" style="2069" customWidth="1"/>
    <col min="3852" max="3853" width="10.33203125" style="2069" customWidth="1"/>
    <col min="3854" max="3854" width="10.1640625" style="2069" customWidth="1"/>
    <col min="3855" max="3856" width="6.83203125" style="2069" customWidth="1"/>
    <col min="3857" max="4096" width="12" style="2069"/>
    <col min="4097" max="4097" width="6.1640625" style="2069" customWidth="1"/>
    <col min="4098" max="4098" width="27" style="2069" customWidth="1"/>
    <col min="4099" max="4099" width="8" style="2069" customWidth="1"/>
    <col min="4100" max="4105" width="11.1640625" style="2069" customWidth="1"/>
    <col min="4106" max="4106" width="12.1640625" style="2069" customWidth="1"/>
    <col min="4107" max="4107" width="7.6640625" style="2069" customWidth="1"/>
    <col min="4108" max="4109" width="10.33203125" style="2069" customWidth="1"/>
    <col min="4110" max="4110" width="10.1640625" style="2069" customWidth="1"/>
    <col min="4111" max="4112" width="6.83203125" style="2069" customWidth="1"/>
    <col min="4113" max="4352" width="12" style="2069"/>
    <col min="4353" max="4353" width="6.1640625" style="2069" customWidth="1"/>
    <col min="4354" max="4354" width="27" style="2069" customWidth="1"/>
    <col min="4355" max="4355" width="8" style="2069" customWidth="1"/>
    <col min="4356" max="4361" width="11.1640625" style="2069" customWidth="1"/>
    <col min="4362" max="4362" width="12.1640625" style="2069" customWidth="1"/>
    <col min="4363" max="4363" width="7.6640625" style="2069" customWidth="1"/>
    <col min="4364" max="4365" width="10.33203125" style="2069" customWidth="1"/>
    <col min="4366" max="4366" width="10.1640625" style="2069" customWidth="1"/>
    <col min="4367" max="4368" width="6.83203125" style="2069" customWidth="1"/>
    <col min="4369" max="4608" width="12" style="2069"/>
    <col min="4609" max="4609" width="6.1640625" style="2069" customWidth="1"/>
    <col min="4610" max="4610" width="27" style="2069" customWidth="1"/>
    <col min="4611" max="4611" width="8" style="2069" customWidth="1"/>
    <col min="4612" max="4617" width="11.1640625" style="2069" customWidth="1"/>
    <col min="4618" max="4618" width="12.1640625" style="2069" customWidth="1"/>
    <col min="4619" max="4619" width="7.6640625" style="2069" customWidth="1"/>
    <col min="4620" max="4621" width="10.33203125" style="2069" customWidth="1"/>
    <col min="4622" max="4622" width="10.1640625" style="2069" customWidth="1"/>
    <col min="4623" max="4624" width="6.83203125" style="2069" customWidth="1"/>
    <col min="4625" max="4864" width="12" style="2069"/>
    <col min="4865" max="4865" width="6.1640625" style="2069" customWidth="1"/>
    <col min="4866" max="4866" width="27" style="2069" customWidth="1"/>
    <col min="4867" max="4867" width="8" style="2069" customWidth="1"/>
    <col min="4868" max="4873" width="11.1640625" style="2069" customWidth="1"/>
    <col min="4874" max="4874" width="12.1640625" style="2069" customWidth="1"/>
    <col min="4875" max="4875" width="7.6640625" style="2069" customWidth="1"/>
    <col min="4876" max="4877" width="10.33203125" style="2069" customWidth="1"/>
    <col min="4878" max="4878" width="10.1640625" style="2069" customWidth="1"/>
    <col min="4879" max="4880" width="6.83203125" style="2069" customWidth="1"/>
    <col min="4881" max="5120" width="12" style="2069"/>
    <col min="5121" max="5121" width="6.1640625" style="2069" customWidth="1"/>
    <col min="5122" max="5122" width="27" style="2069" customWidth="1"/>
    <col min="5123" max="5123" width="8" style="2069" customWidth="1"/>
    <col min="5124" max="5129" width="11.1640625" style="2069" customWidth="1"/>
    <col min="5130" max="5130" width="12.1640625" style="2069" customWidth="1"/>
    <col min="5131" max="5131" width="7.6640625" style="2069" customWidth="1"/>
    <col min="5132" max="5133" width="10.33203125" style="2069" customWidth="1"/>
    <col min="5134" max="5134" width="10.1640625" style="2069" customWidth="1"/>
    <col min="5135" max="5136" width="6.83203125" style="2069" customWidth="1"/>
    <col min="5137" max="5376" width="12" style="2069"/>
    <col min="5377" max="5377" width="6.1640625" style="2069" customWidth="1"/>
    <col min="5378" max="5378" width="27" style="2069" customWidth="1"/>
    <col min="5379" max="5379" width="8" style="2069" customWidth="1"/>
    <col min="5380" max="5385" width="11.1640625" style="2069" customWidth="1"/>
    <col min="5386" max="5386" width="12.1640625" style="2069" customWidth="1"/>
    <col min="5387" max="5387" width="7.6640625" style="2069" customWidth="1"/>
    <col min="5388" max="5389" width="10.33203125" style="2069" customWidth="1"/>
    <col min="5390" max="5390" width="10.1640625" style="2069" customWidth="1"/>
    <col min="5391" max="5392" width="6.83203125" style="2069" customWidth="1"/>
    <col min="5393" max="5632" width="12" style="2069"/>
    <col min="5633" max="5633" width="6.1640625" style="2069" customWidth="1"/>
    <col min="5634" max="5634" width="27" style="2069" customWidth="1"/>
    <col min="5635" max="5635" width="8" style="2069" customWidth="1"/>
    <col min="5636" max="5641" width="11.1640625" style="2069" customWidth="1"/>
    <col min="5642" max="5642" width="12.1640625" style="2069" customWidth="1"/>
    <col min="5643" max="5643" width="7.6640625" style="2069" customWidth="1"/>
    <col min="5644" max="5645" width="10.33203125" style="2069" customWidth="1"/>
    <col min="5646" max="5646" width="10.1640625" style="2069" customWidth="1"/>
    <col min="5647" max="5648" width="6.83203125" style="2069" customWidth="1"/>
    <col min="5649" max="5888" width="12" style="2069"/>
    <col min="5889" max="5889" width="6.1640625" style="2069" customWidth="1"/>
    <col min="5890" max="5890" width="27" style="2069" customWidth="1"/>
    <col min="5891" max="5891" width="8" style="2069" customWidth="1"/>
    <col min="5892" max="5897" width="11.1640625" style="2069" customWidth="1"/>
    <col min="5898" max="5898" width="12.1640625" style="2069" customWidth="1"/>
    <col min="5899" max="5899" width="7.6640625" style="2069" customWidth="1"/>
    <col min="5900" max="5901" width="10.33203125" style="2069" customWidth="1"/>
    <col min="5902" max="5902" width="10.1640625" style="2069" customWidth="1"/>
    <col min="5903" max="5904" width="6.83203125" style="2069" customWidth="1"/>
    <col min="5905" max="6144" width="12" style="2069"/>
    <col min="6145" max="6145" width="6.1640625" style="2069" customWidth="1"/>
    <col min="6146" max="6146" width="27" style="2069" customWidth="1"/>
    <col min="6147" max="6147" width="8" style="2069" customWidth="1"/>
    <col min="6148" max="6153" width="11.1640625" style="2069" customWidth="1"/>
    <col min="6154" max="6154" width="12.1640625" style="2069" customWidth="1"/>
    <col min="6155" max="6155" width="7.6640625" style="2069" customWidth="1"/>
    <col min="6156" max="6157" width="10.33203125" style="2069" customWidth="1"/>
    <col min="6158" max="6158" width="10.1640625" style="2069" customWidth="1"/>
    <col min="6159" max="6160" width="6.83203125" style="2069" customWidth="1"/>
    <col min="6161" max="6400" width="12" style="2069"/>
    <col min="6401" max="6401" width="6.1640625" style="2069" customWidth="1"/>
    <col min="6402" max="6402" width="27" style="2069" customWidth="1"/>
    <col min="6403" max="6403" width="8" style="2069" customWidth="1"/>
    <col min="6404" max="6409" width="11.1640625" style="2069" customWidth="1"/>
    <col min="6410" max="6410" width="12.1640625" style="2069" customWidth="1"/>
    <col min="6411" max="6411" width="7.6640625" style="2069" customWidth="1"/>
    <col min="6412" max="6413" width="10.33203125" style="2069" customWidth="1"/>
    <col min="6414" max="6414" width="10.1640625" style="2069" customWidth="1"/>
    <col min="6415" max="6416" width="6.83203125" style="2069" customWidth="1"/>
    <col min="6417" max="6656" width="12" style="2069"/>
    <col min="6657" max="6657" width="6.1640625" style="2069" customWidth="1"/>
    <col min="6658" max="6658" width="27" style="2069" customWidth="1"/>
    <col min="6659" max="6659" width="8" style="2069" customWidth="1"/>
    <col min="6660" max="6665" width="11.1640625" style="2069" customWidth="1"/>
    <col min="6666" max="6666" width="12.1640625" style="2069" customWidth="1"/>
    <col min="6667" max="6667" width="7.6640625" style="2069" customWidth="1"/>
    <col min="6668" max="6669" width="10.33203125" style="2069" customWidth="1"/>
    <col min="6670" max="6670" width="10.1640625" style="2069" customWidth="1"/>
    <col min="6671" max="6672" width="6.83203125" style="2069" customWidth="1"/>
    <col min="6673" max="6912" width="12" style="2069"/>
    <col min="6913" max="6913" width="6.1640625" style="2069" customWidth="1"/>
    <col min="6914" max="6914" width="27" style="2069" customWidth="1"/>
    <col min="6915" max="6915" width="8" style="2069" customWidth="1"/>
    <col min="6916" max="6921" width="11.1640625" style="2069" customWidth="1"/>
    <col min="6922" max="6922" width="12.1640625" style="2069" customWidth="1"/>
    <col min="6923" max="6923" width="7.6640625" style="2069" customWidth="1"/>
    <col min="6924" max="6925" width="10.33203125" style="2069" customWidth="1"/>
    <col min="6926" max="6926" width="10.1640625" style="2069" customWidth="1"/>
    <col min="6927" max="6928" width="6.83203125" style="2069" customWidth="1"/>
    <col min="6929" max="7168" width="12" style="2069"/>
    <col min="7169" max="7169" width="6.1640625" style="2069" customWidth="1"/>
    <col min="7170" max="7170" width="27" style="2069" customWidth="1"/>
    <col min="7171" max="7171" width="8" style="2069" customWidth="1"/>
    <col min="7172" max="7177" width="11.1640625" style="2069" customWidth="1"/>
    <col min="7178" max="7178" width="12.1640625" style="2069" customWidth="1"/>
    <col min="7179" max="7179" width="7.6640625" style="2069" customWidth="1"/>
    <col min="7180" max="7181" width="10.33203125" style="2069" customWidth="1"/>
    <col min="7182" max="7182" width="10.1640625" style="2069" customWidth="1"/>
    <col min="7183" max="7184" width="6.83203125" style="2069" customWidth="1"/>
    <col min="7185" max="7424" width="12" style="2069"/>
    <col min="7425" max="7425" width="6.1640625" style="2069" customWidth="1"/>
    <col min="7426" max="7426" width="27" style="2069" customWidth="1"/>
    <col min="7427" max="7427" width="8" style="2069" customWidth="1"/>
    <col min="7428" max="7433" width="11.1640625" style="2069" customWidth="1"/>
    <col min="7434" max="7434" width="12.1640625" style="2069" customWidth="1"/>
    <col min="7435" max="7435" width="7.6640625" style="2069" customWidth="1"/>
    <col min="7436" max="7437" width="10.33203125" style="2069" customWidth="1"/>
    <col min="7438" max="7438" width="10.1640625" style="2069" customWidth="1"/>
    <col min="7439" max="7440" width="6.83203125" style="2069" customWidth="1"/>
    <col min="7441" max="7680" width="12" style="2069"/>
    <col min="7681" max="7681" width="6.1640625" style="2069" customWidth="1"/>
    <col min="7682" max="7682" width="27" style="2069" customWidth="1"/>
    <col min="7683" max="7683" width="8" style="2069" customWidth="1"/>
    <col min="7684" max="7689" width="11.1640625" style="2069" customWidth="1"/>
    <col min="7690" max="7690" width="12.1640625" style="2069" customWidth="1"/>
    <col min="7691" max="7691" width="7.6640625" style="2069" customWidth="1"/>
    <col min="7692" max="7693" width="10.33203125" style="2069" customWidth="1"/>
    <col min="7694" max="7694" width="10.1640625" style="2069" customWidth="1"/>
    <col min="7695" max="7696" width="6.83203125" style="2069" customWidth="1"/>
    <col min="7697" max="7936" width="12" style="2069"/>
    <col min="7937" max="7937" width="6.1640625" style="2069" customWidth="1"/>
    <col min="7938" max="7938" width="27" style="2069" customWidth="1"/>
    <col min="7939" max="7939" width="8" style="2069" customWidth="1"/>
    <col min="7940" max="7945" width="11.1640625" style="2069" customWidth="1"/>
    <col min="7946" max="7946" width="12.1640625" style="2069" customWidth="1"/>
    <col min="7947" max="7947" width="7.6640625" style="2069" customWidth="1"/>
    <col min="7948" max="7949" width="10.33203125" style="2069" customWidth="1"/>
    <col min="7950" max="7950" width="10.1640625" style="2069" customWidth="1"/>
    <col min="7951" max="7952" width="6.83203125" style="2069" customWidth="1"/>
    <col min="7953" max="8192" width="12" style="2069"/>
    <col min="8193" max="8193" width="6.1640625" style="2069" customWidth="1"/>
    <col min="8194" max="8194" width="27" style="2069" customWidth="1"/>
    <col min="8195" max="8195" width="8" style="2069" customWidth="1"/>
    <col min="8196" max="8201" width="11.1640625" style="2069" customWidth="1"/>
    <col min="8202" max="8202" width="12.1640625" style="2069" customWidth="1"/>
    <col min="8203" max="8203" width="7.6640625" style="2069" customWidth="1"/>
    <col min="8204" max="8205" width="10.33203125" style="2069" customWidth="1"/>
    <col min="8206" max="8206" width="10.1640625" style="2069" customWidth="1"/>
    <col min="8207" max="8208" width="6.83203125" style="2069" customWidth="1"/>
    <col min="8209" max="8448" width="12" style="2069"/>
    <col min="8449" max="8449" width="6.1640625" style="2069" customWidth="1"/>
    <col min="8450" max="8450" width="27" style="2069" customWidth="1"/>
    <col min="8451" max="8451" width="8" style="2069" customWidth="1"/>
    <col min="8452" max="8457" width="11.1640625" style="2069" customWidth="1"/>
    <col min="8458" max="8458" width="12.1640625" style="2069" customWidth="1"/>
    <col min="8459" max="8459" width="7.6640625" style="2069" customWidth="1"/>
    <col min="8460" max="8461" width="10.33203125" style="2069" customWidth="1"/>
    <col min="8462" max="8462" width="10.1640625" style="2069" customWidth="1"/>
    <col min="8463" max="8464" width="6.83203125" style="2069" customWidth="1"/>
    <col min="8465" max="8704" width="12" style="2069"/>
    <col min="8705" max="8705" width="6.1640625" style="2069" customWidth="1"/>
    <col min="8706" max="8706" width="27" style="2069" customWidth="1"/>
    <col min="8707" max="8707" width="8" style="2069" customWidth="1"/>
    <col min="8708" max="8713" width="11.1640625" style="2069" customWidth="1"/>
    <col min="8714" max="8714" width="12.1640625" style="2069" customWidth="1"/>
    <col min="8715" max="8715" width="7.6640625" style="2069" customWidth="1"/>
    <col min="8716" max="8717" width="10.33203125" style="2069" customWidth="1"/>
    <col min="8718" max="8718" width="10.1640625" style="2069" customWidth="1"/>
    <col min="8719" max="8720" width="6.83203125" style="2069" customWidth="1"/>
    <col min="8721" max="8960" width="12" style="2069"/>
    <col min="8961" max="8961" width="6.1640625" style="2069" customWidth="1"/>
    <col min="8962" max="8962" width="27" style="2069" customWidth="1"/>
    <col min="8963" max="8963" width="8" style="2069" customWidth="1"/>
    <col min="8964" max="8969" width="11.1640625" style="2069" customWidth="1"/>
    <col min="8970" max="8970" width="12.1640625" style="2069" customWidth="1"/>
    <col min="8971" max="8971" width="7.6640625" style="2069" customWidth="1"/>
    <col min="8972" max="8973" width="10.33203125" style="2069" customWidth="1"/>
    <col min="8974" max="8974" width="10.1640625" style="2069" customWidth="1"/>
    <col min="8975" max="8976" width="6.83203125" style="2069" customWidth="1"/>
    <col min="8977" max="9216" width="12" style="2069"/>
    <col min="9217" max="9217" width="6.1640625" style="2069" customWidth="1"/>
    <col min="9218" max="9218" width="27" style="2069" customWidth="1"/>
    <col min="9219" max="9219" width="8" style="2069" customWidth="1"/>
    <col min="9220" max="9225" width="11.1640625" style="2069" customWidth="1"/>
    <col min="9226" max="9226" width="12.1640625" style="2069" customWidth="1"/>
    <col min="9227" max="9227" width="7.6640625" style="2069" customWidth="1"/>
    <col min="9228" max="9229" width="10.33203125" style="2069" customWidth="1"/>
    <col min="9230" max="9230" width="10.1640625" style="2069" customWidth="1"/>
    <col min="9231" max="9232" width="6.83203125" style="2069" customWidth="1"/>
    <col min="9233" max="9472" width="12" style="2069"/>
    <col min="9473" max="9473" width="6.1640625" style="2069" customWidth="1"/>
    <col min="9474" max="9474" width="27" style="2069" customWidth="1"/>
    <col min="9475" max="9475" width="8" style="2069" customWidth="1"/>
    <col min="9476" max="9481" width="11.1640625" style="2069" customWidth="1"/>
    <col min="9482" max="9482" width="12.1640625" style="2069" customWidth="1"/>
    <col min="9483" max="9483" width="7.6640625" style="2069" customWidth="1"/>
    <col min="9484" max="9485" width="10.33203125" style="2069" customWidth="1"/>
    <col min="9486" max="9486" width="10.1640625" style="2069" customWidth="1"/>
    <col min="9487" max="9488" width="6.83203125" style="2069" customWidth="1"/>
    <col min="9489" max="9728" width="12" style="2069"/>
    <col min="9729" max="9729" width="6.1640625" style="2069" customWidth="1"/>
    <col min="9730" max="9730" width="27" style="2069" customWidth="1"/>
    <col min="9731" max="9731" width="8" style="2069" customWidth="1"/>
    <col min="9732" max="9737" width="11.1640625" style="2069" customWidth="1"/>
    <col min="9738" max="9738" width="12.1640625" style="2069" customWidth="1"/>
    <col min="9739" max="9739" width="7.6640625" style="2069" customWidth="1"/>
    <col min="9740" max="9741" width="10.33203125" style="2069" customWidth="1"/>
    <col min="9742" max="9742" width="10.1640625" style="2069" customWidth="1"/>
    <col min="9743" max="9744" width="6.83203125" style="2069" customWidth="1"/>
    <col min="9745" max="9984" width="12" style="2069"/>
    <col min="9985" max="9985" width="6.1640625" style="2069" customWidth="1"/>
    <col min="9986" max="9986" width="27" style="2069" customWidth="1"/>
    <col min="9987" max="9987" width="8" style="2069" customWidth="1"/>
    <col min="9988" max="9993" width="11.1640625" style="2069" customWidth="1"/>
    <col min="9994" max="9994" width="12.1640625" style="2069" customWidth="1"/>
    <col min="9995" max="9995" width="7.6640625" style="2069" customWidth="1"/>
    <col min="9996" max="9997" width="10.33203125" style="2069" customWidth="1"/>
    <col min="9998" max="9998" width="10.1640625" style="2069" customWidth="1"/>
    <col min="9999" max="10000" width="6.83203125" style="2069" customWidth="1"/>
    <col min="10001" max="10240" width="12" style="2069"/>
    <col min="10241" max="10241" width="6.1640625" style="2069" customWidth="1"/>
    <col min="10242" max="10242" width="27" style="2069" customWidth="1"/>
    <col min="10243" max="10243" width="8" style="2069" customWidth="1"/>
    <col min="10244" max="10249" width="11.1640625" style="2069" customWidth="1"/>
    <col min="10250" max="10250" width="12.1640625" style="2069" customWidth="1"/>
    <col min="10251" max="10251" width="7.6640625" style="2069" customWidth="1"/>
    <col min="10252" max="10253" width="10.33203125" style="2069" customWidth="1"/>
    <col min="10254" max="10254" width="10.1640625" style="2069" customWidth="1"/>
    <col min="10255" max="10256" width="6.83203125" style="2069" customWidth="1"/>
    <col min="10257" max="10496" width="12" style="2069"/>
    <col min="10497" max="10497" width="6.1640625" style="2069" customWidth="1"/>
    <col min="10498" max="10498" width="27" style="2069" customWidth="1"/>
    <col min="10499" max="10499" width="8" style="2069" customWidth="1"/>
    <col min="10500" max="10505" width="11.1640625" style="2069" customWidth="1"/>
    <col min="10506" max="10506" width="12.1640625" style="2069" customWidth="1"/>
    <col min="10507" max="10507" width="7.6640625" style="2069" customWidth="1"/>
    <col min="10508" max="10509" width="10.33203125" style="2069" customWidth="1"/>
    <col min="10510" max="10510" width="10.1640625" style="2069" customWidth="1"/>
    <col min="10511" max="10512" width="6.83203125" style="2069" customWidth="1"/>
    <col min="10513" max="10752" width="12" style="2069"/>
    <col min="10753" max="10753" width="6.1640625" style="2069" customWidth="1"/>
    <col min="10754" max="10754" width="27" style="2069" customWidth="1"/>
    <col min="10755" max="10755" width="8" style="2069" customWidth="1"/>
    <col min="10756" max="10761" width="11.1640625" style="2069" customWidth="1"/>
    <col min="10762" max="10762" width="12.1640625" style="2069" customWidth="1"/>
    <col min="10763" max="10763" width="7.6640625" style="2069" customWidth="1"/>
    <col min="10764" max="10765" width="10.33203125" style="2069" customWidth="1"/>
    <col min="10766" max="10766" width="10.1640625" style="2069" customWidth="1"/>
    <col min="10767" max="10768" width="6.83203125" style="2069" customWidth="1"/>
    <col min="10769" max="11008" width="12" style="2069"/>
    <col min="11009" max="11009" width="6.1640625" style="2069" customWidth="1"/>
    <col min="11010" max="11010" width="27" style="2069" customWidth="1"/>
    <col min="11011" max="11011" width="8" style="2069" customWidth="1"/>
    <col min="11012" max="11017" width="11.1640625" style="2069" customWidth="1"/>
    <col min="11018" max="11018" width="12.1640625" style="2069" customWidth="1"/>
    <col min="11019" max="11019" width="7.6640625" style="2069" customWidth="1"/>
    <col min="11020" max="11021" width="10.33203125" style="2069" customWidth="1"/>
    <col min="11022" max="11022" width="10.1640625" style="2069" customWidth="1"/>
    <col min="11023" max="11024" width="6.83203125" style="2069" customWidth="1"/>
    <col min="11025" max="11264" width="12" style="2069"/>
    <col min="11265" max="11265" width="6.1640625" style="2069" customWidth="1"/>
    <col min="11266" max="11266" width="27" style="2069" customWidth="1"/>
    <col min="11267" max="11267" width="8" style="2069" customWidth="1"/>
    <col min="11268" max="11273" width="11.1640625" style="2069" customWidth="1"/>
    <col min="11274" max="11274" width="12.1640625" style="2069" customWidth="1"/>
    <col min="11275" max="11275" width="7.6640625" style="2069" customWidth="1"/>
    <col min="11276" max="11277" width="10.33203125" style="2069" customWidth="1"/>
    <col min="11278" max="11278" width="10.1640625" style="2069" customWidth="1"/>
    <col min="11279" max="11280" width="6.83203125" style="2069" customWidth="1"/>
    <col min="11281" max="11520" width="12" style="2069"/>
    <col min="11521" max="11521" width="6.1640625" style="2069" customWidth="1"/>
    <col min="11522" max="11522" width="27" style="2069" customWidth="1"/>
    <col min="11523" max="11523" width="8" style="2069" customWidth="1"/>
    <col min="11524" max="11529" width="11.1640625" style="2069" customWidth="1"/>
    <col min="11530" max="11530" width="12.1640625" style="2069" customWidth="1"/>
    <col min="11531" max="11531" width="7.6640625" style="2069" customWidth="1"/>
    <col min="11532" max="11533" width="10.33203125" style="2069" customWidth="1"/>
    <col min="11534" max="11534" width="10.1640625" style="2069" customWidth="1"/>
    <col min="11535" max="11536" width="6.83203125" style="2069" customWidth="1"/>
    <col min="11537" max="11776" width="12" style="2069"/>
    <col min="11777" max="11777" width="6.1640625" style="2069" customWidth="1"/>
    <col min="11778" max="11778" width="27" style="2069" customWidth="1"/>
    <col min="11779" max="11779" width="8" style="2069" customWidth="1"/>
    <col min="11780" max="11785" width="11.1640625" style="2069" customWidth="1"/>
    <col min="11786" max="11786" width="12.1640625" style="2069" customWidth="1"/>
    <col min="11787" max="11787" width="7.6640625" style="2069" customWidth="1"/>
    <col min="11788" max="11789" width="10.33203125" style="2069" customWidth="1"/>
    <col min="11790" max="11790" width="10.1640625" style="2069" customWidth="1"/>
    <col min="11791" max="11792" width="6.83203125" style="2069" customWidth="1"/>
    <col min="11793" max="12032" width="12" style="2069"/>
    <col min="12033" max="12033" width="6.1640625" style="2069" customWidth="1"/>
    <col min="12034" max="12034" width="27" style="2069" customWidth="1"/>
    <col min="12035" max="12035" width="8" style="2069" customWidth="1"/>
    <col min="12036" max="12041" width="11.1640625" style="2069" customWidth="1"/>
    <col min="12042" max="12042" width="12.1640625" style="2069" customWidth="1"/>
    <col min="12043" max="12043" width="7.6640625" style="2069" customWidth="1"/>
    <col min="12044" max="12045" width="10.33203125" style="2069" customWidth="1"/>
    <col min="12046" max="12046" width="10.1640625" style="2069" customWidth="1"/>
    <col min="12047" max="12048" width="6.83203125" style="2069" customWidth="1"/>
    <col min="12049" max="12288" width="12" style="2069"/>
    <col min="12289" max="12289" width="6.1640625" style="2069" customWidth="1"/>
    <col min="12290" max="12290" width="27" style="2069" customWidth="1"/>
    <col min="12291" max="12291" width="8" style="2069" customWidth="1"/>
    <col min="12292" max="12297" width="11.1640625" style="2069" customWidth="1"/>
    <col min="12298" max="12298" width="12.1640625" style="2069" customWidth="1"/>
    <col min="12299" max="12299" width="7.6640625" style="2069" customWidth="1"/>
    <col min="12300" max="12301" width="10.33203125" style="2069" customWidth="1"/>
    <col min="12302" max="12302" width="10.1640625" style="2069" customWidth="1"/>
    <col min="12303" max="12304" width="6.83203125" style="2069" customWidth="1"/>
    <col min="12305" max="12544" width="12" style="2069"/>
    <col min="12545" max="12545" width="6.1640625" style="2069" customWidth="1"/>
    <col min="12546" max="12546" width="27" style="2069" customWidth="1"/>
    <col min="12547" max="12547" width="8" style="2069" customWidth="1"/>
    <col min="12548" max="12553" width="11.1640625" style="2069" customWidth="1"/>
    <col min="12554" max="12554" width="12.1640625" style="2069" customWidth="1"/>
    <col min="12555" max="12555" width="7.6640625" style="2069" customWidth="1"/>
    <col min="12556" max="12557" width="10.33203125" style="2069" customWidth="1"/>
    <col min="12558" max="12558" width="10.1640625" style="2069" customWidth="1"/>
    <col min="12559" max="12560" width="6.83203125" style="2069" customWidth="1"/>
    <col min="12561" max="12800" width="12" style="2069"/>
    <col min="12801" max="12801" width="6.1640625" style="2069" customWidth="1"/>
    <col min="12802" max="12802" width="27" style="2069" customWidth="1"/>
    <col min="12803" max="12803" width="8" style="2069" customWidth="1"/>
    <col min="12804" max="12809" width="11.1640625" style="2069" customWidth="1"/>
    <col min="12810" max="12810" width="12.1640625" style="2069" customWidth="1"/>
    <col min="12811" max="12811" width="7.6640625" style="2069" customWidth="1"/>
    <col min="12812" max="12813" width="10.33203125" style="2069" customWidth="1"/>
    <col min="12814" max="12814" width="10.1640625" style="2069" customWidth="1"/>
    <col min="12815" max="12816" width="6.83203125" style="2069" customWidth="1"/>
    <col min="12817" max="13056" width="12" style="2069"/>
    <col min="13057" max="13057" width="6.1640625" style="2069" customWidth="1"/>
    <col min="13058" max="13058" width="27" style="2069" customWidth="1"/>
    <col min="13059" max="13059" width="8" style="2069" customWidth="1"/>
    <col min="13060" max="13065" width="11.1640625" style="2069" customWidth="1"/>
    <col min="13066" max="13066" width="12.1640625" style="2069" customWidth="1"/>
    <col min="13067" max="13067" width="7.6640625" style="2069" customWidth="1"/>
    <col min="13068" max="13069" width="10.33203125" style="2069" customWidth="1"/>
    <col min="13070" max="13070" width="10.1640625" style="2069" customWidth="1"/>
    <col min="13071" max="13072" width="6.83203125" style="2069" customWidth="1"/>
    <col min="13073" max="13312" width="12" style="2069"/>
    <col min="13313" max="13313" width="6.1640625" style="2069" customWidth="1"/>
    <col min="13314" max="13314" width="27" style="2069" customWidth="1"/>
    <col min="13315" max="13315" width="8" style="2069" customWidth="1"/>
    <col min="13316" max="13321" width="11.1640625" style="2069" customWidth="1"/>
    <col min="13322" max="13322" width="12.1640625" style="2069" customWidth="1"/>
    <col min="13323" max="13323" width="7.6640625" style="2069" customWidth="1"/>
    <col min="13324" max="13325" width="10.33203125" style="2069" customWidth="1"/>
    <col min="13326" max="13326" width="10.1640625" style="2069" customWidth="1"/>
    <col min="13327" max="13328" width="6.83203125" style="2069" customWidth="1"/>
    <col min="13329" max="13568" width="12" style="2069"/>
    <col min="13569" max="13569" width="6.1640625" style="2069" customWidth="1"/>
    <col min="13570" max="13570" width="27" style="2069" customWidth="1"/>
    <col min="13571" max="13571" width="8" style="2069" customWidth="1"/>
    <col min="13572" max="13577" width="11.1640625" style="2069" customWidth="1"/>
    <col min="13578" max="13578" width="12.1640625" style="2069" customWidth="1"/>
    <col min="13579" max="13579" width="7.6640625" style="2069" customWidth="1"/>
    <col min="13580" max="13581" width="10.33203125" style="2069" customWidth="1"/>
    <col min="13582" max="13582" width="10.1640625" style="2069" customWidth="1"/>
    <col min="13583" max="13584" width="6.83203125" style="2069" customWidth="1"/>
    <col min="13585" max="13824" width="12" style="2069"/>
    <col min="13825" max="13825" width="6.1640625" style="2069" customWidth="1"/>
    <col min="13826" max="13826" width="27" style="2069" customWidth="1"/>
    <col min="13827" max="13827" width="8" style="2069" customWidth="1"/>
    <col min="13828" max="13833" width="11.1640625" style="2069" customWidth="1"/>
    <col min="13834" max="13834" width="12.1640625" style="2069" customWidth="1"/>
    <col min="13835" max="13835" width="7.6640625" style="2069" customWidth="1"/>
    <col min="13836" max="13837" width="10.33203125" style="2069" customWidth="1"/>
    <col min="13838" max="13838" width="10.1640625" style="2069" customWidth="1"/>
    <col min="13839" max="13840" width="6.83203125" style="2069" customWidth="1"/>
    <col min="13841" max="14080" width="12" style="2069"/>
    <col min="14081" max="14081" width="6.1640625" style="2069" customWidth="1"/>
    <col min="14082" max="14082" width="27" style="2069" customWidth="1"/>
    <col min="14083" max="14083" width="8" style="2069" customWidth="1"/>
    <col min="14084" max="14089" width="11.1640625" style="2069" customWidth="1"/>
    <col min="14090" max="14090" width="12.1640625" style="2069" customWidth="1"/>
    <col min="14091" max="14091" width="7.6640625" style="2069" customWidth="1"/>
    <col min="14092" max="14093" width="10.33203125" style="2069" customWidth="1"/>
    <col min="14094" max="14094" width="10.1640625" style="2069" customWidth="1"/>
    <col min="14095" max="14096" width="6.83203125" style="2069" customWidth="1"/>
    <col min="14097" max="14336" width="12" style="2069"/>
    <col min="14337" max="14337" width="6.1640625" style="2069" customWidth="1"/>
    <col min="14338" max="14338" width="27" style="2069" customWidth="1"/>
    <col min="14339" max="14339" width="8" style="2069" customWidth="1"/>
    <col min="14340" max="14345" width="11.1640625" style="2069" customWidth="1"/>
    <col min="14346" max="14346" width="12.1640625" style="2069" customWidth="1"/>
    <col min="14347" max="14347" width="7.6640625" style="2069" customWidth="1"/>
    <col min="14348" max="14349" width="10.33203125" style="2069" customWidth="1"/>
    <col min="14350" max="14350" width="10.1640625" style="2069" customWidth="1"/>
    <col min="14351" max="14352" width="6.83203125" style="2069" customWidth="1"/>
    <col min="14353" max="14592" width="12" style="2069"/>
    <col min="14593" max="14593" width="6.1640625" style="2069" customWidth="1"/>
    <col min="14594" max="14594" width="27" style="2069" customWidth="1"/>
    <col min="14595" max="14595" width="8" style="2069" customWidth="1"/>
    <col min="14596" max="14601" width="11.1640625" style="2069" customWidth="1"/>
    <col min="14602" max="14602" width="12.1640625" style="2069" customWidth="1"/>
    <col min="14603" max="14603" width="7.6640625" style="2069" customWidth="1"/>
    <col min="14604" max="14605" width="10.33203125" style="2069" customWidth="1"/>
    <col min="14606" max="14606" width="10.1640625" style="2069" customWidth="1"/>
    <col min="14607" max="14608" width="6.83203125" style="2069" customWidth="1"/>
    <col min="14609" max="14848" width="12" style="2069"/>
    <col min="14849" max="14849" width="6.1640625" style="2069" customWidth="1"/>
    <col min="14850" max="14850" width="27" style="2069" customWidth="1"/>
    <col min="14851" max="14851" width="8" style="2069" customWidth="1"/>
    <col min="14852" max="14857" width="11.1640625" style="2069" customWidth="1"/>
    <col min="14858" max="14858" width="12.1640625" style="2069" customWidth="1"/>
    <col min="14859" max="14859" width="7.6640625" style="2069" customWidth="1"/>
    <col min="14860" max="14861" width="10.33203125" style="2069" customWidth="1"/>
    <col min="14862" max="14862" width="10.1640625" style="2069" customWidth="1"/>
    <col min="14863" max="14864" width="6.83203125" style="2069" customWidth="1"/>
    <col min="14865" max="15104" width="12" style="2069"/>
    <col min="15105" max="15105" width="6.1640625" style="2069" customWidth="1"/>
    <col min="15106" max="15106" width="27" style="2069" customWidth="1"/>
    <col min="15107" max="15107" width="8" style="2069" customWidth="1"/>
    <col min="15108" max="15113" width="11.1640625" style="2069" customWidth="1"/>
    <col min="15114" max="15114" width="12.1640625" style="2069" customWidth="1"/>
    <col min="15115" max="15115" width="7.6640625" style="2069" customWidth="1"/>
    <col min="15116" max="15117" width="10.33203125" style="2069" customWidth="1"/>
    <col min="15118" max="15118" width="10.1640625" style="2069" customWidth="1"/>
    <col min="15119" max="15120" width="6.83203125" style="2069" customWidth="1"/>
    <col min="15121" max="15360" width="12" style="2069"/>
    <col min="15361" max="15361" width="6.1640625" style="2069" customWidth="1"/>
    <col min="15362" max="15362" width="27" style="2069" customWidth="1"/>
    <col min="15363" max="15363" width="8" style="2069" customWidth="1"/>
    <col min="15364" max="15369" width="11.1640625" style="2069" customWidth="1"/>
    <col min="15370" max="15370" width="12.1640625" style="2069" customWidth="1"/>
    <col min="15371" max="15371" width="7.6640625" style="2069" customWidth="1"/>
    <col min="15372" max="15373" width="10.33203125" style="2069" customWidth="1"/>
    <col min="15374" max="15374" width="10.1640625" style="2069" customWidth="1"/>
    <col min="15375" max="15376" width="6.83203125" style="2069" customWidth="1"/>
    <col min="15377" max="15616" width="12" style="2069"/>
    <col min="15617" max="15617" width="6.1640625" style="2069" customWidth="1"/>
    <col min="15618" max="15618" width="27" style="2069" customWidth="1"/>
    <col min="15619" max="15619" width="8" style="2069" customWidth="1"/>
    <col min="15620" max="15625" width="11.1640625" style="2069" customWidth="1"/>
    <col min="15626" max="15626" width="12.1640625" style="2069" customWidth="1"/>
    <col min="15627" max="15627" width="7.6640625" style="2069" customWidth="1"/>
    <col min="15628" max="15629" width="10.33203125" style="2069" customWidth="1"/>
    <col min="15630" max="15630" width="10.1640625" style="2069" customWidth="1"/>
    <col min="15631" max="15632" width="6.83203125" style="2069" customWidth="1"/>
    <col min="15633" max="15872" width="12" style="2069"/>
    <col min="15873" max="15873" width="6.1640625" style="2069" customWidth="1"/>
    <col min="15874" max="15874" width="27" style="2069" customWidth="1"/>
    <col min="15875" max="15875" width="8" style="2069" customWidth="1"/>
    <col min="15876" max="15881" width="11.1640625" style="2069" customWidth="1"/>
    <col min="15882" max="15882" width="12.1640625" style="2069" customWidth="1"/>
    <col min="15883" max="15883" width="7.6640625" style="2069" customWidth="1"/>
    <col min="15884" max="15885" width="10.33203125" style="2069" customWidth="1"/>
    <col min="15886" max="15886" width="10.1640625" style="2069" customWidth="1"/>
    <col min="15887" max="15888" width="6.83203125" style="2069" customWidth="1"/>
    <col min="15889" max="16128" width="12" style="2069"/>
    <col min="16129" max="16129" width="6.1640625" style="2069" customWidth="1"/>
    <col min="16130" max="16130" width="27" style="2069" customWidth="1"/>
    <col min="16131" max="16131" width="8" style="2069" customWidth="1"/>
    <col min="16132" max="16137" width="11.1640625" style="2069" customWidth="1"/>
    <col min="16138" max="16138" width="12.1640625" style="2069" customWidth="1"/>
    <col min="16139" max="16139" width="7.6640625" style="2069" customWidth="1"/>
    <col min="16140" max="16141" width="10.33203125" style="2069" customWidth="1"/>
    <col min="16142" max="16142" width="10.1640625" style="2069" customWidth="1"/>
    <col min="16143" max="16144" width="6.83203125" style="2069" customWidth="1"/>
    <col min="16145" max="16384" width="12" style="2069"/>
  </cols>
  <sheetData>
    <row r="1" spans="1:19" ht="23.25" customHeight="1">
      <c r="A1" s="2068" t="s">
        <v>1036</v>
      </c>
      <c r="B1" s="2068"/>
      <c r="C1" s="2068"/>
      <c r="D1" s="2068"/>
      <c r="E1" s="2068"/>
      <c r="F1" s="2068"/>
      <c r="G1" s="2068"/>
      <c r="H1" s="2068"/>
      <c r="I1" s="2068"/>
      <c r="J1" s="2068"/>
      <c r="K1" s="2068"/>
      <c r="L1" s="2068"/>
      <c r="M1" s="2068"/>
      <c r="N1" s="2068"/>
      <c r="O1" s="2068"/>
      <c r="P1" s="2068"/>
    </row>
    <row r="2" spans="1:19" ht="30" customHeight="1">
      <c r="B2" s="2071" t="s">
        <v>1037</v>
      </c>
      <c r="C2" s="2071"/>
      <c r="D2" s="2072" t="s">
        <v>1038</v>
      </c>
      <c r="E2" s="2072"/>
      <c r="F2" s="2072"/>
      <c r="G2" s="2072"/>
      <c r="H2" s="2072"/>
      <c r="I2" s="2072"/>
      <c r="J2" s="2072"/>
      <c r="K2" s="2072"/>
      <c r="L2" s="2072"/>
      <c r="M2" s="2072"/>
      <c r="N2" s="2072"/>
      <c r="O2" s="2072"/>
      <c r="P2" s="2072"/>
    </row>
    <row r="3" spans="1:19">
      <c r="B3" s="2071" t="s">
        <v>1039</v>
      </c>
      <c r="C3" s="2071"/>
      <c r="D3" s="2073" t="s">
        <v>1040</v>
      </c>
      <c r="E3" s="2074"/>
      <c r="F3" s="2074"/>
      <c r="G3" s="2074"/>
      <c r="H3" s="2074"/>
      <c r="I3" s="2074"/>
      <c r="J3" s="2074"/>
      <c r="K3" s="2074"/>
      <c r="L3" s="2074"/>
      <c r="M3" s="2074"/>
      <c r="N3" s="2074"/>
      <c r="O3" s="2074"/>
      <c r="P3" s="2074"/>
    </row>
    <row r="4" spans="1:19">
      <c r="B4" s="2071" t="s">
        <v>901</v>
      </c>
      <c r="C4" s="2071"/>
      <c r="D4" s="2073" t="s">
        <v>410</v>
      </c>
      <c r="E4" s="2074"/>
      <c r="F4" s="2074"/>
      <c r="G4" s="2074"/>
      <c r="H4" s="2074"/>
      <c r="I4" s="2074"/>
      <c r="J4" s="2074"/>
      <c r="K4" s="2074"/>
      <c r="L4" s="2074"/>
      <c r="M4" s="2074"/>
      <c r="N4" s="2074"/>
      <c r="O4" s="2074"/>
      <c r="P4" s="2074"/>
    </row>
    <row r="5" spans="1:19">
      <c r="B5" s="2071" t="s">
        <v>1041</v>
      </c>
      <c r="C5" s="2071"/>
      <c r="D5" s="2073" t="s">
        <v>544</v>
      </c>
      <c r="E5" s="2074"/>
      <c r="F5" s="2074"/>
      <c r="G5" s="2074"/>
      <c r="H5" s="2074"/>
      <c r="I5" s="2074"/>
      <c r="J5" s="2074"/>
      <c r="K5" s="2074"/>
      <c r="L5" s="2074"/>
      <c r="M5" s="2074"/>
      <c r="N5" s="2074"/>
      <c r="O5" s="2074"/>
      <c r="P5" s="2074"/>
    </row>
    <row r="6" spans="1:19" ht="7.5" customHeight="1"/>
    <row r="7" spans="1:19" ht="38.25" customHeight="1">
      <c r="A7" s="2096" t="s">
        <v>1042</v>
      </c>
      <c r="B7" s="2096" t="s">
        <v>1043</v>
      </c>
      <c r="C7" s="2096" t="s">
        <v>1044</v>
      </c>
      <c r="D7" s="2096" t="s">
        <v>1045</v>
      </c>
      <c r="E7" s="2096"/>
      <c r="F7" s="2096" t="s">
        <v>596</v>
      </c>
      <c r="G7" s="2096"/>
      <c r="H7" s="2096"/>
      <c r="I7" s="2096" t="s">
        <v>597</v>
      </c>
      <c r="J7" s="2096"/>
      <c r="K7" s="2097" t="s">
        <v>1046</v>
      </c>
      <c r="L7" s="2096" t="s">
        <v>779</v>
      </c>
      <c r="M7" s="2096"/>
      <c r="N7" s="2096"/>
      <c r="O7" s="2097" t="s">
        <v>172</v>
      </c>
      <c r="P7" s="2097" t="s">
        <v>798</v>
      </c>
    </row>
    <row r="8" spans="1:19" ht="104.25" customHeight="1">
      <c r="A8" s="2096"/>
      <c r="B8" s="2096"/>
      <c r="C8" s="2096"/>
      <c r="D8" s="2098" t="s">
        <v>1047</v>
      </c>
      <c r="E8" s="2098" t="s">
        <v>1048</v>
      </c>
      <c r="F8" s="2098" t="s">
        <v>1049</v>
      </c>
      <c r="G8" s="2098" t="s">
        <v>1050</v>
      </c>
      <c r="H8" s="2098" t="s">
        <v>1051</v>
      </c>
      <c r="I8" s="2098" t="s">
        <v>759</v>
      </c>
      <c r="J8" s="2098" t="s">
        <v>1052</v>
      </c>
      <c r="K8" s="2097"/>
      <c r="L8" s="2098" t="s">
        <v>1053</v>
      </c>
      <c r="M8" s="2098" t="s">
        <v>1054</v>
      </c>
      <c r="N8" s="2098" t="s">
        <v>1055</v>
      </c>
      <c r="O8" s="2097"/>
      <c r="P8" s="2097"/>
    </row>
    <row r="9" spans="1:19" s="2078" customFormat="1" ht="18" customHeight="1">
      <c r="A9" s="2094">
        <v>1</v>
      </c>
      <c r="B9" s="2095" t="s">
        <v>1013</v>
      </c>
      <c r="C9" s="2094">
        <v>10</v>
      </c>
      <c r="D9" s="2094">
        <f>+C9</f>
        <v>10</v>
      </c>
      <c r="E9" s="2094">
        <f t="shared" ref="E9:K9" si="0">+D9</f>
        <v>10</v>
      </c>
      <c r="F9" s="2094">
        <f t="shared" si="0"/>
        <v>10</v>
      </c>
      <c r="G9" s="2094">
        <f t="shared" si="0"/>
        <v>10</v>
      </c>
      <c r="H9" s="2094">
        <f t="shared" si="0"/>
        <v>10</v>
      </c>
      <c r="I9" s="2094">
        <f t="shared" si="0"/>
        <v>10</v>
      </c>
      <c r="J9" s="2094">
        <f t="shared" si="0"/>
        <v>10</v>
      </c>
      <c r="K9" s="2094">
        <f t="shared" si="0"/>
        <v>10</v>
      </c>
      <c r="L9" s="2094">
        <f>+C9*3</f>
        <v>30</v>
      </c>
      <c r="M9" s="2094">
        <f>+D9*3</f>
        <v>30</v>
      </c>
      <c r="N9" s="2094">
        <f>+E9*3</f>
        <v>30</v>
      </c>
      <c r="O9" s="2094">
        <f>+C9</f>
        <v>10</v>
      </c>
      <c r="P9" s="2094">
        <f>+C9</f>
        <v>10</v>
      </c>
      <c r="Q9" s="2076"/>
      <c r="R9" s="2076"/>
      <c r="S9" s="2077"/>
    </row>
    <row r="10" spans="1:19" s="2078" customFormat="1" ht="18" customHeight="1">
      <c r="A10" s="2079">
        <f>1+A9</f>
        <v>2</v>
      </c>
      <c r="B10" s="2080" t="s">
        <v>1014</v>
      </c>
      <c r="C10" s="2079">
        <v>4</v>
      </c>
      <c r="D10" s="2079">
        <f t="shared" ref="D10:K20" si="1">+C10</f>
        <v>4</v>
      </c>
      <c r="E10" s="2079">
        <f t="shared" si="1"/>
        <v>4</v>
      </c>
      <c r="F10" s="2079">
        <f t="shared" si="1"/>
        <v>4</v>
      </c>
      <c r="G10" s="2079">
        <f t="shared" si="1"/>
        <v>4</v>
      </c>
      <c r="H10" s="2079">
        <f t="shared" si="1"/>
        <v>4</v>
      </c>
      <c r="I10" s="2079">
        <f t="shared" si="1"/>
        <v>4</v>
      </c>
      <c r="J10" s="2079">
        <f t="shared" si="1"/>
        <v>4</v>
      </c>
      <c r="K10" s="2079">
        <f t="shared" si="1"/>
        <v>4</v>
      </c>
      <c r="L10" s="2079">
        <f t="shared" ref="L10:N20" si="2">+C10*3</f>
        <v>12</v>
      </c>
      <c r="M10" s="2079">
        <f t="shared" si="2"/>
        <v>12</v>
      </c>
      <c r="N10" s="2079">
        <f t="shared" si="2"/>
        <v>12</v>
      </c>
      <c r="O10" s="2079">
        <f t="shared" ref="O10:O20" si="3">+C10</f>
        <v>4</v>
      </c>
      <c r="P10" s="2079">
        <f t="shared" ref="P10:P20" si="4">+C10</f>
        <v>4</v>
      </c>
      <c r="Q10" s="2076"/>
      <c r="R10" s="2076"/>
      <c r="S10" s="2077"/>
    </row>
    <row r="11" spans="1:19" s="2078" customFormat="1" ht="18" customHeight="1">
      <c r="A11" s="2079">
        <f t="shared" ref="A11:A20" si="5">1+A10</f>
        <v>3</v>
      </c>
      <c r="B11" s="2080" t="s">
        <v>1015</v>
      </c>
      <c r="C11" s="2079">
        <v>3</v>
      </c>
      <c r="D11" s="2079">
        <f t="shared" si="1"/>
        <v>3</v>
      </c>
      <c r="E11" s="2079">
        <f t="shared" si="1"/>
        <v>3</v>
      </c>
      <c r="F11" s="2079">
        <f t="shared" si="1"/>
        <v>3</v>
      </c>
      <c r="G11" s="2079">
        <f t="shared" si="1"/>
        <v>3</v>
      </c>
      <c r="H11" s="2079">
        <f t="shared" si="1"/>
        <v>3</v>
      </c>
      <c r="I11" s="2079">
        <f t="shared" si="1"/>
        <v>3</v>
      </c>
      <c r="J11" s="2079">
        <f t="shared" si="1"/>
        <v>3</v>
      </c>
      <c r="K11" s="2079">
        <f t="shared" si="1"/>
        <v>3</v>
      </c>
      <c r="L11" s="2079">
        <f t="shared" si="2"/>
        <v>9</v>
      </c>
      <c r="M11" s="2079">
        <f t="shared" si="2"/>
        <v>9</v>
      </c>
      <c r="N11" s="2079">
        <f t="shared" si="2"/>
        <v>9</v>
      </c>
      <c r="O11" s="2079">
        <f t="shared" si="3"/>
        <v>3</v>
      </c>
      <c r="P11" s="2079">
        <f t="shared" si="4"/>
        <v>3</v>
      </c>
      <c r="Q11" s="2076"/>
      <c r="R11" s="2076"/>
      <c r="S11" s="2077"/>
    </row>
    <row r="12" spans="1:19" s="2078" customFormat="1" ht="18" customHeight="1">
      <c r="A12" s="2079">
        <f t="shared" si="5"/>
        <v>4</v>
      </c>
      <c r="B12" s="2080" t="s">
        <v>1016</v>
      </c>
      <c r="C12" s="2079">
        <v>3</v>
      </c>
      <c r="D12" s="2079">
        <f t="shared" si="1"/>
        <v>3</v>
      </c>
      <c r="E12" s="2079">
        <f t="shared" si="1"/>
        <v>3</v>
      </c>
      <c r="F12" s="2079">
        <f t="shared" si="1"/>
        <v>3</v>
      </c>
      <c r="G12" s="2079">
        <f t="shared" si="1"/>
        <v>3</v>
      </c>
      <c r="H12" s="2079">
        <f t="shared" si="1"/>
        <v>3</v>
      </c>
      <c r="I12" s="2079">
        <f t="shared" si="1"/>
        <v>3</v>
      </c>
      <c r="J12" s="2079">
        <f t="shared" si="1"/>
        <v>3</v>
      </c>
      <c r="K12" s="2079">
        <f t="shared" si="1"/>
        <v>3</v>
      </c>
      <c r="L12" s="2079">
        <f t="shared" si="2"/>
        <v>9</v>
      </c>
      <c r="M12" s="2079">
        <f t="shared" si="2"/>
        <v>9</v>
      </c>
      <c r="N12" s="2079">
        <f t="shared" si="2"/>
        <v>9</v>
      </c>
      <c r="O12" s="2079">
        <f t="shared" si="3"/>
        <v>3</v>
      </c>
      <c r="P12" s="2079">
        <f t="shared" si="4"/>
        <v>3</v>
      </c>
      <c r="Q12" s="2076"/>
      <c r="R12" s="2076"/>
      <c r="S12" s="2077"/>
    </row>
    <row r="13" spans="1:19" s="2078" customFormat="1" ht="18" customHeight="1">
      <c r="A13" s="2079">
        <f t="shared" si="5"/>
        <v>5</v>
      </c>
      <c r="B13" s="2080" t="s">
        <v>1017</v>
      </c>
      <c r="C13" s="2079">
        <v>5</v>
      </c>
      <c r="D13" s="2079">
        <f t="shared" si="1"/>
        <v>5</v>
      </c>
      <c r="E13" s="2079">
        <f t="shared" si="1"/>
        <v>5</v>
      </c>
      <c r="F13" s="2079">
        <f t="shared" si="1"/>
        <v>5</v>
      </c>
      <c r="G13" s="2079">
        <f t="shared" si="1"/>
        <v>5</v>
      </c>
      <c r="H13" s="2079">
        <f t="shared" si="1"/>
        <v>5</v>
      </c>
      <c r="I13" s="2079">
        <f t="shared" si="1"/>
        <v>5</v>
      </c>
      <c r="J13" s="2079">
        <f t="shared" si="1"/>
        <v>5</v>
      </c>
      <c r="K13" s="2079">
        <f t="shared" si="1"/>
        <v>5</v>
      </c>
      <c r="L13" s="2079">
        <f t="shared" si="2"/>
        <v>15</v>
      </c>
      <c r="M13" s="2079">
        <f t="shared" si="2"/>
        <v>15</v>
      </c>
      <c r="N13" s="2079">
        <f t="shared" si="2"/>
        <v>15</v>
      </c>
      <c r="O13" s="2079">
        <f t="shared" si="3"/>
        <v>5</v>
      </c>
      <c r="P13" s="2079">
        <f t="shared" si="4"/>
        <v>5</v>
      </c>
      <c r="Q13" s="2076"/>
      <c r="R13" s="2076"/>
      <c r="S13" s="2077"/>
    </row>
    <row r="14" spans="1:19" s="2078" customFormat="1" ht="18" customHeight="1">
      <c r="A14" s="2079">
        <f t="shared" si="5"/>
        <v>6</v>
      </c>
      <c r="B14" s="2080" t="s">
        <v>1018</v>
      </c>
      <c r="C14" s="2079">
        <v>2</v>
      </c>
      <c r="D14" s="2079">
        <f t="shared" si="1"/>
        <v>2</v>
      </c>
      <c r="E14" s="2079">
        <f t="shared" si="1"/>
        <v>2</v>
      </c>
      <c r="F14" s="2079">
        <f t="shared" si="1"/>
        <v>2</v>
      </c>
      <c r="G14" s="2079">
        <f t="shared" si="1"/>
        <v>2</v>
      </c>
      <c r="H14" s="2079">
        <f t="shared" si="1"/>
        <v>2</v>
      </c>
      <c r="I14" s="2079">
        <f t="shared" si="1"/>
        <v>2</v>
      </c>
      <c r="J14" s="2079">
        <f t="shared" si="1"/>
        <v>2</v>
      </c>
      <c r="K14" s="2079">
        <f t="shared" si="1"/>
        <v>2</v>
      </c>
      <c r="L14" s="2079">
        <f t="shared" si="2"/>
        <v>6</v>
      </c>
      <c r="M14" s="2079">
        <f t="shared" si="2"/>
        <v>6</v>
      </c>
      <c r="N14" s="2079">
        <f t="shared" si="2"/>
        <v>6</v>
      </c>
      <c r="O14" s="2079">
        <f t="shared" si="3"/>
        <v>2</v>
      </c>
      <c r="P14" s="2079">
        <f t="shared" si="4"/>
        <v>2</v>
      </c>
      <c r="Q14" s="2076"/>
      <c r="R14" s="2076"/>
      <c r="S14" s="2077"/>
    </row>
    <row r="15" spans="1:19" s="2078" customFormat="1" ht="18" hidden="1" customHeight="1">
      <c r="A15" s="2081">
        <f t="shared" si="5"/>
        <v>7</v>
      </c>
      <c r="B15" s="2082" t="s">
        <v>1019</v>
      </c>
      <c r="C15" s="2083"/>
      <c r="D15" s="2084">
        <f t="shared" si="1"/>
        <v>0</v>
      </c>
      <c r="E15" s="2084">
        <f t="shared" si="1"/>
        <v>0</v>
      </c>
      <c r="F15" s="2084">
        <f t="shared" si="1"/>
        <v>0</v>
      </c>
      <c r="G15" s="2084">
        <f t="shared" si="1"/>
        <v>0</v>
      </c>
      <c r="H15" s="2084">
        <f t="shared" si="1"/>
        <v>0</v>
      </c>
      <c r="I15" s="2084">
        <f t="shared" si="1"/>
        <v>0</v>
      </c>
      <c r="J15" s="2084">
        <f t="shared" si="1"/>
        <v>0</v>
      </c>
      <c r="K15" s="2084">
        <f t="shared" si="1"/>
        <v>0</v>
      </c>
      <c r="L15" s="2084">
        <f t="shared" si="2"/>
        <v>0</v>
      </c>
      <c r="M15" s="2084">
        <f t="shared" si="2"/>
        <v>0</v>
      </c>
      <c r="N15" s="2084">
        <f t="shared" si="2"/>
        <v>0</v>
      </c>
      <c r="O15" s="2084">
        <f t="shared" si="3"/>
        <v>0</v>
      </c>
      <c r="P15" s="2084">
        <f t="shared" si="4"/>
        <v>0</v>
      </c>
      <c r="Q15" s="2076"/>
      <c r="R15" s="2076"/>
      <c r="S15" s="2077"/>
    </row>
    <row r="16" spans="1:19" s="2078" customFormat="1" ht="18" customHeight="1">
      <c r="A16" s="2079">
        <f>1+A15</f>
        <v>8</v>
      </c>
      <c r="B16" s="2080" t="s">
        <v>1020</v>
      </c>
      <c r="C16" s="2079">
        <v>3</v>
      </c>
      <c r="D16" s="2079">
        <f t="shared" si="1"/>
        <v>3</v>
      </c>
      <c r="E16" s="2079">
        <f t="shared" si="1"/>
        <v>3</v>
      </c>
      <c r="F16" s="2079">
        <f t="shared" si="1"/>
        <v>3</v>
      </c>
      <c r="G16" s="2079">
        <f t="shared" si="1"/>
        <v>3</v>
      </c>
      <c r="H16" s="2079">
        <f t="shared" si="1"/>
        <v>3</v>
      </c>
      <c r="I16" s="2079">
        <f t="shared" si="1"/>
        <v>3</v>
      </c>
      <c r="J16" s="2079">
        <f t="shared" si="1"/>
        <v>3</v>
      </c>
      <c r="K16" s="2079">
        <f t="shared" si="1"/>
        <v>3</v>
      </c>
      <c r="L16" s="2079">
        <f t="shared" si="2"/>
        <v>9</v>
      </c>
      <c r="M16" s="2079">
        <f t="shared" si="2"/>
        <v>9</v>
      </c>
      <c r="N16" s="2079">
        <f t="shared" si="2"/>
        <v>9</v>
      </c>
      <c r="O16" s="2079">
        <f t="shared" si="3"/>
        <v>3</v>
      </c>
      <c r="P16" s="2079">
        <f t="shared" si="4"/>
        <v>3</v>
      </c>
      <c r="Q16" s="2076"/>
      <c r="R16" s="2076"/>
      <c r="S16" s="2077"/>
    </row>
    <row r="17" spans="1:19" s="2078" customFormat="1" ht="18" customHeight="1">
      <c r="A17" s="2079">
        <f t="shared" si="5"/>
        <v>9</v>
      </c>
      <c r="B17" s="2080" t="s">
        <v>1021</v>
      </c>
      <c r="C17" s="2079">
        <v>6</v>
      </c>
      <c r="D17" s="2079">
        <f t="shared" si="1"/>
        <v>6</v>
      </c>
      <c r="E17" s="2079">
        <f t="shared" si="1"/>
        <v>6</v>
      </c>
      <c r="F17" s="2079">
        <f t="shared" si="1"/>
        <v>6</v>
      </c>
      <c r="G17" s="2079">
        <f t="shared" si="1"/>
        <v>6</v>
      </c>
      <c r="H17" s="2079">
        <f t="shared" si="1"/>
        <v>6</v>
      </c>
      <c r="I17" s="2079">
        <f t="shared" si="1"/>
        <v>6</v>
      </c>
      <c r="J17" s="2079">
        <f t="shared" si="1"/>
        <v>6</v>
      </c>
      <c r="K17" s="2079">
        <f t="shared" si="1"/>
        <v>6</v>
      </c>
      <c r="L17" s="2079">
        <f t="shared" si="2"/>
        <v>18</v>
      </c>
      <c r="M17" s="2079">
        <f t="shared" si="2"/>
        <v>18</v>
      </c>
      <c r="N17" s="2079">
        <f t="shared" si="2"/>
        <v>18</v>
      </c>
      <c r="O17" s="2079">
        <f t="shared" si="3"/>
        <v>6</v>
      </c>
      <c r="P17" s="2079">
        <f t="shared" si="4"/>
        <v>6</v>
      </c>
      <c r="Q17" s="2076"/>
      <c r="R17" s="2076"/>
      <c r="S17" s="2077"/>
    </row>
    <row r="18" spans="1:19" s="2078" customFormat="1" ht="18" customHeight="1">
      <c r="A18" s="2079">
        <f t="shared" si="5"/>
        <v>10</v>
      </c>
      <c r="B18" s="2080" t="s">
        <v>1022</v>
      </c>
      <c r="C18" s="2079">
        <v>1</v>
      </c>
      <c r="D18" s="2079">
        <f t="shared" si="1"/>
        <v>1</v>
      </c>
      <c r="E18" s="2079">
        <f t="shared" si="1"/>
        <v>1</v>
      </c>
      <c r="F18" s="2079">
        <f t="shared" si="1"/>
        <v>1</v>
      </c>
      <c r="G18" s="2079">
        <f t="shared" si="1"/>
        <v>1</v>
      </c>
      <c r="H18" s="2079">
        <f t="shared" si="1"/>
        <v>1</v>
      </c>
      <c r="I18" s="2079">
        <f t="shared" si="1"/>
        <v>1</v>
      </c>
      <c r="J18" s="2079">
        <f t="shared" si="1"/>
        <v>1</v>
      </c>
      <c r="K18" s="2079">
        <f t="shared" si="1"/>
        <v>1</v>
      </c>
      <c r="L18" s="2079">
        <f t="shared" si="2"/>
        <v>3</v>
      </c>
      <c r="M18" s="2079">
        <f t="shared" si="2"/>
        <v>3</v>
      </c>
      <c r="N18" s="2079">
        <f t="shared" si="2"/>
        <v>3</v>
      </c>
      <c r="O18" s="2079">
        <f t="shared" si="3"/>
        <v>1</v>
      </c>
      <c r="P18" s="2079">
        <f t="shared" si="4"/>
        <v>1</v>
      </c>
      <c r="Q18" s="2076"/>
      <c r="R18" s="2076"/>
      <c r="S18" s="2077"/>
    </row>
    <row r="19" spans="1:19" s="2078" customFormat="1" ht="18" hidden="1" customHeight="1">
      <c r="A19" s="2079">
        <f t="shared" si="5"/>
        <v>11</v>
      </c>
      <c r="B19" s="2080" t="s">
        <v>1023</v>
      </c>
      <c r="C19" s="2079">
        <v>0</v>
      </c>
      <c r="D19" s="2079">
        <f t="shared" si="1"/>
        <v>0</v>
      </c>
      <c r="E19" s="2079">
        <f t="shared" si="1"/>
        <v>0</v>
      </c>
      <c r="F19" s="2079">
        <f t="shared" si="1"/>
        <v>0</v>
      </c>
      <c r="G19" s="2079">
        <f t="shared" si="1"/>
        <v>0</v>
      </c>
      <c r="H19" s="2079">
        <f t="shared" si="1"/>
        <v>0</v>
      </c>
      <c r="I19" s="2079">
        <f t="shared" si="1"/>
        <v>0</v>
      </c>
      <c r="J19" s="2079">
        <f t="shared" si="1"/>
        <v>0</v>
      </c>
      <c r="K19" s="2079">
        <f t="shared" si="1"/>
        <v>0</v>
      </c>
      <c r="L19" s="2079">
        <f t="shared" si="2"/>
        <v>0</v>
      </c>
      <c r="M19" s="2079">
        <f t="shared" si="2"/>
        <v>0</v>
      </c>
      <c r="N19" s="2079">
        <f t="shared" si="2"/>
        <v>0</v>
      </c>
      <c r="O19" s="2079">
        <f t="shared" si="3"/>
        <v>0</v>
      </c>
      <c r="P19" s="2079">
        <f t="shared" si="4"/>
        <v>0</v>
      </c>
      <c r="Q19" s="2076"/>
      <c r="R19" s="2076"/>
      <c r="S19" s="2077"/>
    </row>
    <row r="20" spans="1:19" s="2078" customFormat="1" ht="18" hidden="1" customHeight="1">
      <c r="A20" s="2085">
        <f t="shared" si="5"/>
        <v>12</v>
      </c>
      <c r="B20" s="2086" t="s">
        <v>1024</v>
      </c>
      <c r="C20" s="2085">
        <v>0</v>
      </c>
      <c r="D20" s="2085">
        <f t="shared" si="1"/>
        <v>0</v>
      </c>
      <c r="E20" s="2085">
        <f t="shared" si="1"/>
        <v>0</v>
      </c>
      <c r="F20" s="2085">
        <f t="shared" si="1"/>
        <v>0</v>
      </c>
      <c r="G20" s="2085">
        <f t="shared" si="1"/>
        <v>0</v>
      </c>
      <c r="H20" s="2085">
        <f t="shared" si="1"/>
        <v>0</v>
      </c>
      <c r="I20" s="2085">
        <f t="shared" si="1"/>
        <v>0</v>
      </c>
      <c r="J20" s="2085">
        <f t="shared" si="1"/>
        <v>0</v>
      </c>
      <c r="K20" s="2085">
        <f t="shared" si="1"/>
        <v>0</v>
      </c>
      <c r="L20" s="2085">
        <f t="shared" si="2"/>
        <v>0</v>
      </c>
      <c r="M20" s="2085">
        <f t="shared" si="2"/>
        <v>0</v>
      </c>
      <c r="N20" s="2085">
        <f t="shared" si="2"/>
        <v>0</v>
      </c>
      <c r="O20" s="2085">
        <f t="shared" si="3"/>
        <v>0</v>
      </c>
      <c r="P20" s="2085">
        <f t="shared" si="4"/>
        <v>0</v>
      </c>
      <c r="Q20" s="2076"/>
      <c r="R20" s="2076"/>
      <c r="S20" s="2077"/>
    </row>
    <row r="21" spans="1:19" ht="6.75" customHeight="1">
      <c r="Q21" s="2076"/>
      <c r="R21" s="2076"/>
    </row>
    <row r="22" spans="1:19" ht="18" customHeight="1">
      <c r="B22" s="2087" t="s">
        <v>1056</v>
      </c>
      <c r="C22" s="2088">
        <f>SUM(C9:C21)</f>
        <v>37</v>
      </c>
      <c r="D22" s="2087">
        <f t="shared" ref="D22:P22" si="6">SUM(D9:D21)</f>
        <v>37</v>
      </c>
      <c r="E22" s="2087">
        <f t="shared" si="6"/>
        <v>37</v>
      </c>
      <c r="F22" s="2087">
        <f t="shared" si="6"/>
        <v>37</v>
      </c>
      <c r="G22" s="2087">
        <f t="shared" si="6"/>
        <v>37</v>
      </c>
      <c r="H22" s="2087">
        <f t="shared" si="6"/>
        <v>37</v>
      </c>
      <c r="I22" s="2087">
        <f t="shared" si="6"/>
        <v>37</v>
      </c>
      <c r="J22" s="2087">
        <f t="shared" si="6"/>
        <v>37</v>
      </c>
      <c r="K22" s="2087">
        <f t="shared" si="6"/>
        <v>37</v>
      </c>
      <c r="L22" s="2087">
        <f t="shared" si="6"/>
        <v>111</v>
      </c>
      <c r="M22" s="2087">
        <f t="shared" si="6"/>
        <v>111</v>
      </c>
      <c r="N22" s="2087">
        <f t="shared" si="6"/>
        <v>111</v>
      </c>
      <c r="O22" s="2087">
        <f t="shared" si="6"/>
        <v>37</v>
      </c>
      <c r="P22" s="2087">
        <f t="shared" si="6"/>
        <v>37</v>
      </c>
      <c r="Q22" s="2076"/>
      <c r="R22" s="2076"/>
    </row>
    <row r="25" spans="1:19">
      <c r="B25" s="2089"/>
      <c r="C25" s="2089"/>
      <c r="D25" s="2090"/>
      <c r="E25" s="2090"/>
      <c r="F25" s="2090"/>
      <c r="G25" s="2090"/>
      <c r="H25" s="2090"/>
      <c r="I25" s="2090"/>
      <c r="J25" s="2090"/>
      <c r="K25" s="2090"/>
      <c r="L25" s="2090"/>
      <c r="M25" s="2090"/>
      <c r="N25" s="2090"/>
      <c r="O25" s="2090"/>
      <c r="P25" s="2090"/>
    </row>
    <row r="26" spans="1:19">
      <c r="B26" s="2089"/>
      <c r="C26" s="2089"/>
      <c r="D26" s="2090"/>
      <c r="E26" s="2090"/>
      <c r="F26" s="2090"/>
      <c r="G26" s="2090"/>
      <c r="H26" s="2090"/>
      <c r="I26" s="2090"/>
      <c r="J26" s="2090"/>
      <c r="K26" s="2090"/>
      <c r="L26" s="2090"/>
      <c r="M26" s="2090"/>
      <c r="N26" s="2090"/>
      <c r="O26" s="2090"/>
      <c r="P26" s="2090"/>
    </row>
    <row r="27" spans="1:19">
      <c r="B27" s="2089"/>
      <c r="C27" s="2089"/>
      <c r="D27" s="2090"/>
      <c r="E27" s="2090"/>
      <c r="F27" s="2090"/>
      <c r="G27" s="2090"/>
      <c r="H27" s="2090"/>
      <c r="I27" s="2090"/>
      <c r="J27" s="2090"/>
      <c r="K27" s="2090"/>
      <c r="L27" s="2090"/>
      <c r="M27" s="2090"/>
      <c r="N27" s="2090"/>
      <c r="O27" s="2090"/>
      <c r="P27" s="2090"/>
    </row>
    <row r="28" spans="1:19">
      <c r="B28" s="2089"/>
      <c r="C28" s="2089"/>
      <c r="D28" s="2090"/>
      <c r="E28" s="2090"/>
      <c r="F28" s="2090"/>
      <c r="G28" s="2090"/>
      <c r="H28" s="2090"/>
      <c r="I28" s="2090"/>
      <c r="J28" s="2090"/>
      <c r="K28" s="2090"/>
      <c r="L28" s="2090"/>
      <c r="M28" s="2090"/>
      <c r="N28" s="2090"/>
      <c r="O28" s="2090"/>
      <c r="P28" s="2090"/>
    </row>
    <row r="29" spans="1:19">
      <c r="B29" s="2089"/>
      <c r="C29" s="2089"/>
      <c r="D29" s="2090"/>
      <c r="E29" s="2090"/>
      <c r="F29" s="2090"/>
      <c r="G29" s="2090"/>
      <c r="H29" s="2090"/>
      <c r="I29" s="2090"/>
      <c r="J29" s="2090"/>
      <c r="K29" s="2090"/>
      <c r="L29" s="2090"/>
      <c r="M29" s="2090"/>
      <c r="N29" s="2090"/>
      <c r="O29" s="2090"/>
      <c r="P29" s="2090"/>
    </row>
    <row r="30" spans="1:19">
      <c r="B30" s="2089"/>
      <c r="C30" s="2089"/>
      <c r="D30" s="2090"/>
      <c r="E30" s="2090"/>
      <c r="F30" s="2090"/>
      <c r="G30" s="2090"/>
      <c r="H30" s="2090"/>
      <c r="I30" s="2090"/>
      <c r="J30" s="2090"/>
      <c r="K30" s="2090"/>
      <c r="L30" s="2090"/>
      <c r="M30" s="2090"/>
      <c r="N30" s="2090"/>
      <c r="O30" s="2090"/>
      <c r="P30" s="2090"/>
    </row>
    <row r="31" spans="1:19">
      <c r="B31" s="2089"/>
      <c r="C31" s="2089"/>
      <c r="D31" s="2090"/>
      <c r="E31" s="2090"/>
      <c r="F31" s="2090"/>
      <c r="G31" s="2090"/>
      <c r="H31" s="2090"/>
      <c r="I31" s="2090"/>
      <c r="J31" s="2090"/>
      <c r="K31" s="2090"/>
      <c r="L31" s="2090"/>
      <c r="M31" s="2090"/>
      <c r="N31" s="2090"/>
      <c r="O31" s="2090"/>
      <c r="P31" s="2090"/>
    </row>
    <row r="32" spans="1:19">
      <c r="B32" s="2089"/>
      <c r="C32" s="2089"/>
      <c r="D32" s="2090"/>
      <c r="E32" s="2090"/>
      <c r="F32" s="2090"/>
      <c r="G32" s="2090"/>
      <c r="H32" s="2090"/>
      <c r="I32" s="2090"/>
      <c r="J32" s="2090"/>
      <c r="K32" s="2090"/>
      <c r="L32" s="2090"/>
      <c r="M32" s="2090"/>
      <c r="N32" s="2090"/>
      <c r="O32" s="2090"/>
      <c r="P32" s="2090"/>
    </row>
    <row r="33" spans="2:16">
      <c r="B33" s="2089"/>
      <c r="C33" s="2089"/>
      <c r="D33" s="2090"/>
      <c r="E33" s="2090"/>
      <c r="F33" s="2090"/>
      <c r="G33" s="2090"/>
      <c r="H33" s="2090"/>
      <c r="I33" s="2090"/>
      <c r="J33" s="2090"/>
      <c r="K33" s="2090"/>
      <c r="L33" s="2090"/>
      <c r="M33" s="2090"/>
      <c r="N33" s="2090"/>
      <c r="O33" s="2090"/>
      <c r="P33" s="2090"/>
    </row>
    <row r="34" spans="2:16">
      <c r="B34" s="2089"/>
      <c r="C34" s="2089"/>
      <c r="D34" s="2090"/>
      <c r="E34" s="2090"/>
      <c r="F34" s="2090"/>
      <c r="G34" s="2090"/>
      <c r="H34" s="2090"/>
      <c r="I34" s="2090"/>
      <c r="J34" s="2090"/>
      <c r="K34" s="2090"/>
      <c r="L34" s="2090"/>
      <c r="M34" s="2090"/>
      <c r="N34" s="2090"/>
      <c r="O34" s="2090"/>
      <c r="P34" s="2090"/>
    </row>
    <row r="35" spans="2:16">
      <c r="B35" s="2089"/>
      <c r="C35" s="2089"/>
      <c r="D35" s="2090"/>
      <c r="E35" s="2090"/>
      <c r="F35" s="2090"/>
      <c r="G35" s="2090"/>
      <c r="H35" s="2090"/>
      <c r="I35" s="2090"/>
      <c r="J35" s="2090"/>
      <c r="K35" s="2090"/>
      <c r="L35" s="2090"/>
      <c r="M35" s="2090"/>
      <c r="N35" s="2090"/>
      <c r="O35" s="2090"/>
      <c r="P35" s="2090"/>
    </row>
    <row r="36" spans="2:16">
      <c r="B36" s="2089"/>
      <c r="C36" s="2089"/>
      <c r="D36" s="2090"/>
      <c r="E36" s="2090"/>
      <c r="F36" s="2090"/>
      <c r="G36" s="2090"/>
      <c r="H36" s="2090"/>
      <c r="I36" s="2090"/>
      <c r="J36" s="2090"/>
      <c r="K36" s="2090"/>
      <c r="L36" s="2090"/>
      <c r="M36" s="2090"/>
      <c r="N36" s="2090"/>
      <c r="O36" s="2090"/>
      <c r="P36" s="2090"/>
    </row>
    <row r="37" spans="2:16">
      <c r="B37" s="2089"/>
      <c r="C37" s="2089"/>
      <c r="D37" s="2090"/>
      <c r="E37" s="2090"/>
      <c r="F37" s="2090"/>
      <c r="G37" s="2090"/>
      <c r="H37" s="2090"/>
      <c r="I37" s="2090"/>
      <c r="J37" s="2090"/>
      <c r="K37" s="2090"/>
      <c r="L37" s="2090"/>
      <c r="M37" s="2090"/>
      <c r="N37" s="2090"/>
      <c r="O37" s="2090"/>
      <c r="P37" s="2090"/>
    </row>
    <row r="38" spans="2:16">
      <c r="B38" s="2089"/>
      <c r="C38" s="2089"/>
      <c r="D38" s="2090"/>
      <c r="E38" s="2090"/>
      <c r="F38" s="2090"/>
      <c r="G38" s="2090"/>
      <c r="H38" s="2090"/>
      <c r="I38" s="2090"/>
      <c r="J38" s="2090"/>
      <c r="K38" s="2090"/>
      <c r="L38" s="2090"/>
      <c r="M38" s="2090"/>
      <c r="N38" s="2090"/>
      <c r="O38" s="2090"/>
      <c r="P38" s="2090"/>
    </row>
    <row r="39" spans="2:16">
      <c r="B39" s="2089"/>
      <c r="C39" s="2089"/>
      <c r="D39" s="2090"/>
      <c r="E39" s="2090"/>
      <c r="F39" s="2090"/>
      <c r="G39" s="2090"/>
      <c r="H39" s="2090"/>
      <c r="I39" s="2090"/>
      <c r="J39" s="2090"/>
      <c r="K39" s="2090"/>
      <c r="L39" s="2090"/>
      <c r="M39" s="2090"/>
      <c r="N39" s="2090"/>
      <c r="O39" s="2090"/>
      <c r="P39" s="2090"/>
    </row>
    <row r="40" spans="2:16">
      <c r="B40" s="2089"/>
      <c r="C40" s="2089"/>
      <c r="D40" s="2090"/>
      <c r="E40" s="2090"/>
      <c r="F40" s="2090"/>
      <c r="G40" s="2090"/>
      <c r="H40" s="2090"/>
      <c r="I40" s="2090"/>
      <c r="J40" s="2090"/>
      <c r="K40" s="2090"/>
      <c r="L40" s="2090"/>
      <c r="M40" s="2090"/>
      <c r="N40" s="2090"/>
      <c r="O40" s="2090"/>
      <c r="P40" s="2090"/>
    </row>
    <row r="41" spans="2:16">
      <c r="B41" s="2089"/>
      <c r="C41" s="2089"/>
      <c r="D41" s="2090"/>
      <c r="E41" s="2090"/>
      <c r="F41" s="2090"/>
      <c r="G41" s="2090"/>
      <c r="H41" s="2090"/>
      <c r="I41" s="2090"/>
      <c r="J41" s="2090"/>
      <c r="K41" s="2090"/>
      <c r="L41" s="2090"/>
      <c r="M41" s="2090"/>
      <c r="N41" s="2090"/>
      <c r="O41" s="2090"/>
      <c r="P41" s="2090"/>
    </row>
    <row r="42" spans="2:16">
      <c r="B42" s="2089"/>
      <c r="C42" s="2089"/>
      <c r="D42" s="2090"/>
      <c r="E42" s="2090"/>
      <c r="F42" s="2090"/>
      <c r="G42" s="2090"/>
      <c r="H42" s="2090"/>
      <c r="I42" s="2090"/>
      <c r="J42" s="2090"/>
      <c r="K42" s="2090"/>
      <c r="L42" s="2090"/>
      <c r="M42" s="2090"/>
      <c r="N42" s="2090"/>
      <c r="O42" s="2090"/>
      <c r="P42" s="2090"/>
    </row>
    <row r="43" spans="2:16">
      <c r="B43" s="2089"/>
      <c r="C43" s="2089"/>
      <c r="D43" s="2090"/>
      <c r="E43" s="2090"/>
      <c r="F43" s="2090"/>
      <c r="G43" s="2090"/>
      <c r="H43" s="2090"/>
      <c r="I43" s="2090"/>
      <c r="J43" s="2090"/>
      <c r="K43" s="2090"/>
      <c r="L43" s="2090"/>
      <c r="M43" s="2090"/>
      <c r="N43" s="2090"/>
      <c r="O43" s="2090"/>
      <c r="P43" s="2090"/>
    </row>
    <row r="44" spans="2:16">
      <c r="B44" s="2089"/>
      <c r="C44" s="2089"/>
      <c r="D44" s="2090"/>
      <c r="E44" s="2090"/>
      <c r="F44" s="2090"/>
      <c r="G44" s="2090"/>
      <c r="H44" s="2090"/>
      <c r="I44" s="2090"/>
      <c r="J44" s="2090"/>
      <c r="K44" s="2090"/>
      <c r="L44" s="2090"/>
      <c r="M44" s="2090"/>
      <c r="N44" s="2090"/>
      <c r="O44" s="2090"/>
      <c r="P44" s="2090"/>
    </row>
    <row r="45" spans="2:16">
      <c r="B45" s="2089"/>
      <c r="C45" s="2089"/>
      <c r="D45" s="2090"/>
      <c r="E45" s="2090"/>
      <c r="F45" s="2090"/>
      <c r="G45" s="2090"/>
      <c r="H45" s="2090"/>
      <c r="I45" s="2090"/>
      <c r="J45" s="2090"/>
      <c r="K45" s="2090"/>
      <c r="L45" s="2090"/>
      <c r="M45" s="2090"/>
      <c r="N45" s="2090"/>
      <c r="O45" s="2090"/>
      <c r="P45" s="2090"/>
    </row>
    <row r="46" spans="2:16">
      <c r="B46" s="2089"/>
      <c r="C46" s="2089"/>
      <c r="D46" s="2090"/>
      <c r="E46" s="2090"/>
      <c r="F46" s="2090"/>
      <c r="G46" s="2090"/>
      <c r="H46" s="2090"/>
      <c r="I46" s="2090"/>
      <c r="J46" s="2090"/>
      <c r="K46" s="2090"/>
      <c r="L46" s="2090"/>
      <c r="M46" s="2090"/>
      <c r="N46" s="2090"/>
      <c r="O46" s="2090"/>
      <c r="P46" s="2090"/>
    </row>
    <row r="47" spans="2:16">
      <c r="B47" s="2089"/>
      <c r="C47" s="2089"/>
      <c r="D47" s="2090"/>
      <c r="E47" s="2090"/>
      <c r="F47" s="2090"/>
      <c r="G47" s="2090"/>
      <c r="H47" s="2090"/>
      <c r="I47" s="2090"/>
      <c r="J47" s="2090"/>
      <c r="K47" s="2090"/>
      <c r="L47" s="2090"/>
      <c r="M47" s="2090"/>
      <c r="N47" s="2090"/>
      <c r="O47" s="2090"/>
      <c r="P47" s="2090"/>
    </row>
    <row r="48" spans="2:16">
      <c r="B48" s="2089"/>
      <c r="C48" s="2089"/>
      <c r="D48" s="2090"/>
      <c r="E48" s="2090"/>
      <c r="F48" s="2090"/>
      <c r="G48" s="2090"/>
      <c r="H48" s="2090"/>
      <c r="I48" s="2090"/>
      <c r="J48" s="2090"/>
      <c r="K48" s="2090"/>
      <c r="L48" s="2090"/>
      <c r="M48" s="2090"/>
      <c r="N48" s="2090"/>
      <c r="O48" s="2090"/>
      <c r="P48" s="2090"/>
    </row>
    <row r="49" spans="2:16">
      <c r="B49" s="2089"/>
      <c r="C49" s="2089"/>
      <c r="D49" s="2090"/>
      <c r="E49" s="2090"/>
      <c r="F49" s="2090"/>
      <c r="G49" s="2090"/>
      <c r="H49" s="2090"/>
      <c r="I49" s="2090"/>
      <c r="J49" s="2090"/>
      <c r="K49" s="2090"/>
      <c r="L49" s="2090"/>
      <c r="M49" s="2090"/>
      <c r="N49" s="2090"/>
      <c r="O49" s="2090"/>
      <c r="P49" s="2090"/>
    </row>
    <row r="50" spans="2:16">
      <c r="B50" s="2089"/>
      <c r="C50" s="2089"/>
      <c r="D50" s="2090"/>
      <c r="E50" s="2090"/>
      <c r="F50" s="2090"/>
      <c r="G50" s="2090"/>
      <c r="H50" s="2090"/>
      <c r="I50" s="2090"/>
      <c r="J50" s="2090"/>
      <c r="K50" s="2090"/>
      <c r="L50" s="2090"/>
      <c r="M50" s="2090"/>
      <c r="N50" s="2090"/>
      <c r="O50" s="2090"/>
      <c r="P50" s="2090"/>
    </row>
    <row r="51" spans="2:16">
      <c r="B51" s="2089"/>
      <c r="C51" s="2089"/>
      <c r="D51" s="2090"/>
      <c r="E51" s="2090"/>
      <c r="F51" s="2090"/>
      <c r="G51" s="2090"/>
      <c r="H51" s="2090"/>
      <c r="I51" s="2090"/>
      <c r="J51" s="2090"/>
      <c r="K51" s="2090"/>
      <c r="L51" s="2090"/>
      <c r="M51" s="2090"/>
      <c r="N51" s="2090"/>
      <c r="O51" s="2090"/>
      <c r="P51" s="2090"/>
    </row>
    <row r="52" spans="2:16">
      <c r="B52" s="2089"/>
      <c r="C52" s="2089"/>
      <c r="D52" s="2090"/>
      <c r="E52" s="2090"/>
      <c r="F52" s="2090"/>
      <c r="G52" s="2090"/>
      <c r="H52" s="2090"/>
      <c r="I52" s="2090"/>
      <c r="J52" s="2090"/>
      <c r="K52" s="2090"/>
      <c r="L52" s="2090"/>
      <c r="M52" s="2090"/>
      <c r="N52" s="2090"/>
      <c r="O52" s="2090"/>
      <c r="P52" s="2090"/>
    </row>
    <row r="53" spans="2:16">
      <c r="B53" s="2089"/>
      <c r="C53" s="2089"/>
      <c r="D53" s="2090"/>
      <c r="E53" s="2090"/>
      <c r="F53" s="2090"/>
      <c r="G53" s="2090"/>
      <c r="H53" s="2090"/>
      <c r="I53" s="2090"/>
      <c r="J53" s="2090"/>
      <c r="K53" s="2090"/>
      <c r="L53" s="2090"/>
      <c r="M53" s="2090"/>
      <c r="N53" s="2090"/>
      <c r="O53" s="2090"/>
      <c r="P53" s="2090"/>
    </row>
    <row r="54" spans="2:16">
      <c r="B54" s="2089"/>
      <c r="C54" s="2089"/>
      <c r="D54" s="2090"/>
      <c r="E54" s="2090"/>
      <c r="F54" s="2090"/>
      <c r="G54" s="2090"/>
      <c r="H54" s="2090"/>
      <c r="I54" s="2090"/>
      <c r="J54" s="2090"/>
      <c r="K54" s="2090"/>
      <c r="L54" s="2090"/>
      <c r="M54" s="2090"/>
      <c r="N54" s="2090"/>
      <c r="O54" s="2090"/>
      <c r="P54" s="2090"/>
    </row>
    <row r="55" spans="2:16">
      <c r="B55" s="2089"/>
      <c r="C55" s="2089"/>
      <c r="D55" s="2090"/>
      <c r="E55" s="2090"/>
      <c r="F55" s="2090"/>
      <c r="G55" s="2090"/>
      <c r="H55" s="2090"/>
      <c r="I55" s="2090"/>
      <c r="J55" s="2090"/>
      <c r="K55" s="2090"/>
      <c r="L55" s="2090"/>
      <c r="M55" s="2090"/>
      <c r="N55" s="2090"/>
      <c r="O55" s="2090"/>
      <c r="P55" s="2090"/>
    </row>
    <row r="56" spans="2:16">
      <c r="B56" s="2089"/>
      <c r="C56" s="2089"/>
      <c r="D56" s="2090"/>
      <c r="E56" s="2090"/>
      <c r="F56" s="2090"/>
      <c r="G56" s="2090"/>
      <c r="H56" s="2090"/>
      <c r="I56" s="2090"/>
      <c r="J56" s="2090"/>
      <c r="K56" s="2090"/>
      <c r="L56" s="2090"/>
      <c r="M56" s="2090"/>
      <c r="N56" s="2090"/>
      <c r="O56" s="2090"/>
      <c r="P56" s="2090"/>
    </row>
    <row r="57" spans="2:16">
      <c r="B57" s="2089"/>
      <c r="C57" s="2089"/>
      <c r="D57" s="2090"/>
      <c r="E57" s="2090"/>
      <c r="F57" s="2090"/>
      <c r="G57" s="2090"/>
      <c r="H57" s="2090"/>
      <c r="I57" s="2090"/>
      <c r="J57" s="2090"/>
      <c r="K57" s="2090"/>
      <c r="L57" s="2090"/>
      <c r="M57" s="2090"/>
      <c r="N57" s="2090"/>
      <c r="O57" s="2090"/>
      <c r="P57" s="2090"/>
    </row>
    <row r="58" spans="2:16">
      <c r="B58" s="2089"/>
      <c r="C58" s="2089"/>
      <c r="D58" s="2090"/>
      <c r="E58" s="2090"/>
      <c r="F58" s="2090"/>
      <c r="G58" s="2090"/>
      <c r="H58" s="2090"/>
      <c r="I58" s="2090"/>
      <c r="J58" s="2090"/>
      <c r="K58" s="2090"/>
      <c r="L58" s="2090"/>
      <c r="M58" s="2090"/>
      <c r="N58" s="2090"/>
      <c r="O58" s="2090"/>
      <c r="P58" s="2090"/>
    </row>
    <row r="59" spans="2:16">
      <c r="B59" s="2089"/>
      <c r="C59" s="2089"/>
      <c r="D59" s="2090"/>
      <c r="E59" s="2090"/>
      <c r="F59" s="2090"/>
      <c r="G59" s="2090"/>
      <c r="H59" s="2090"/>
      <c r="I59" s="2090"/>
      <c r="J59" s="2090"/>
      <c r="K59" s="2090"/>
      <c r="L59" s="2090"/>
      <c r="M59" s="2090"/>
      <c r="N59" s="2090"/>
      <c r="O59" s="2090"/>
      <c r="P59" s="2090"/>
    </row>
    <row r="60" spans="2:16">
      <c r="B60" s="2089"/>
      <c r="C60" s="2089"/>
      <c r="D60" s="2090"/>
      <c r="E60" s="2090"/>
      <c r="F60" s="2090"/>
      <c r="G60" s="2090"/>
      <c r="H60" s="2090"/>
      <c r="I60" s="2090"/>
      <c r="J60" s="2090"/>
      <c r="K60" s="2090"/>
      <c r="L60" s="2090"/>
      <c r="M60" s="2090"/>
      <c r="N60" s="2090"/>
      <c r="O60" s="2090"/>
      <c r="P60" s="2090"/>
    </row>
    <row r="61" spans="2:16">
      <c r="B61" s="2089"/>
      <c r="C61" s="2089"/>
      <c r="D61" s="2090"/>
      <c r="E61" s="2090"/>
      <c r="F61" s="2090"/>
      <c r="G61" s="2090"/>
      <c r="H61" s="2090"/>
      <c r="I61" s="2090"/>
      <c r="J61" s="2090"/>
      <c r="K61" s="2090"/>
      <c r="L61" s="2090"/>
      <c r="M61" s="2090"/>
      <c r="N61" s="2090"/>
      <c r="O61" s="2090"/>
      <c r="P61" s="2090"/>
    </row>
    <row r="62" spans="2:16">
      <c r="B62" s="2089"/>
      <c r="C62" s="2089"/>
      <c r="D62" s="2090"/>
      <c r="E62" s="2090"/>
      <c r="F62" s="2090"/>
      <c r="G62" s="2090"/>
      <c r="H62" s="2090"/>
      <c r="I62" s="2090"/>
      <c r="J62" s="2090"/>
      <c r="K62" s="2090"/>
      <c r="L62" s="2090"/>
      <c r="M62" s="2090"/>
      <c r="N62" s="2090"/>
      <c r="O62" s="2090"/>
      <c r="P62" s="2090"/>
    </row>
    <row r="63" spans="2:16">
      <c r="B63" s="2089"/>
      <c r="C63" s="2089"/>
      <c r="D63" s="2090"/>
      <c r="E63" s="2090"/>
      <c r="F63" s="2090"/>
      <c r="G63" s="2090"/>
      <c r="H63" s="2090"/>
      <c r="I63" s="2090"/>
      <c r="J63" s="2090"/>
      <c r="K63" s="2090"/>
      <c r="L63" s="2090"/>
      <c r="M63" s="2090"/>
      <c r="N63" s="2090"/>
      <c r="O63" s="2090"/>
      <c r="P63" s="2090"/>
    </row>
    <row r="64" spans="2:16">
      <c r="B64" s="2089"/>
      <c r="C64" s="2089"/>
      <c r="D64" s="2090"/>
      <c r="E64" s="2090"/>
      <c r="F64" s="2090"/>
      <c r="G64" s="2090"/>
      <c r="H64" s="2090"/>
      <c r="I64" s="2090"/>
      <c r="J64" s="2090"/>
      <c r="K64" s="2090"/>
      <c r="L64" s="2090"/>
      <c r="M64" s="2090"/>
      <c r="N64" s="2090"/>
      <c r="O64" s="2090"/>
      <c r="P64" s="2090"/>
    </row>
    <row r="65" spans="2:16">
      <c r="B65" s="2089"/>
      <c r="C65" s="2089"/>
      <c r="D65" s="2090"/>
      <c r="E65" s="2090"/>
      <c r="F65" s="2090"/>
      <c r="G65" s="2090"/>
      <c r="H65" s="2090"/>
      <c r="I65" s="2090"/>
      <c r="J65" s="2090"/>
      <c r="K65" s="2090"/>
      <c r="L65" s="2090"/>
      <c r="M65" s="2090"/>
      <c r="N65" s="2090"/>
      <c r="O65" s="2090"/>
      <c r="P65" s="2090"/>
    </row>
    <row r="66" spans="2:16">
      <c r="B66" s="2089"/>
      <c r="C66" s="2089"/>
      <c r="D66" s="2090"/>
      <c r="E66" s="2090"/>
      <c r="F66" s="2090"/>
      <c r="G66" s="2090"/>
      <c r="H66" s="2090"/>
      <c r="I66" s="2090"/>
      <c r="J66" s="2090"/>
      <c r="K66" s="2090"/>
      <c r="L66" s="2090"/>
      <c r="M66" s="2090"/>
      <c r="N66" s="2090"/>
      <c r="O66" s="2090"/>
      <c r="P66" s="2090"/>
    </row>
    <row r="67" spans="2:16">
      <c r="B67" s="2089"/>
      <c r="C67" s="2089"/>
      <c r="D67" s="2090"/>
      <c r="E67" s="2090"/>
      <c r="F67" s="2090"/>
      <c r="G67" s="2090"/>
      <c r="H67" s="2090"/>
      <c r="I67" s="2090"/>
      <c r="J67" s="2090"/>
      <c r="K67" s="2090"/>
      <c r="L67" s="2090"/>
      <c r="M67" s="2090"/>
      <c r="N67" s="2090"/>
      <c r="O67" s="2090"/>
      <c r="P67" s="2090"/>
    </row>
    <row r="68" spans="2:16">
      <c r="B68" s="2089"/>
      <c r="C68" s="2089"/>
      <c r="D68" s="2090"/>
      <c r="E68" s="2090"/>
      <c r="F68" s="2090"/>
      <c r="G68" s="2090"/>
      <c r="H68" s="2090"/>
      <c r="I68" s="2090"/>
      <c r="J68" s="2090"/>
      <c r="K68" s="2090"/>
      <c r="L68" s="2090"/>
      <c r="M68" s="2090"/>
      <c r="N68" s="2090"/>
      <c r="O68" s="2090"/>
      <c r="P68" s="2090"/>
    </row>
    <row r="69" spans="2:16">
      <c r="B69" s="2089"/>
      <c r="C69" s="2089"/>
      <c r="D69" s="2090"/>
      <c r="E69" s="2090"/>
      <c r="F69" s="2090"/>
      <c r="G69" s="2090"/>
      <c r="H69" s="2090"/>
      <c r="I69" s="2090"/>
      <c r="J69" s="2090"/>
      <c r="K69" s="2090"/>
      <c r="L69" s="2090"/>
      <c r="M69" s="2090"/>
      <c r="N69" s="2090"/>
      <c r="O69" s="2090"/>
      <c r="P69" s="2090"/>
    </row>
    <row r="70" spans="2:16">
      <c r="B70" s="2089"/>
      <c r="C70" s="2089"/>
      <c r="D70" s="2090"/>
      <c r="E70" s="2090"/>
      <c r="F70" s="2090"/>
      <c r="G70" s="2090"/>
      <c r="H70" s="2090"/>
      <c r="I70" s="2090"/>
      <c r="J70" s="2090"/>
      <c r="K70" s="2090"/>
      <c r="L70" s="2090"/>
      <c r="M70" s="2090"/>
      <c r="N70" s="2090"/>
      <c r="O70" s="2090"/>
      <c r="P70" s="2090"/>
    </row>
    <row r="71" spans="2:16">
      <c r="B71" s="2089"/>
      <c r="C71" s="2089"/>
      <c r="D71" s="2090"/>
      <c r="E71" s="2090"/>
      <c r="F71" s="2090"/>
      <c r="G71" s="2090"/>
      <c r="H71" s="2090"/>
      <c r="I71" s="2090"/>
      <c r="J71" s="2090"/>
      <c r="K71" s="2090"/>
      <c r="L71" s="2090"/>
      <c r="M71" s="2090"/>
      <c r="N71" s="2090"/>
      <c r="O71" s="2090"/>
      <c r="P71" s="2090"/>
    </row>
    <row r="72" spans="2:16">
      <c r="B72" s="2089"/>
      <c r="C72" s="2089"/>
      <c r="D72" s="2090"/>
      <c r="E72" s="2090"/>
      <c r="F72" s="2090"/>
      <c r="G72" s="2090"/>
      <c r="H72" s="2090"/>
      <c r="I72" s="2090"/>
      <c r="J72" s="2090"/>
      <c r="K72" s="2090"/>
      <c r="L72" s="2090"/>
      <c r="M72" s="2090"/>
      <c r="N72" s="2090"/>
      <c r="O72" s="2090"/>
      <c r="P72" s="2090"/>
    </row>
    <row r="73" spans="2:16">
      <c r="B73" s="2089"/>
      <c r="C73" s="2089"/>
      <c r="D73" s="2090"/>
      <c r="E73" s="2090"/>
      <c r="F73" s="2090"/>
      <c r="G73" s="2090"/>
      <c r="H73" s="2090"/>
      <c r="I73" s="2090"/>
      <c r="J73" s="2090"/>
      <c r="K73" s="2090"/>
      <c r="L73" s="2090"/>
      <c r="M73" s="2090"/>
      <c r="N73" s="2090"/>
      <c r="O73" s="2090"/>
      <c r="P73" s="2090"/>
    </row>
    <row r="74" spans="2:16">
      <c r="B74" s="2089"/>
      <c r="C74" s="2089"/>
      <c r="D74" s="2090"/>
      <c r="E74" s="2090"/>
      <c r="F74" s="2090"/>
      <c r="G74" s="2090"/>
      <c r="H74" s="2090"/>
      <c r="I74" s="2090"/>
      <c r="J74" s="2090"/>
      <c r="K74" s="2090"/>
      <c r="L74" s="2090"/>
      <c r="M74" s="2090"/>
      <c r="N74" s="2090"/>
      <c r="O74" s="2090"/>
      <c r="P74" s="2090"/>
    </row>
    <row r="75" spans="2:16">
      <c r="B75" s="2089"/>
      <c r="C75" s="2089"/>
      <c r="D75" s="2090"/>
      <c r="E75" s="2090"/>
      <c r="F75" s="2090"/>
      <c r="G75" s="2090"/>
      <c r="H75" s="2090"/>
      <c r="I75" s="2090"/>
      <c r="J75" s="2090"/>
      <c r="K75" s="2090"/>
      <c r="L75" s="2090"/>
      <c r="M75" s="2090"/>
      <c r="N75" s="2090"/>
      <c r="O75" s="2090"/>
      <c r="P75" s="2090"/>
    </row>
    <row r="76" spans="2:16">
      <c r="B76" s="2089"/>
      <c r="C76" s="2089"/>
      <c r="D76" s="2090"/>
      <c r="E76" s="2090"/>
      <c r="F76" s="2090"/>
      <c r="G76" s="2090"/>
      <c r="H76" s="2090"/>
      <c r="I76" s="2090"/>
      <c r="J76" s="2090"/>
      <c r="K76" s="2090"/>
      <c r="L76" s="2090"/>
      <c r="M76" s="2090"/>
      <c r="N76" s="2090"/>
      <c r="O76" s="2090"/>
      <c r="P76" s="2090"/>
    </row>
    <row r="77" spans="2:16">
      <c r="B77" s="2089"/>
      <c r="C77" s="2089"/>
      <c r="D77" s="2090"/>
      <c r="E77" s="2090"/>
      <c r="F77" s="2090"/>
      <c r="G77" s="2090"/>
      <c r="H77" s="2090"/>
      <c r="I77" s="2090"/>
      <c r="J77" s="2090"/>
      <c r="K77" s="2090"/>
      <c r="L77" s="2090"/>
      <c r="M77" s="2090"/>
      <c r="N77" s="2090"/>
      <c r="O77" s="2090"/>
      <c r="P77" s="2090"/>
    </row>
    <row r="78" spans="2:16">
      <c r="B78" s="2089"/>
      <c r="C78" s="2089"/>
      <c r="D78" s="2090"/>
      <c r="E78" s="2090"/>
      <c r="F78" s="2090"/>
      <c r="G78" s="2090"/>
      <c r="H78" s="2090"/>
      <c r="I78" s="2090"/>
      <c r="J78" s="2090"/>
      <c r="K78" s="2090"/>
      <c r="L78" s="2090"/>
      <c r="M78" s="2090"/>
      <c r="N78" s="2090"/>
      <c r="O78" s="2090"/>
      <c r="P78" s="2090"/>
    </row>
    <row r="79" spans="2:16">
      <c r="B79" s="2089"/>
      <c r="C79" s="2089"/>
      <c r="D79" s="2090"/>
      <c r="E79" s="2090"/>
      <c r="F79" s="2090"/>
      <c r="G79" s="2090"/>
      <c r="H79" s="2090"/>
      <c r="I79" s="2090"/>
      <c r="J79" s="2090"/>
      <c r="K79" s="2090"/>
      <c r="L79" s="2090"/>
      <c r="M79" s="2090"/>
      <c r="N79" s="2090"/>
      <c r="O79" s="2090"/>
      <c r="P79" s="2090"/>
    </row>
    <row r="80" spans="2:16">
      <c r="B80" s="2089"/>
      <c r="C80" s="2089"/>
      <c r="D80" s="2090"/>
      <c r="E80" s="2090"/>
      <c r="F80" s="2090"/>
      <c r="G80" s="2090"/>
      <c r="H80" s="2090"/>
      <c r="I80" s="2090"/>
      <c r="J80" s="2090"/>
      <c r="K80" s="2090"/>
      <c r="L80" s="2090"/>
      <c r="M80" s="2090"/>
      <c r="N80" s="2090"/>
      <c r="O80" s="2090"/>
      <c r="P80" s="2090"/>
    </row>
    <row r="81" spans="2:16">
      <c r="B81" s="2089"/>
      <c r="C81" s="2089"/>
      <c r="D81" s="2090"/>
      <c r="E81" s="2090"/>
      <c r="F81" s="2090"/>
      <c r="G81" s="2090"/>
      <c r="H81" s="2090"/>
      <c r="I81" s="2090"/>
      <c r="J81" s="2090"/>
      <c r="K81" s="2090"/>
      <c r="L81" s="2090"/>
      <c r="M81" s="2090"/>
      <c r="N81" s="2090"/>
      <c r="O81" s="2090"/>
      <c r="P81" s="2090"/>
    </row>
    <row r="82" spans="2:16">
      <c r="B82" s="2089"/>
      <c r="C82" s="2089"/>
      <c r="D82" s="2090"/>
      <c r="E82" s="2090"/>
      <c r="F82" s="2090"/>
      <c r="G82" s="2090"/>
      <c r="H82" s="2090"/>
      <c r="I82" s="2090"/>
      <c r="J82" s="2090"/>
      <c r="K82" s="2090"/>
      <c r="L82" s="2090"/>
      <c r="M82" s="2090"/>
      <c r="N82" s="2090"/>
      <c r="O82" s="2090"/>
      <c r="P82" s="2090"/>
    </row>
    <row r="83" spans="2:16">
      <c r="B83" s="2089"/>
      <c r="C83" s="2089"/>
      <c r="D83" s="2090"/>
      <c r="E83" s="2090"/>
      <c r="F83" s="2090"/>
      <c r="G83" s="2090"/>
      <c r="H83" s="2090"/>
      <c r="I83" s="2090"/>
      <c r="J83" s="2090"/>
      <c r="K83" s="2090"/>
      <c r="L83" s="2090"/>
      <c r="M83" s="2090"/>
      <c r="N83" s="2090"/>
      <c r="O83" s="2090"/>
      <c r="P83" s="2090"/>
    </row>
    <row r="84" spans="2:16">
      <c r="B84" s="2089"/>
      <c r="C84" s="2089"/>
      <c r="D84" s="2090"/>
      <c r="E84" s="2090"/>
      <c r="F84" s="2090"/>
      <c r="G84" s="2090"/>
      <c r="H84" s="2090"/>
      <c r="I84" s="2090"/>
      <c r="J84" s="2090"/>
      <c r="K84" s="2090"/>
      <c r="L84" s="2090"/>
      <c r="M84" s="2090"/>
      <c r="N84" s="2090"/>
      <c r="O84" s="2090"/>
      <c r="P84" s="2090"/>
    </row>
    <row r="85" spans="2:16">
      <c r="B85" s="2089"/>
      <c r="C85" s="2089"/>
      <c r="D85" s="2090"/>
      <c r="E85" s="2090"/>
      <c r="F85" s="2090"/>
      <c r="G85" s="2090"/>
      <c r="H85" s="2090"/>
      <c r="I85" s="2090"/>
      <c r="J85" s="2090"/>
      <c r="K85" s="2090"/>
      <c r="L85" s="2090"/>
      <c r="M85" s="2090"/>
      <c r="N85" s="2090"/>
      <c r="O85" s="2090"/>
      <c r="P85" s="2090"/>
    </row>
    <row r="86" spans="2:16">
      <c r="B86" s="2089"/>
      <c r="C86" s="2089"/>
      <c r="D86" s="2090"/>
      <c r="E86" s="2090"/>
      <c r="F86" s="2090"/>
      <c r="G86" s="2090"/>
      <c r="H86" s="2090"/>
      <c r="I86" s="2090"/>
      <c r="J86" s="2090"/>
      <c r="K86" s="2090"/>
      <c r="L86" s="2090"/>
      <c r="M86" s="2090"/>
      <c r="N86" s="2090"/>
      <c r="O86" s="2090"/>
      <c r="P86" s="2090"/>
    </row>
    <row r="87" spans="2:16">
      <c r="B87" s="2089"/>
      <c r="C87" s="2089"/>
      <c r="D87" s="2090"/>
      <c r="E87" s="2090"/>
      <c r="F87" s="2090"/>
      <c r="G87" s="2090"/>
      <c r="H87" s="2090"/>
      <c r="I87" s="2090"/>
      <c r="J87" s="2090"/>
      <c r="K87" s="2090"/>
      <c r="L87" s="2090"/>
      <c r="M87" s="2090"/>
      <c r="N87" s="2090"/>
      <c r="O87" s="2090"/>
      <c r="P87" s="2090"/>
    </row>
    <row r="88" spans="2:16">
      <c r="B88" s="2089"/>
      <c r="C88" s="2089"/>
      <c r="D88" s="2090"/>
      <c r="E88" s="2090"/>
      <c r="F88" s="2090"/>
      <c r="G88" s="2090"/>
      <c r="H88" s="2090"/>
      <c r="I88" s="2090"/>
      <c r="J88" s="2090"/>
      <c r="K88" s="2090"/>
      <c r="L88" s="2090"/>
      <c r="M88" s="2090"/>
      <c r="N88" s="2090"/>
      <c r="O88" s="2090"/>
      <c r="P88" s="2090"/>
    </row>
    <row r="89" spans="2:16">
      <c r="B89" s="2089"/>
      <c r="C89" s="2089"/>
      <c r="D89" s="2090"/>
      <c r="E89" s="2090"/>
      <c r="F89" s="2090"/>
      <c r="G89" s="2090"/>
      <c r="H89" s="2090"/>
      <c r="I89" s="2090"/>
      <c r="J89" s="2090"/>
      <c r="K89" s="2090"/>
      <c r="L89" s="2090"/>
      <c r="M89" s="2090"/>
      <c r="N89" s="2090"/>
      <c r="O89" s="2090"/>
      <c r="P89" s="2090"/>
    </row>
    <row r="90" spans="2:16">
      <c r="B90" s="2089"/>
      <c r="C90" s="2089"/>
      <c r="D90" s="2090"/>
      <c r="E90" s="2090"/>
      <c r="F90" s="2090"/>
      <c r="G90" s="2090"/>
      <c r="H90" s="2090"/>
      <c r="I90" s="2090"/>
      <c r="J90" s="2090"/>
      <c r="K90" s="2090"/>
      <c r="L90" s="2090"/>
      <c r="M90" s="2090"/>
      <c r="N90" s="2090"/>
      <c r="O90" s="2090"/>
      <c r="P90" s="2090"/>
    </row>
    <row r="91" spans="2:16">
      <c r="B91" s="2089"/>
      <c r="C91" s="2089"/>
      <c r="D91" s="2090"/>
      <c r="E91" s="2090"/>
      <c r="F91" s="2090"/>
      <c r="G91" s="2090"/>
      <c r="H91" s="2090"/>
      <c r="I91" s="2090"/>
      <c r="J91" s="2090"/>
      <c r="K91" s="2090"/>
      <c r="L91" s="2090"/>
      <c r="M91" s="2090"/>
      <c r="N91" s="2090"/>
      <c r="O91" s="2090"/>
      <c r="P91" s="2090"/>
    </row>
    <row r="92" spans="2:16">
      <c r="B92" s="2089"/>
      <c r="C92" s="2089"/>
      <c r="D92" s="2090"/>
      <c r="E92" s="2090"/>
      <c r="F92" s="2090"/>
      <c r="G92" s="2090"/>
      <c r="H92" s="2090"/>
      <c r="I92" s="2090"/>
      <c r="J92" s="2090"/>
      <c r="K92" s="2090"/>
      <c r="L92" s="2090"/>
      <c r="M92" s="2090"/>
      <c r="N92" s="2090"/>
      <c r="O92" s="2090"/>
      <c r="P92" s="2090"/>
    </row>
    <row r="93" spans="2:16">
      <c r="B93" s="2089"/>
      <c r="C93" s="2089"/>
      <c r="D93" s="2090"/>
      <c r="E93" s="2090"/>
      <c r="F93" s="2090"/>
      <c r="G93" s="2090"/>
      <c r="H93" s="2090"/>
      <c r="I93" s="2090"/>
      <c r="J93" s="2090"/>
      <c r="K93" s="2090"/>
      <c r="L93" s="2090"/>
      <c r="M93" s="2090"/>
      <c r="N93" s="2090"/>
      <c r="O93" s="2090"/>
      <c r="P93" s="2090"/>
    </row>
    <row r="94" spans="2:16">
      <c r="B94" s="2089"/>
      <c r="C94" s="2089"/>
      <c r="D94" s="2090"/>
      <c r="E94" s="2090"/>
      <c r="F94" s="2090"/>
      <c r="G94" s="2090"/>
      <c r="H94" s="2090"/>
      <c r="I94" s="2090"/>
      <c r="J94" s="2090"/>
      <c r="K94" s="2090"/>
      <c r="L94" s="2090"/>
      <c r="M94" s="2090"/>
      <c r="N94" s="2090"/>
      <c r="O94" s="2090"/>
      <c r="P94" s="2090"/>
    </row>
    <row r="95" spans="2:16">
      <c r="B95" s="2089"/>
      <c r="C95" s="2089"/>
      <c r="D95" s="2090"/>
      <c r="E95" s="2090"/>
      <c r="F95" s="2090"/>
      <c r="G95" s="2090"/>
      <c r="H95" s="2090"/>
      <c r="I95" s="2090"/>
      <c r="J95" s="2090"/>
      <c r="K95" s="2090"/>
      <c r="L95" s="2090"/>
      <c r="M95" s="2090"/>
      <c r="N95" s="2090"/>
      <c r="O95" s="2090"/>
      <c r="P95" s="2090"/>
    </row>
    <row r="96" spans="2:16">
      <c r="B96" s="2089"/>
      <c r="C96" s="2089"/>
      <c r="D96" s="2090"/>
      <c r="E96" s="2090"/>
      <c r="F96" s="2090"/>
      <c r="G96" s="2090"/>
      <c r="H96" s="2090"/>
      <c r="I96" s="2090"/>
      <c r="J96" s="2090"/>
      <c r="K96" s="2090"/>
      <c r="L96" s="2090"/>
      <c r="M96" s="2090"/>
      <c r="N96" s="2090"/>
      <c r="O96" s="2090"/>
      <c r="P96" s="2090"/>
    </row>
    <row r="97" spans="1:16">
      <c r="B97" s="2089"/>
      <c r="C97" s="2089"/>
      <c r="D97" s="2090"/>
      <c r="E97" s="2090"/>
      <c r="F97" s="2090"/>
      <c r="G97" s="2090"/>
      <c r="H97" s="2090"/>
      <c r="I97" s="2090"/>
      <c r="J97" s="2090"/>
      <c r="K97" s="2090"/>
      <c r="L97" s="2090"/>
      <c r="M97" s="2090"/>
      <c r="N97" s="2090"/>
      <c r="O97" s="2090"/>
      <c r="P97" s="2090"/>
    </row>
    <row r="98" spans="1:16">
      <c r="B98" s="2089"/>
      <c r="C98" s="2089"/>
      <c r="D98" s="2090"/>
      <c r="E98" s="2090"/>
      <c r="F98" s="2090"/>
      <c r="G98" s="2090"/>
      <c r="H98" s="2090"/>
      <c r="I98" s="2090"/>
      <c r="J98" s="2090"/>
      <c r="K98" s="2090"/>
      <c r="L98" s="2090"/>
      <c r="M98" s="2090"/>
      <c r="N98" s="2090"/>
      <c r="O98" s="2090"/>
      <c r="P98" s="2090"/>
    </row>
    <row r="99" spans="1:16">
      <c r="B99" s="2089"/>
      <c r="C99" s="2089"/>
      <c r="D99" s="2090"/>
      <c r="E99" s="2090"/>
      <c r="F99" s="2090"/>
      <c r="G99" s="2090"/>
      <c r="H99" s="2090"/>
      <c r="I99" s="2090"/>
      <c r="J99" s="2090"/>
      <c r="K99" s="2090"/>
      <c r="L99" s="2090"/>
      <c r="M99" s="2090"/>
      <c r="N99" s="2090"/>
      <c r="O99" s="2090"/>
      <c r="P99" s="2090"/>
    </row>
    <row r="100" spans="1:16">
      <c r="B100" s="2089"/>
      <c r="C100" s="2089"/>
      <c r="D100" s="2090"/>
      <c r="E100" s="2090"/>
      <c r="F100" s="2090"/>
      <c r="G100" s="2090"/>
      <c r="H100" s="2090"/>
      <c r="I100" s="2090"/>
      <c r="J100" s="2090"/>
      <c r="K100" s="2090"/>
      <c r="L100" s="2090"/>
      <c r="M100" s="2090"/>
      <c r="N100" s="2090"/>
      <c r="O100" s="2090"/>
      <c r="P100" s="2090"/>
    </row>
    <row r="101" spans="1:16">
      <c r="B101" s="2089"/>
      <c r="C101" s="2089"/>
      <c r="D101" s="2090"/>
      <c r="E101" s="2090"/>
      <c r="F101" s="2090"/>
      <c r="G101" s="2090"/>
      <c r="H101" s="2090"/>
      <c r="I101" s="2090"/>
      <c r="J101" s="2090"/>
      <c r="K101" s="2090"/>
      <c r="L101" s="2090"/>
      <c r="M101" s="2090"/>
      <c r="N101" s="2090"/>
      <c r="O101" s="2090"/>
      <c r="P101" s="2090"/>
    </row>
    <row r="103" spans="1:16" s="2093" customFormat="1" ht="12.95" hidden="1" customHeight="1">
      <c r="A103" s="2091"/>
      <c r="B103" s="2092"/>
      <c r="C103" s="2092"/>
      <c r="D103" s="2091">
        <f>+SUM(D9:D102)</f>
        <v>74</v>
      </c>
      <c r="E103" s="2091">
        <f>+SUM(E9:E102)</f>
        <v>74</v>
      </c>
      <c r="F103" s="2091">
        <f>+SUM(F9:F102)</f>
        <v>74</v>
      </c>
      <c r="G103" s="2091"/>
      <c r="H103" s="2091"/>
      <c r="I103" s="2091">
        <f>+SUM(I9:I102)</f>
        <v>74</v>
      </c>
      <c r="J103" s="2091">
        <f>+SUM(J9:J102)</f>
        <v>74</v>
      </c>
      <c r="K103" s="2091">
        <f>+SUM(K9:K102)</f>
        <v>74</v>
      </c>
      <c r="L103" s="2091">
        <f>+SUM(L9:L102)</f>
        <v>222</v>
      </c>
      <c r="M103" s="2091"/>
      <c r="N103" s="2091">
        <f>+SUM(N9:N102)</f>
        <v>222</v>
      </c>
      <c r="O103" s="2091">
        <f>+SUM(O9:O102)</f>
        <v>74</v>
      </c>
      <c r="P103" s="2091">
        <f>+SUM(P9:P102)</f>
        <v>74</v>
      </c>
    </row>
  </sheetData>
  <mergeCells count="12">
    <mergeCell ref="O7:O8"/>
    <mergeCell ref="P7:P8"/>
    <mergeCell ref="A1:P1"/>
    <mergeCell ref="D2:P2"/>
    <mergeCell ref="A7:A8"/>
    <mergeCell ref="B7:B8"/>
    <mergeCell ref="C7:C8"/>
    <mergeCell ref="D7:E7"/>
    <mergeCell ref="F7:H7"/>
    <mergeCell ref="I7:J7"/>
    <mergeCell ref="K7:K8"/>
    <mergeCell ref="L7:N7"/>
  </mergeCells>
  <printOptions horizontalCentered="1"/>
  <pageMargins left="0.59055118110236227" right="0.39370078740157483" top="0.74803149606299213" bottom="0.70866141732283472" header="0.51181102362204722" footer="0.74803149606299213"/>
  <pageSetup paperSize="9" scale="89" orientation="landscape" horizontalDpi="4294967292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2:O47"/>
  <sheetViews>
    <sheetView workbookViewId="0"/>
  </sheetViews>
  <sheetFormatPr baseColWidth="10" defaultColWidth="9.33203125" defaultRowHeight="12.75"/>
  <sheetData>
    <row r="2" spans="2:15">
      <c r="B2" s="405"/>
      <c r="C2" s="406"/>
      <c r="D2" s="406"/>
      <c r="E2" s="406"/>
      <c r="F2" s="406"/>
      <c r="G2" s="406"/>
      <c r="H2" s="406"/>
      <c r="I2" s="406"/>
      <c r="J2" s="407"/>
    </row>
    <row r="3" spans="2:15" ht="26.25">
      <c r="B3" s="408" t="s">
        <v>178</v>
      </c>
      <c r="C3" s="409"/>
      <c r="D3" s="409"/>
      <c r="E3" s="409"/>
      <c r="F3" s="409"/>
      <c r="G3" s="409"/>
      <c r="H3" s="409"/>
      <c r="I3" s="409"/>
      <c r="J3" s="410"/>
    </row>
    <row r="4" spans="2:15" ht="20.25">
      <c r="B4" s="411"/>
      <c r="C4" s="412"/>
      <c r="D4" s="412"/>
      <c r="E4" s="412"/>
      <c r="F4" s="412"/>
      <c r="G4" s="412"/>
      <c r="H4" s="412"/>
      <c r="I4" s="412"/>
      <c r="J4" s="413"/>
    </row>
    <row r="5" spans="2:15">
      <c r="B5" s="257"/>
      <c r="C5" s="258"/>
      <c r="D5" s="258"/>
      <c r="E5" s="258"/>
      <c r="F5" s="258"/>
      <c r="G5" s="258"/>
      <c r="H5" s="258"/>
      <c r="I5" s="258"/>
      <c r="J5" s="414"/>
    </row>
    <row r="6" spans="2:15" ht="18">
      <c r="B6" s="365"/>
      <c r="C6" s="368" t="s">
        <v>123</v>
      </c>
      <c r="D6" s="369"/>
      <c r="E6" s="369"/>
      <c r="F6" s="369"/>
      <c r="G6" s="369"/>
      <c r="H6" s="369"/>
      <c r="I6" s="369"/>
      <c r="J6" s="370"/>
    </row>
    <row r="7" spans="2:15" ht="409.5">
      <c r="B7" s="365"/>
      <c r="C7" s="1880" t="s">
        <v>546</v>
      </c>
      <c r="D7" s="1880"/>
      <c r="E7" s="1880"/>
      <c r="F7" s="1880"/>
      <c r="G7" s="1880"/>
      <c r="H7" s="1880"/>
      <c r="I7" s="1880"/>
      <c r="J7" s="1881"/>
    </row>
    <row r="8" spans="2:15" ht="20.25">
      <c r="B8" s="365"/>
      <c r="C8" s="371"/>
      <c r="D8" s="366"/>
      <c r="E8" s="366"/>
      <c r="F8" s="366"/>
      <c r="G8" s="366"/>
      <c r="H8" s="366"/>
      <c r="I8" s="366"/>
      <c r="J8" s="367"/>
    </row>
    <row r="9" spans="2:15" ht="18">
      <c r="B9" s="259"/>
      <c r="C9" s="415" t="s">
        <v>593</v>
      </c>
      <c r="D9" s="416"/>
      <c r="E9" s="416"/>
      <c r="F9" s="416"/>
      <c r="G9" s="416"/>
      <c r="H9" s="416"/>
      <c r="I9" s="416"/>
      <c r="J9" s="417"/>
    </row>
    <row r="10" spans="2:15" ht="18">
      <c r="B10" s="259"/>
      <c r="C10" s="372" t="s">
        <v>1005</v>
      </c>
      <c r="D10" s="418" t="e">
        <f>+#REF!</f>
        <v>#REF!</v>
      </c>
      <c r="E10" s="416"/>
      <c r="F10" s="416"/>
      <c r="G10" s="416"/>
      <c r="H10" s="416"/>
      <c r="I10" s="416"/>
      <c r="J10" s="419"/>
      <c r="L10" s="193"/>
      <c r="N10" s="1796" t="e">
        <f>D10=SUM(G13:G22)</f>
        <v>#REF!</v>
      </c>
      <c r="O10" s="1012" t="e">
        <f>D10=#REF!</f>
        <v>#REF!</v>
      </c>
    </row>
    <row r="11" spans="2:15">
      <c r="B11" s="259"/>
      <c r="C11" s="416"/>
      <c r="D11" s="416"/>
      <c r="E11" s="416"/>
      <c r="F11" s="416"/>
      <c r="G11" s="416"/>
      <c r="H11" s="416"/>
      <c r="I11" s="416"/>
      <c r="J11" s="417"/>
    </row>
    <row r="12" spans="2:15" ht="60">
      <c r="B12" s="420" t="s">
        <v>195</v>
      </c>
      <c r="C12" s="421" t="s">
        <v>24</v>
      </c>
      <c r="D12" s="422" t="s">
        <v>180</v>
      </c>
      <c r="E12" s="421" t="s">
        <v>26</v>
      </c>
      <c r="F12" s="423" t="s">
        <v>274</v>
      </c>
      <c r="G12" s="421" t="s">
        <v>27</v>
      </c>
      <c r="H12" s="421" t="s">
        <v>28</v>
      </c>
      <c r="I12" s="424" t="s">
        <v>29</v>
      </c>
      <c r="J12" s="425" t="s">
        <v>30</v>
      </c>
    </row>
    <row r="13" spans="2:15" ht="14.25">
      <c r="B13" s="587">
        <v>1</v>
      </c>
      <c r="C13" s="586" t="s">
        <v>594</v>
      </c>
      <c r="D13" s="1017" t="s">
        <v>977</v>
      </c>
      <c r="E13" s="428" t="s">
        <v>613</v>
      </c>
      <c r="F13" s="1004" t="s">
        <v>613</v>
      </c>
      <c r="G13" s="1685" t="e">
        <f>+SFVS!#REF!</f>
        <v>#REF!</v>
      </c>
      <c r="H13" s="429" t="e">
        <f>ROUND(G13/$D$10,3)</f>
        <v>#REF!</v>
      </c>
      <c r="I13" s="430" t="e">
        <f>ROUND(G13/SUM($G$13:$G$13),4)</f>
        <v>#REF!</v>
      </c>
      <c r="J13" s="1023" t="e">
        <f>+ROUND(SUM(H13),3)</f>
        <v>#REF!</v>
      </c>
      <c r="N13" s="585"/>
    </row>
    <row r="14" spans="2:15" ht="14.25">
      <c r="B14" s="587"/>
      <c r="C14" s="586"/>
      <c r="D14" s="588"/>
      <c r="E14" s="1014"/>
      <c r="F14" s="428"/>
      <c r="G14" s="1685"/>
      <c r="H14" s="429"/>
      <c r="I14" s="1016"/>
      <c r="J14" s="1015"/>
      <c r="N14" s="585"/>
    </row>
    <row r="15" spans="2:15" ht="15">
      <c r="B15" s="433">
        <v>2</v>
      </c>
      <c r="C15" s="434" t="s">
        <v>596</v>
      </c>
      <c r="D15" s="1018" t="s">
        <v>977</v>
      </c>
      <c r="E15" s="435" t="s">
        <v>614</v>
      </c>
      <c r="F15" s="452" t="s">
        <v>614</v>
      </c>
      <c r="G15" s="1686" t="e">
        <f>+SFVS!#REF!</f>
        <v>#REF!</v>
      </c>
      <c r="H15" s="436" t="e">
        <f>ROUND(G15/$D$10+0.001,3)</f>
        <v>#REF!</v>
      </c>
      <c r="I15" s="430" t="e">
        <f>ROUND(G15/SUM($G$15:$G$16),4)</f>
        <v>#REF!</v>
      </c>
      <c r="J15" s="437" t="e">
        <f>+ROUND(SUM(H15:H16),3)</f>
        <v>#REF!</v>
      </c>
      <c r="L15" s="431"/>
      <c r="M15" s="432"/>
      <c r="N15" s="585"/>
    </row>
    <row r="16" spans="2:15" ht="15">
      <c r="B16" s="438"/>
      <c r="C16" s="439"/>
      <c r="D16" s="440"/>
      <c r="E16" s="441"/>
      <c r="F16" s="1889"/>
      <c r="G16" s="1687"/>
      <c r="H16" s="442"/>
      <c r="I16" s="443"/>
      <c r="J16" s="444"/>
      <c r="L16" s="431"/>
      <c r="M16" s="445"/>
      <c r="N16" s="585"/>
    </row>
    <row r="17" spans="2:14" ht="15">
      <c r="B17" s="426">
        <v>3</v>
      </c>
      <c r="C17" s="1363" t="s">
        <v>849</v>
      </c>
      <c r="D17" s="1684" t="s">
        <v>977</v>
      </c>
      <c r="E17" s="428" t="s">
        <v>615</v>
      </c>
      <c r="F17" s="452" t="s">
        <v>615</v>
      </c>
      <c r="G17" s="1685" t="e">
        <f>+SFVS!#REF!+SFVS!#REF!+SFVS!#REF!</f>
        <v>#REF!</v>
      </c>
      <c r="H17" s="429" t="e">
        <f t="shared" ref="H17:H21" si="0">ROUND(G17/$D$10,3)</f>
        <v>#REF!</v>
      </c>
      <c r="I17" s="447" t="e">
        <f>ROUND(G17/SUM($G$17:$G$19),4)</f>
        <v>#REF!</v>
      </c>
      <c r="J17" s="437" t="e">
        <f>+ROUND(SUM(H17:H19),3)</f>
        <v>#REF!</v>
      </c>
      <c r="L17" s="448"/>
      <c r="M17" s="449"/>
      <c r="N17" s="585"/>
    </row>
    <row r="18" spans="2:14" ht="15">
      <c r="B18" s="426"/>
      <c r="C18" s="1363" t="s">
        <v>850</v>
      </c>
      <c r="D18" s="1684" t="s">
        <v>488</v>
      </c>
      <c r="E18" s="428" t="s">
        <v>616</v>
      </c>
      <c r="F18" s="1890"/>
      <c r="G18" s="1685" t="e">
        <f>+SFVS!#REF!+SFVS!#REF!</f>
        <v>#REF!</v>
      </c>
      <c r="H18" s="429" t="e">
        <f t="shared" si="0"/>
        <v>#REF!</v>
      </c>
      <c r="I18" s="447" t="e">
        <f>ROUND(G18/SUM($G$17:$G$19),4)</f>
        <v>#REF!</v>
      </c>
      <c r="J18" s="450"/>
      <c r="L18" s="431"/>
      <c r="M18" s="445"/>
      <c r="N18" s="585"/>
    </row>
    <row r="19" spans="2:14" ht="15">
      <c r="B19" s="426"/>
      <c r="C19" s="1363" t="s">
        <v>851</v>
      </c>
      <c r="D19" s="446" t="s">
        <v>485</v>
      </c>
      <c r="E19" s="428" t="s">
        <v>39</v>
      </c>
      <c r="F19" s="1890"/>
      <c r="G19" s="1685" t="e">
        <f>+SFVS!#REF!+SFVS!#REF!</f>
        <v>#REF!</v>
      </c>
      <c r="H19" s="429" t="e">
        <f t="shared" si="0"/>
        <v>#REF!</v>
      </c>
      <c r="I19" s="447" t="e">
        <f>ROUND(G19/SUM($G$17:$G$19),4)</f>
        <v>#REF!</v>
      </c>
      <c r="J19" s="450"/>
      <c r="L19" s="448"/>
      <c r="M19" s="449"/>
      <c r="N19" s="585"/>
    </row>
    <row r="20" spans="2:14" ht="15">
      <c r="B20" s="433">
        <v>4</v>
      </c>
      <c r="C20" s="434" t="s">
        <v>203</v>
      </c>
      <c r="D20" s="451" t="s">
        <v>490</v>
      </c>
      <c r="E20" s="452" t="s">
        <v>268</v>
      </c>
      <c r="F20" s="452" t="s">
        <v>268</v>
      </c>
      <c r="G20" s="1686" t="e">
        <f>+#REF!</f>
        <v>#REF!</v>
      </c>
      <c r="H20" s="436" t="e">
        <f>ROUND(G20/$D$10,3)</f>
        <v>#REF!</v>
      </c>
      <c r="I20" s="430" t="e">
        <f>ROUND(G20/($G$20+$G$21),4)</f>
        <v>#REF!</v>
      </c>
      <c r="J20" s="437" t="e">
        <f>+ROUND(SUM(H20:H21),3)</f>
        <v>#REF!</v>
      </c>
      <c r="L20" s="448"/>
      <c r="M20" s="449"/>
      <c r="N20" s="585"/>
    </row>
    <row r="21" spans="2:14" ht="15">
      <c r="B21" s="438"/>
      <c r="C21" s="439" t="s">
        <v>40</v>
      </c>
      <c r="D21" s="453" t="s">
        <v>491</v>
      </c>
      <c r="E21" s="441" t="s">
        <v>388</v>
      </c>
      <c r="F21" s="441"/>
      <c r="G21" s="1687" t="e">
        <f>+#REF!</f>
        <v>#REF!</v>
      </c>
      <c r="H21" s="442" t="e">
        <f t="shared" si="0"/>
        <v>#REF!</v>
      </c>
      <c r="I21" s="443" t="e">
        <f>ROUND(G21/($G$20+$G$21),4)</f>
        <v>#REF!</v>
      </c>
      <c r="J21" s="450"/>
      <c r="L21" s="431"/>
      <c r="M21" s="445"/>
      <c r="N21" s="585"/>
    </row>
    <row r="22" spans="2:14" ht="15">
      <c r="B22" s="454">
        <v>5</v>
      </c>
      <c r="C22" s="455" t="s">
        <v>186</v>
      </c>
      <c r="D22" s="456" t="s">
        <v>492</v>
      </c>
      <c r="E22" s="457" t="s">
        <v>270</v>
      </c>
      <c r="F22" s="458" t="s">
        <v>270</v>
      </c>
      <c r="G22" s="1688" t="e">
        <f>+#REF!+#REF!</f>
        <v>#REF!</v>
      </c>
      <c r="H22" s="459" t="e">
        <f>ROUND(G22/$D$10,3)</f>
        <v>#REF!</v>
      </c>
      <c r="I22" s="460" t="e">
        <f>+G22/(G22)</f>
        <v>#REF!</v>
      </c>
      <c r="J22" s="567" t="e">
        <f>+ROUND(SUM(H22),3)</f>
        <v>#REF!</v>
      </c>
      <c r="K22" s="461"/>
      <c r="L22" s="448"/>
      <c r="M22" s="432"/>
      <c r="N22" s="585"/>
    </row>
    <row r="23" spans="2:14" ht="15">
      <c r="B23" s="462"/>
      <c r="C23" s="463"/>
      <c r="D23" s="463"/>
      <c r="E23" s="463"/>
      <c r="F23" s="463"/>
      <c r="G23" s="464"/>
      <c r="H23" s="465" t="e">
        <f>SUM(H15:H22)</f>
        <v>#REF!</v>
      </c>
      <c r="I23" s="466"/>
      <c r="J23" s="467"/>
      <c r="N23" s="1674"/>
    </row>
    <row r="24" spans="2:14" ht="18">
      <c r="B24" s="468" t="s">
        <v>42</v>
      </c>
      <c r="C24" s="372" t="e">
        <f>J13&amp;" UGr/UGo + "&amp;J15&amp;" UCr/UCo + "&amp;J17&amp;" UAr/UAo+ "&amp;J20&amp;" Jr/Jo + "&amp;J22&amp;" GGr/GGo"</f>
        <v>#REF!</v>
      </c>
      <c r="D24" s="415"/>
      <c r="E24" s="415"/>
      <c r="F24" s="415"/>
      <c r="G24" s="469"/>
      <c r="H24" s="470"/>
      <c r="I24" s="471"/>
      <c r="J24" s="472"/>
    </row>
    <row r="25" spans="2:14">
      <c r="B25" s="260"/>
      <c r="C25" s="261"/>
      <c r="D25" s="261"/>
      <c r="E25" s="261"/>
      <c r="F25" s="261"/>
      <c r="G25" s="261"/>
      <c r="H25" s="261"/>
      <c r="I25" s="261"/>
      <c r="J25" s="473"/>
    </row>
    <row r="26" spans="2:14">
      <c r="B26" s="259"/>
      <c r="C26" s="416"/>
      <c r="D26" s="416"/>
      <c r="E26" s="416"/>
      <c r="F26" s="416"/>
      <c r="G26" s="416"/>
      <c r="H26" s="416"/>
      <c r="I26" s="416"/>
      <c r="J26" s="474"/>
    </row>
    <row r="27" spans="2:14">
      <c r="B27" s="259" t="s">
        <v>43</v>
      </c>
      <c r="C27" s="416"/>
      <c r="D27" s="416"/>
      <c r="E27" s="416"/>
      <c r="F27" s="416"/>
      <c r="G27" s="416"/>
      <c r="H27" s="475"/>
      <c r="I27" s="476"/>
      <c r="J27" s="477"/>
    </row>
    <row r="28" spans="2:14">
      <c r="B28" s="259"/>
      <c r="C28" s="416"/>
      <c r="D28" s="416"/>
      <c r="E28" s="416"/>
      <c r="F28" s="416"/>
      <c r="G28" s="416"/>
      <c r="H28" s="475"/>
      <c r="I28" s="478"/>
      <c r="J28" s="477"/>
    </row>
    <row r="29" spans="2:14" ht="14.25">
      <c r="B29" s="479" t="s">
        <v>44</v>
      </c>
      <c r="C29" s="480" t="s">
        <v>22</v>
      </c>
      <c r="D29" s="480"/>
      <c r="E29" s="480"/>
      <c r="F29" s="480"/>
      <c r="G29" s="416"/>
      <c r="H29" s="475"/>
      <c r="I29" s="476"/>
      <c r="J29" s="477"/>
    </row>
    <row r="30" spans="2:14" ht="14.25">
      <c r="B30" s="479"/>
      <c r="C30" s="480" t="s">
        <v>23</v>
      </c>
      <c r="D30" s="480"/>
      <c r="E30" s="480"/>
      <c r="F30" s="480"/>
      <c r="G30" s="416"/>
      <c r="H30" s="475"/>
      <c r="I30" s="476"/>
      <c r="J30" s="477"/>
    </row>
    <row r="31" spans="2:14" ht="14.25">
      <c r="B31" s="479"/>
      <c r="C31" s="480" t="s">
        <v>196</v>
      </c>
      <c r="D31" s="416"/>
      <c r="E31" s="416"/>
      <c r="F31" s="416"/>
      <c r="G31" s="416"/>
      <c r="H31" s="475"/>
      <c r="I31" s="476"/>
      <c r="J31" s="477"/>
    </row>
    <row r="32" spans="2:14" ht="14.25">
      <c r="B32" s="479" t="s">
        <v>197</v>
      </c>
      <c r="C32" s="480" t="s">
        <v>198</v>
      </c>
      <c r="D32" s="480"/>
      <c r="E32" s="480"/>
      <c r="F32" s="480"/>
      <c r="G32" s="416"/>
      <c r="H32" s="475"/>
      <c r="I32" s="476"/>
      <c r="J32" s="474"/>
    </row>
    <row r="33" spans="2:10" ht="14.25">
      <c r="B33" s="479"/>
      <c r="C33" s="480" t="s">
        <v>199</v>
      </c>
      <c r="D33" s="416"/>
      <c r="E33" s="416"/>
      <c r="F33" s="416"/>
      <c r="G33" s="416"/>
      <c r="H33" s="475"/>
      <c r="I33" s="481"/>
      <c r="J33" s="474"/>
    </row>
    <row r="34" spans="2:10" ht="14.25">
      <c r="B34" s="482" t="s">
        <v>200</v>
      </c>
      <c r="C34" s="256" t="s">
        <v>201</v>
      </c>
      <c r="D34" s="256"/>
      <c r="E34" s="261"/>
      <c r="F34" s="261"/>
      <c r="G34" s="261"/>
      <c r="H34" s="483"/>
      <c r="I34" s="483"/>
      <c r="J34" s="484"/>
    </row>
    <row r="35" spans="2:10">
      <c r="G35" s="485"/>
      <c r="J35" s="486"/>
    </row>
    <row r="36" spans="2:10">
      <c r="G36" s="487"/>
      <c r="H36" s="563"/>
      <c r="I36" s="563"/>
      <c r="J36" s="563"/>
    </row>
    <row r="37" spans="2:10">
      <c r="G37" s="487"/>
    </row>
    <row r="39" spans="2:10">
      <c r="G39" s="487"/>
    </row>
    <row r="40" spans="2:10">
      <c r="H40" s="1797" t="e">
        <f>+IF(SUM(H13:H22)=1,"ok","X")</f>
        <v>#REF!</v>
      </c>
      <c r="I40" s="1797" t="e">
        <f>+IF(SUM(I13:I22)=5,"ok","X")</f>
        <v>#REF!</v>
      </c>
      <c r="J40" s="1797" t="e">
        <f t="shared" ref="J40" si="1">+IF(SUM(J13:J22)=1,"ok","X")</f>
        <v>#REF!</v>
      </c>
    </row>
    <row r="47" spans="2:10">
      <c r="J47" s="448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D28"/>
  <sheetViews>
    <sheetView workbookViewId="0"/>
  </sheetViews>
  <sheetFormatPr baseColWidth="10" defaultColWidth="9.33203125" defaultRowHeight="12.75"/>
  <sheetData>
    <row r="2" spans="2:4" ht="23.25">
      <c r="B2" s="1892" t="s">
        <v>221</v>
      </c>
      <c r="C2" s="1892"/>
    </row>
    <row r="5" spans="2:4" ht="18">
      <c r="B5" s="1893" t="s">
        <v>188</v>
      </c>
      <c r="C5" s="1895" t="s">
        <v>222</v>
      </c>
    </row>
    <row r="6" spans="2:4" ht="18">
      <c r="B6" s="1894"/>
      <c r="C6" s="1896"/>
    </row>
    <row r="7" spans="2:4" ht="15">
      <c r="B7" s="1795">
        <v>1</v>
      </c>
      <c r="C7" s="1284" t="s">
        <v>147</v>
      </c>
    </row>
    <row r="8" spans="2:4" ht="15">
      <c r="B8" s="1300">
        <f>+B7+1</f>
        <v>2</v>
      </c>
      <c r="C8" s="1285" t="s">
        <v>223</v>
      </c>
    </row>
    <row r="9" spans="2:4" ht="15">
      <c r="B9" s="1300">
        <f t="shared" ref="B9:B26" si="0">+B8+1</f>
        <v>3</v>
      </c>
      <c r="C9" s="1286" t="s">
        <v>233</v>
      </c>
    </row>
    <row r="10" spans="2:4" ht="15">
      <c r="B10" s="1795">
        <f t="shared" si="0"/>
        <v>4</v>
      </c>
      <c r="C10" s="1286" t="s">
        <v>232</v>
      </c>
    </row>
    <row r="11" spans="2:4" ht="15">
      <c r="B11" s="1300">
        <f t="shared" si="0"/>
        <v>5</v>
      </c>
      <c r="C11" s="1286" t="s">
        <v>231</v>
      </c>
    </row>
    <row r="12" spans="2:4" ht="15">
      <c r="B12" s="1300">
        <f t="shared" si="0"/>
        <v>6</v>
      </c>
      <c r="C12" s="1286" t="s">
        <v>401</v>
      </c>
      <c r="D12" s="1287"/>
    </row>
    <row r="13" spans="2:4" ht="15">
      <c r="B13" s="1795">
        <f t="shared" si="0"/>
        <v>7</v>
      </c>
      <c r="C13" s="1286" t="s">
        <v>402</v>
      </c>
    </row>
    <row r="14" spans="2:4" ht="15">
      <c r="B14" s="1300">
        <f t="shared" si="0"/>
        <v>8</v>
      </c>
      <c r="C14" s="1288" t="s">
        <v>403</v>
      </c>
    </row>
    <row r="15" spans="2:4" ht="15">
      <c r="B15" s="1300">
        <f t="shared" si="0"/>
        <v>9</v>
      </c>
      <c r="C15" s="1288" t="s">
        <v>234</v>
      </c>
    </row>
    <row r="16" spans="2:4" ht="15">
      <c r="B16" s="1795">
        <f t="shared" si="0"/>
        <v>10</v>
      </c>
      <c r="C16" s="1288" t="s">
        <v>390</v>
      </c>
    </row>
    <row r="17" spans="2:3" ht="15">
      <c r="B17" s="1300">
        <f t="shared" si="0"/>
        <v>11</v>
      </c>
      <c r="C17" s="1286" t="s">
        <v>229</v>
      </c>
    </row>
    <row r="18" spans="2:3" ht="15">
      <c r="B18" s="1300">
        <f t="shared" si="0"/>
        <v>12</v>
      </c>
      <c r="C18" s="1286" t="s">
        <v>230</v>
      </c>
    </row>
    <row r="19" spans="2:3" ht="15">
      <c r="B19" s="1795">
        <f t="shared" si="0"/>
        <v>13</v>
      </c>
      <c r="C19" s="1286" t="s">
        <v>228</v>
      </c>
    </row>
    <row r="20" spans="2:3" ht="15">
      <c r="B20" s="1300">
        <f t="shared" si="0"/>
        <v>14</v>
      </c>
      <c r="C20" s="1286" t="s">
        <v>235</v>
      </c>
    </row>
    <row r="21" spans="2:3" ht="15">
      <c r="B21" s="1795">
        <f t="shared" si="0"/>
        <v>15</v>
      </c>
      <c r="C21" s="1286" t="s">
        <v>236</v>
      </c>
    </row>
    <row r="22" spans="2:3" ht="15">
      <c r="B22" s="1300">
        <f t="shared" si="0"/>
        <v>16</v>
      </c>
      <c r="C22" s="1286" t="s">
        <v>237</v>
      </c>
    </row>
    <row r="23" spans="2:3" ht="15">
      <c r="B23" s="1300">
        <f t="shared" si="0"/>
        <v>17</v>
      </c>
      <c r="C23" s="1286" t="s">
        <v>404</v>
      </c>
    </row>
    <row r="24" spans="2:3" ht="15">
      <c r="B24" s="1795">
        <f t="shared" si="0"/>
        <v>18</v>
      </c>
      <c r="C24" s="1286" t="s">
        <v>391</v>
      </c>
    </row>
    <row r="25" spans="2:3" ht="15">
      <c r="B25" s="1300">
        <f t="shared" si="0"/>
        <v>19</v>
      </c>
      <c r="C25" s="1286" t="s">
        <v>77</v>
      </c>
    </row>
    <row r="26" spans="2:3" ht="15">
      <c r="B26" s="1300">
        <f t="shared" si="0"/>
        <v>20</v>
      </c>
      <c r="C26" s="1289" t="s">
        <v>78</v>
      </c>
    </row>
    <row r="27" spans="2:3">
      <c r="C27" s="1290"/>
    </row>
    <row r="28" spans="2:3" ht="280.5">
      <c r="B28" s="1291" t="s">
        <v>238</v>
      </c>
      <c r="C28" s="1292" t="s">
        <v>239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2:C33"/>
  <sheetViews>
    <sheetView workbookViewId="0"/>
  </sheetViews>
  <sheetFormatPr baseColWidth="10" defaultColWidth="9.33203125" defaultRowHeight="12.75"/>
  <sheetData>
    <row r="2" spans="2:3" ht="23.25">
      <c r="B2" s="1897" t="s">
        <v>240</v>
      </c>
      <c r="C2" s="1897"/>
    </row>
    <row r="3" spans="2:3" ht="18">
      <c r="B3" s="1893" t="s">
        <v>188</v>
      </c>
      <c r="C3" s="1895" t="s">
        <v>222</v>
      </c>
    </row>
    <row r="4" spans="2:3" ht="18">
      <c r="B4" s="1894"/>
      <c r="C4" s="1896"/>
    </row>
    <row r="5" spans="2:3" ht="15">
      <c r="B5" s="1293">
        <v>1</v>
      </c>
      <c r="C5" s="1397" t="s">
        <v>57</v>
      </c>
    </row>
    <row r="6" spans="2:3" ht="15">
      <c r="B6" s="1294">
        <f>B5+1</f>
        <v>2</v>
      </c>
      <c r="C6" s="1398" t="s">
        <v>863</v>
      </c>
    </row>
    <row r="7" spans="2:3" ht="15">
      <c r="B7" s="1294">
        <f t="shared" ref="B7:B30" si="0">B6+1</f>
        <v>3</v>
      </c>
      <c r="C7" s="1399" t="s">
        <v>530</v>
      </c>
    </row>
    <row r="8" spans="2:3" ht="15">
      <c r="B8" s="1294">
        <f t="shared" si="0"/>
        <v>4</v>
      </c>
      <c r="C8" s="1398" t="s">
        <v>864</v>
      </c>
    </row>
    <row r="9" spans="2:3" ht="15">
      <c r="B9" s="1294">
        <f t="shared" si="0"/>
        <v>5</v>
      </c>
      <c r="C9" s="1398" t="s">
        <v>531</v>
      </c>
    </row>
    <row r="10" spans="2:3" ht="15">
      <c r="B10" s="1294">
        <f t="shared" si="0"/>
        <v>6</v>
      </c>
      <c r="C10" s="1398" t="s">
        <v>723</v>
      </c>
    </row>
    <row r="11" spans="2:3" ht="15">
      <c r="B11" s="1294">
        <f t="shared" si="0"/>
        <v>7</v>
      </c>
      <c r="C11" s="1286" t="s">
        <v>724</v>
      </c>
    </row>
    <row r="12" spans="2:3" ht="15">
      <c r="B12" s="1294">
        <f t="shared" si="0"/>
        <v>8</v>
      </c>
      <c r="C12" s="1286" t="s">
        <v>494</v>
      </c>
    </row>
    <row r="13" spans="2:3" ht="15">
      <c r="B13" s="1294">
        <f t="shared" si="0"/>
        <v>9</v>
      </c>
      <c r="C13" s="1398" t="s">
        <v>865</v>
      </c>
    </row>
    <row r="14" spans="2:3" ht="15">
      <c r="B14" s="1294">
        <f t="shared" si="0"/>
        <v>10</v>
      </c>
      <c r="C14" s="1398" t="s">
        <v>866</v>
      </c>
    </row>
    <row r="15" spans="2:3" ht="15">
      <c r="B15" s="1294">
        <f t="shared" si="0"/>
        <v>11</v>
      </c>
      <c r="C15" s="1398" t="s">
        <v>867</v>
      </c>
    </row>
    <row r="16" spans="2:3" ht="15">
      <c r="B16" s="1294">
        <f t="shared" si="0"/>
        <v>12</v>
      </c>
      <c r="C16" s="1398" t="s">
        <v>868</v>
      </c>
    </row>
    <row r="17" spans="2:3" ht="15">
      <c r="B17" s="1294">
        <f t="shared" si="0"/>
        <v>13</v>
      </c>
      <c r="C17" s="1398" t="s">
        <v>241</v>
      </c>
    </row>
    <row r="18" spans="2:3" ht="15">
      <c r="B18" s="1294">
        <f t="shared" si="0"/>
        <v>14</v>
      </c>
      <c r="C18" s="1398" t="s">
        <v>415</v>
      </c>
    </row>
    <row r="19" spans="2:3" ht="15">
      <c r="B19" s="1294">
        <f t="shared" si="0"/>
        <v>15</v>
      </c>
      <c r="C19" s="1398" t="s">
        <v>392</v>
      </c>
    </row>
    <row r="20" spans="2:3" ht="15">
      <c r="B20" s="1294">
        <f t="shared" si="0"/>
        <v>16</v>
      </c>
      <c r="C20" s="1398" t="s">
        <v>416</v>
      </c>
    </row>
    <row r="21" spans="2:3" ht="15">
      <c r="B21" s="1294">
        <f t="shared" si="0"/>
        <v>17</v>
      </c>
      <c r="C21" s="1398" t="s">
        <v>869</v>
      </c>
    </row>
    <row r="22" spans="2:3" ht="15">
      <c r="B22" s="1294">
        <f t="shared" si="0"/>
        <v>18</v>
      </c>
      <c r="C22" s="1398" t="s">
        <v>394</v>
      </c>
    </row>
    <row r="23" spans="2:3" ht="15">
      <c r="B23" s="1294">
        <f t="shared" si="0"/>
        <v>19</v>
      </c>
      <c r="C23" s="1400" t="s">
        <v>242</v>
      </c>
    </row>
    <row r="24" spans="2:3" ht="15">
      <c r="B24" s="1294">
        <f t="shared" si="0"/>
        <v>20</v>
      </c>
      <c r="C24" s="1401" t="s">
        <v>393</v>
      </c>
    </row>
    <row r="25" spans="2:3" ht="15">
      <c r="B25" s="1294">
        <f t="shared" si="0"/>
        <v>21</v>
      </c>
      <c r="C25" s="1401" t="s">
        <v>727</v>
      </c>
    </row>
    <row r="26" spans="2:3" ht="15">
      <c r="B26" s="1294">
        <f t="shared" si="0"/>
        <v>22</v>
      </c>
      <c r="C26" s="1401" t="s">
        <v>63</v>
      </c>
    </row>
    <row r="27" spans="2:3" ht="15">
      <c r="B27" s="1294">
        <f t="shared" si="0"/>
        <v>23</v>
      </c>
      <c r="C27" s="1401" t="s">
        <v>243</v>
      </c>
    </row>
    <row r="28" spans="2:3" ht="15">
      <c r="B28" s="1294">
        <f t="shared" si="0"/>
        <v>24</v>
      </c>
      <c r="C28" s="1401" t="s">
        <v>245</v>
      </c>
    </row>
    <row r="29" spans="2:3" ht="15">
      <c r="B29" s="1294">
        <f t="shared" si="0"/>
        <v>25</v>
      </c>
      <c r="C29" s="1401" t="s">
        <v>244</v>
      </c>
    </row>
    <row r="30" spans="2:3" ht="15">
      <c r="B30" s="1294">
        <f t="shared" si="0"/>
        <v>26</v>
      </c>
      <c r="C30" s="1402" t="s">
        <v>246</v>
      </c>
    </row>
    <row r="31" spans="2:3" ht="15">
      <c r="B31" s="1295"/>
      <c r="C31" s="1296"/>
    </row>
    <row r="32" spans="2:3">
      <c r="B32" s="1297"/>
    </row>
    <row r="33" spans="2:3" ht="267.75">
      <c r="B33" s="568" t="s">
        <v>238</v>
      </c>
      <c r="C33" s="1292" t="s">
        <v>247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2:E26"/>
  <sheetViews>
    <sheetView workbookViewId="0"/>
  </sheetViews>
  <sheetFormatPr baseColWidth="10" defaultColWidth="9.33203125" defaultRowHeight="12.75"/>
  <sheetData>
    <row r="2" spans="2:3" ht="23.25">
      <c r="B2" s="1897" t="s">
        <v>248</v>
      </c>
      <c r="C2" s="1897"/>
    </row>
    <row r="4" spans="2:3" ht="18">
      <c r="B4" s="1893" t="s">
        <v>188</v>
      </c>
      <c r="C4" s="1895" t="s">
        <v>222</v>
      </c>
    </row>
    <row r="5" spans="2:3" ht="18">
      <c r="B5" s="1894"/>
      <c r="C5" s="1896"/>
    </row>
    <row r="6" spans="2:3" ht="15">
      <c r="B6" s="1298">
        <v>1</v>
      </c>
      <c r="C6" s="1299" t="s">
        <v>249</v>
      </c>
    </row>
    <row r="7" spans="2:3" ht="15">
      <c r="B7" s="1300">
        <f>+B6+1</f>
        <v>2</v>
      </c>
      <c r="C7" s="1301" t="s">
        <v>250</v>
      </c>
    </row>
    <row r="8" spans="2:3" ht="15">
      <c r="B8" s="1300">
        <f t="shared" ref="B8:B22" si="0">+B7+1</f>
        <v>3</v>
      </c>
      <c r="C8" s="1286" t="s">
        <v>395</v>
      </c>
    </row>
    <row r="9" spans="2:3" ht="15">
      <c r="B9" s="1300">
        <f t="shared" si="0"/>
        <v>4</v>
      </c>
      <c r="C9" s="1301" t="s">
        <v>251</v>
      </c>
    </row>
    <row r="10" spans="2:3" ht="15">
      <c r="B10" s="1300">
        <f t="shared" si="0"/>
        <v>5</v>
      </c>
      <c r="C10" s="1301" t="s">
        <v>252</v>
      </c>
    </row>
    <row r="11" spans="2:3" ht="15">
      <c r="B11" s="1300">
        <f t="shared" si="0"/>
        <v>6</v>
      </c>
      <c r="C11" s="1301" t="s">
        <v>725</v>
      </c>
    </row>
    <row r="12" spans="2:3" ht="15">
      <c r="B12" s="1300">
        <f t="shared" si="0"/>
        <v>7</v>
      </c>
      <c r="C12" s="1301" t="s">
        <v>396</v>
      </c>
    </row>
    <row r="13" spans="2:3" ht="15">
      <c r="B13" s="1300">
        <f t="shared" si="0"/>
        <v>8</v>
      </c>
      <c r="C13" s="1286" t="s">
        <v>253</v>
      </c>
    </row>
    <row r="14" spans="2:3" ht="15">
      <c r="B14" s="1300">
        <f t="shared" si="0"/>
        <v>9</v>
      </c>
      <c r="C14" s="1302" t="s">
        <v>254</v>
      </c>
    </row>
    <row r="15" spans="2:3" ht="15">
      <c r="B15" s="1300">
        <f t="shared" si="0"/>
        <v>10</v>
      </c>
      <c r="C15" s="1286" t="s">
        <v>397</v>
      </c>
    </row>
    <row r="16" spans="2:3" ht="15">
      <c r="B16" s="1300">
        <f t="shared" si="0"/>
        <v>11</v>
      </c>
      <c r="C16" s="1301" t="s">
        <v>398</v>
      </c>
    </row>
    <row r="17" spans="2:5" ht="15">
      <c r="B17" s="1300">
        <f t="shared" si="0"/>
        <v>12</v>
      </c>
      <c r="C17" s="1301" t="s">
        <v>255</v>
      </c>
    </row>
    <row r="18" spans="2:5" ht="15">
      <c r="B18" s="1300">
        <f t="shared" si="0"/>
        <v>13</v>
      </c>
      <c r="C18" s="1301" t="s">
        <v>256</v>
      </c>
    </row>
    <row r="19" spans="2:5" ht="15">
      <c r="B19" s="1300">
        <f t="shared" si="0"/>
        <v>14</v>
      </c>
      <c r="C19" s="1301" t="s">
        <v>257</v>
      </c>
    </row>
    <row r="20" spans="2:5" ht="15">
      <c r="B20" s="1300">
        <f t="shared" si="0"/>
        <v>15</v>
      </c>
      <c r="C20" s="1301" t="s">
        <v>399</v>
      </c>
    </row>
    <row r="21" spans="2:5" ht="15">
      <c r="B21" s="1300">
        <f t="shared" si="0"/>
        <v>16</v>
      </c>
      <c r="C21" s="1301" t="s">
        <v>400</v>
      </c>
    </row>
    <row r="22" spans="2:5" ht="15">
      <c r="B22" s="1300">
        <f t="shared" si="0"/>
        <v>17</v>
      </c>
      <c r="C22" s="1286" t="s">
        <v>258</v>
      </c>
    </row>
    <row r="23" spans="2:5" ht="210">
      <c r="B23" s="1303">
        <f t="shared" ref="B23" si="1">B22+1</f>
        <v>18</v>
      </c>
      <c r="C23" s="1304" t="s">
        <v>259</v>
      </c>
    </row>
    <row r="24" spans="2:5">
      <c r="C24" s="1297"/>
      <c r="D24" s="1305"/>
      <c r="E24" s="1287"/>
    </row>
    <row r="25" spans="2:5" ht="191.25">
      <c r="B25" s="568" t="s">
        <v>238</v>
      </c>
      <c r="C25" s="1292" t="s">
        <v>260</v>
      </c>
    </row>
    <row r="26" spans="2:5">
      <c r="C26" s="1297"/>
      <c r="D26" s="1305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C12"/>
  <sheetViews>
    <sheetView workbookViewId="0"/>
  </sheetViews>
  <sheetFormatPr baseColWidth="10" defaultColWidth="9.33203125" defaultRowHeight="12.75"/>
  <sheetData>
    <row r="1" spans="2:3" ht="23.25">
      <c r="B1" s="1897" t="s">
        <v>261</v>
      </c>
      <c r="C1" s="1897"/>
    </row>
    <row r="3" spans="2:3" ht="18">
      <c r="B3" s="1898" t="s">
        <v>188</v>
      </c>
      <c r="C3" s="1898" t="s">
        <v>222</v>
      </c>
    </row>
    <row r="4" spans="2:3" ht="18">
      <c r="B4" s="1899"/>
      <c r="C4" s="1899"/>
    </row>
    <row r="5" spans="2:3" ht="15">
      <c r="B5" s="1306">
        <v>1</v>
      </c>
      <c r="C5" s="1307" t="s">
        <v>405</v>
      </c>
    </row>
    <row r="6" spans="2:3" ht="15">
      <c r="B6" s="1308">
        <f>B5+1</f>
        <v>2</v>
      </c>
      <c r="C6" s="1309" t="s">
        <v>406</v>
      </c>
    </row>
    <row r="7" spans="2:3" ht="15">
      <c r="B7" s="1308">
        <f>B6+1</f>
        <v>3</v>
      </c>
      <c r="C7" s="1309" t="s">
        <v>407</v>
      </c>
    </row>
    <row r="8" spans="2:3" ht="15">
      <c r="B8" s="1308">
        <v>4</v>
      </c>
      <c r="C8" s="1309" t="s">
        <v>223</v>
      </c>
    </row>
    <row r="9" spans="2:3" ht="15">
      <c r="B9" s="1308">
        <v>5</v>
      </c>
      <c r="C9" s="1310" t="s">
        <v>262</v>
      </c>
    </row>
    <row r="10" spans="2:3" ht="15">
      <c r="B10" s="1311"/>
      <c r="C10" s="1312"/>
    </row>
    <row r="11" spans="2:3">
      <c r="C11" s="1290"/>
    </row>
    <row r="12" spans="2:3" ht="280.5">
      <c r="B12" s="568" t="s">
        <v>238</v>
      </c>
      <c r="C12" s="1292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26</vt:i4>
      </vt:variant>
    </vt:vector>
  </HeadingPairs>
  <TitlesOfParts>
    <vt:vector size="56" baseType="lpstr">
      <vt:lpstr>Resumen Total</vt:lpstr>
      <vt:lpstr>G. GENERALES</vt:lpstr>
      <vt:lpstr>CRONOG_VALORIZ</vt:lpstr>
      <vt:lpstr>EXPED-TECNICO</vt:lpstr>
      <vt:lpstr>RESUMEN LP</vt:lpstr>
      <vt:lpstr>Alternativa-LP</vt:lpstr>
      <vt:lpstr>SUMINISTRO LP</vt:lpstr>
      <vt:lpstr>MONTAJE LP</vt:lpstr>
      <vt:lpstr>TRANS_LP</vt:lpstr>
      <vt:lpstr>POLINOMICA LP</vt:lpstr>
      <vt:lpstr>RESUMEN RP</vt:lpstr>
      <vt:lpstr>Alternativa-RP</vt:lpstr>
      <vt:lpstr>SUMINISTRO RP</vt:lpstr>
      <vt:lpstr>MONTAJE RP</vt:lpstr>
      <vt:lpstr>TRANS._RP</vt:lpstr>
      <vt:lpstr>POLINOMICA RP</vt:lpstr>
      <vt:lpstr>RESUMEN RS</vt:lpstr>
      <vt:lpstr>Alternativa-RS</vt:lpstr>
      <vt:lpstr>SUMINISTRO RS</vt:lpstr>
      <vt:lpstr>MONTAJE RS</vt:lpstr>
      <vt:lpstr>TRANS.RS</vt:lpstr>
      <vt:lpstr>POLINOMICA RS</vt:lpstr>
      <vt:lpstr>Alternativa-SFV)</vt:lpstr>
      <vt:lpstr>SFVS</vt:lpstr>
      <vt:lpstr>MetradoSFV</vt:lpstr>
      <vt:lpstr>POLINOMICA  SFVS</vt:lpstr>
      <vt:lpstr>EQUIPO</vt:lpstr>
      <vt:lpstr>MO</vt:lpstr>
      <vt:lpstr>MATERIALES</vt:lpstr>
      <vt:lpstr>MAQUINARIA</vt:lpstr>
      <vt:lpstr>'EXPED-TECNICO'!Área_de_impresión</vt:lpstr>
      <vt:lpstr>MetradoSFV!Área_de_impresión</vt:lpstr>
      <vt:lpstr>'MONTAJE LP'!Área_de_impresión</vt:lpstr>
      <vt:lpstr>'MONTAJE RP'!Área_de_impresión</vt:lpstr>
      <vt:lpstr>'MONTAJE RS'!Área_de_impresión</vt:lpstr>
      <vt:lpstr>'RESUMEN LP'!Área_de_impresión</vt:lpstr>
      <vt:lpstr>'RESUMEN RP'!Área_de_impresión</vt:lpstr>
      <vt:lpstr>'RESUMEN RS'!Área_de_impresión</vt:lpstr>
      <vt:lpstr>'Resumen Total'!Área_de_impresión</vt:lpstr>
      <vt:lpstr>SFVS!Área_de_impresión</vt:lpstr>
      <vt:lpstr>'SUMINISTRO LP'!Área_de_impresión</vt:lpstr>
      <vt:lpstr>'SUMINISTRO RP'!Área_de_impresión</vt:lpstr>
      <vt:lpstr>'SUMINISTRO RS'!Área_de_impresión</vt:lpstr>
      <vt:lpstr>TRANS._RP!Área_de_impresión</vt:lpstr>
      <vt:lpstr>TRANS.RS!Área_de_impresión</vt:lpstr>
      <vt:lpstr>TRANS_LP!Área_de_impresión</vt:lpstr>
      <vt:lpstr>'MONTAJE LP'!Títulos_a_imprimir</vt:lpstr>
      <vt:lpstr>'MONTAJE RP'!Títulos_a_imprimir</vt:lpstr>
      <vt:lpstr>'MONTAJE RS'!Títulos_a_imprimir</vt:lpstr>
      <vt:lpstr>SFVS!Títulos_a_imprimir</vt:lpstr>
      <vt:lpstr>'SUMINISTRO LP'!Títulos_a_imprimir</vt:lpstr>
      <vt:lpstr>'SUMINISTRO RP'!Títulos_a_imprimir</vt:lpstr>
      <vt:lpstr>'SUMINISTRO RS'!Títulos_a_imprimir</vt:lpstr>
      <vt:lpstr>TRANS._RP!Títulos_a_imprimir</vt:lpstr>
      <vt:lpstr>TRANS.RS!Títulos_a_imprimir</vt:lpstr>
      <vt:lpstr>TRANS_LP!Títulos_a_imprimir</vt:lpstr>
    </vt:vector>
  </TitlesOfParts>
  <Company>Priconsa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Prieto</dc:creator>
  <cp:lastModifiedBy>HP</cp:lastModifiedBy>
  <cp:lastPrinted>2023-06-26T14:40:36Z</cp:lastPrinted>
  <dcterms:created xsi:type="dcterms:W3CDTF">2000-06-23T17:13:38Z</dcterms:created>
  <dcterms:modified xsi:type="dcterms:W3CDTF">2024-10-21T23:06:13Z</dcterms:modified>
</cp:coreProperties>
</file>