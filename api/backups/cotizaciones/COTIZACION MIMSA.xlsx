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FE3FF9A-7CFB-497B-9131-9565C4858A36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Ferretería (2)" sheetId="32" r:id="rId1"/>
    <sheet name="Ferretería" sheetId="31" r:id="rId2"/>
    <sheet name="N°Cuentas" sheetId="19" r:id="rId3"/>
    <sheet name="Plano Almacén" sheetId="20" r:id="rId4"/>
    <sheet name="Brochure" sheetId="21" r:id="rId5"/>
  </sheets>
  <definedNames>
    <definedName name="_xlnm._FilterDatabase" localSheetId="1" hidden="1">Ferretería!$A$17:$L$274</definedName>
    <definedName name="_xlnm._FilterDatabase" localSheetId="0" hidden="1">'Ferretería (2)'!$A$17:$J$31</definedName>
    <definedName name="_xlnm.Print_Area" localSheetId="1">Ferretería!$A$1:$L$277</definedName>
    <definedName name="_xlnm.Print_Area" localSheetId="0">'Ferretería (2)'!$A$1:$J$36</definedName>
    <definedName name="_xlnm.Print_Titles" localSheetId="1">Ferretería!$17:$17</definedName>
    <definedName name="_xlnm.Print_Titles" localSheetId="0">'Ferretería (2)'!$17:$17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271" i="31" l="1"/>
  <c r="K252" i="31"/>
  <c r="K253" i="31"/>
  <c r="K255" i="31"/>
  <c r="K256" i="31"/>
  <c r="K257" i="31"/>
  <c r="K259" i="31"/>
  <c r="K260" i="31"/>
  <c r="K262" i="31"/>
  <c r="K263" i="31"/>
  <c r="K264" i="31"/>
  <c r="K266" i="31"/>
  <c r="K267" i="31"/>
  <c r="K268" i="31"/>
  <c r="I271" i="31"/>
  <c r="I268" i="31" l="1"/>
  <c r="I267" i="31"/>
  <c r="I266" i="31"/>
  <c r="I264" i="31"/>
  <c r="I263" i="31"/>
  <c r="I262" i="31"/>
  <c r="I261" i="31"/>
  <c r="I260" i="31"/>
  <c r="I259" i="31"/>
  <c r="I257" i="31"/>
  <c r="I256" i="31"/>
  <c r="I255" i="31"/>
  <c r="I253" i="31"/>
  <c r="I252" i="31"/>
  <c r="I21" i="32" l="1"/>
  <c r="K20" i="32"/>
  <c r="I20" i="32"/>
  <c r="K19" i="32"/>
  <c r="I19" i="32"/>
  <c r="I26" i="32"/>
  <c r="I25" i="32"/>
  <c r="K249" i="31"/>
  <c r="K248" i="31"/>
  <c r="K247" i="31"/>
  <c r="K246" i="31"/>
  <c r="K245" i="31"/>
  <c r="K244" i="31"/>
  <c r="K243" i="31"/>
  <c r="K242" i="31"/>
  <c r="K241" i="31"/>
  <c r="K239" i="31"/>
  <c r="K238" i="31"/>
  <c r="K233" i="31"/>
  <c r="K230" i="31"/>
  <c r="K229" i="31"/>
  <c r="K228" i="31"/>
  <c r="K222" i="31"/>
  <c r="K221" i="31"/>
  <c r="K220" i="31"/>
  <c r="K219" i="31"/>
  <c r="K217" i="31"/>
  <c r="K216" i="31"/>
  <c r="K215" i="31"/>
  <c r="K214" i="31"/>
  <c r="K213" i="31"/>
  <c r="K212" i="31"/>
  <c r="K211" i="31"/>
  <c r="K210" i="31"/>
  <c r="K206" i="31"/>
  <c r="K205" i="31"/>
  <c r="K204" i="31"/>
  <c r="K203" i="31"/>
  <c r="K202" i="31"/>
  <c r="K201" i="31"/>
  <c r="K200" i="31"/>
  <c r="K199" i="31"/>
  <c r="K198" i="31"/>
  <c r="K197" i="31"/>
  <c r="K196" i="31"/>
  <c r="K192" i="31"/>
  <c r="K191" i="31"/>
  <c r="K190" i="31"/>
  <c r="K186" i="31"/>
  <c r="K182" i="31"/>
  <c r="K179" i="31"/>
  <c r="K178" i="31"/>
  <c r="K177" i="31"/>
  <c r="K176" i="31"/>
  <c r="K175" i="31"/>
  <c r="K174" i="31"/>
  <c r="K173" i="31"/>
  <c r="K171" i="31"/>
  <c r="K170" i="31"/>
  <c r="K162" i="31"/>
  <c r="K161" i="31"/>
  <c r="K160" i="31"/>
  <c r="K159" i="31"/>
  <c r="K158" i="31"/>
  <c r="K157" i="31"/>
  <c r="K154" i="31"/>
  <c r="K153" i="31"/>
  <c r="K152" i="31"/>
  <c r="K151" i="31"/>
  <c r="K150" i="31"/>
  <c r="K149" i="31"/>
  <c r="K148" i="31"/>
  <c r="K147" i="31"/>
  <c r="K146" i="31"/>
  <c r="K136" i="31"/>
  <c r="K135" i="31"/>
  <c r="K134" i="31"/>
  <c r="K133" i="31"/>
  <c r="K132" i="31"/>
  <c r="K131" i="31"/>
  <c r="K130" i="31"/>
  <c r="K129" i="31"/>
  <c r="K128" i="31"/>
  <c r="K127" i="31"/>
  <c r="K126" i="31"/>
  <c r="K123" i="31"/>
  <c r="K118" i="31"/>
  <c r="K117" i="31"/>
  <c r="K116" i="31"/>
  <c r="K115" i="31"/>
  <c r="K110" i="31"/>
  <c r="K105" i="31"/>
  <c r="K99" i="31"/>
  <c r="K97" i="31"/>
  <c r="K90" i="31"/>
  <c r="K88" i="31"/>
  <c r="K87" i="31"/>
  <c r="K86" i="31"/>
  <c r="K85" i="31"/>
  <c r="K84" i="31"/>
  <c r="K81" i="31"/>
  <c r="K80" i="31"/>
  <c r="K79" i="31"/>
  <c r="K78" i="31"/>
  <c r="K77" i="31"/>
  <c r="K76" i="31"/>
  <c r="K75" i="31"/>
  <c r="K74" i="31"/>
  <c r="K73" i="31"/>
  <c r="K72" i="31"/>
  <c r="K71" i="31"/>
  <c r="K67" i="31"/>
  <c r="K66" i="31"/>
  <c r="K65" i="31"/>
  <c r="K64" i="31"/>
  <c r="K63" i="31"/>
  <c r="K62" i="31"/>
  <c r="K61" i="31"/>
  <c r="K60" i="31"/>
  <c r="K59" i="31"/>
  <c r="K58" i="31"/>
  <c r="K57" i="31"/>
  <c r="K56" i="31"/>
  <c r="K55" i="31"/>
  <c r="K54" i="31"/>
  <c r="K53" i="31"/>
  <c r="K52" i="31"/>
  <c r="K51" i="31"/>
  <c r="K50" i="31"/>
  <c r="K49" i="31"/>
  <c r="K46" i="31"/>
  <c r="K41" i="31"/>
  <c r="K40" i="31"/>
  <c r="K39" i="31"/>
  <c r="K38" i="31"/>
  <c r="K37" i="31"/>
  <c r="K36" i="31"/>
  <c r="K35" i="31"/>
  <c r="K34" i="31"/>
  <c r="K33" i="31"/>
  <c r="K32" i="31"/>
  <c r="K31" i="31"/>
  <c r="K30" i="31"/>
  <c r="K29" i="31"/>
  <c r="K24" i="31"/>
  <c r="K22" i="31"/>
  <c r="I28" i="32" l="1"/>
  <c r="K273" i="31"/>
  <c r="K274" i="31" s="1"/>
  <c r="I30" i="32"/>
  <c r="I31" i="32" s="1"/>
  <c r="I29" i="32"/>
  <c r="I249" i="31" l="1"/>
  <c r="I224" i="31"/>
  <c r="I202" i="31"/>
  <c r="I153" i="31"/>
  <c r="I99" i="31"/>
  <c r="I118" i="31"/>
  <c r="I110" i="31"/>
  <c r="I107" i="31"/>
  <c r="I97" i="31"/>
  <c r="I92" i="31"/>
  <c r="I91" i="31"/>
  <c r="I90" i="31"/>
  <c r="I88" i="31"/>
  <c r="I81" i="31"/>
  <c r="I66" i="31"/>
  <c r="I46" i="31"/>
  <c r="I42" i="31"/>
  <c r="I41" i="31"/>
  <c r="I40" i="31"/>
  <c r="I24" i="31"/>
  <c r="G187" i="31"/>
  <c r="I187" i="31" s="1"/>
  <c r="I119" i="31"/>
  <c r="I117" i="31"/>
  <c r="I115" i="31"/>
  <c r="I105" i="31"/>
  <c r="I98" i="31"/>
  <c r="I86" i="31"/>
  <c r="I84" i="31"/>
  <c r="I77" i="31"/>
  <c r="I74" i="31"/>
  <c r="I72" i="31"/>
  <c r="I65" i="31"/>
  <c r="I63" i="31"/>
  <c r="I62" i="31"/>
  <c r="I58" i="31"/>
  <c r="I56" i="31"/>
  <c r="I55" i="31"/>
  <c r="I53" i="31"/>
  <c r="I52" i="31"/>
  <c r="I49" i="31"/>
  <c r="I43" i="31"/>
  <c r="I38" i="31"/>
  <c r="I36" i="31"/>
  <c r="I34" i="31"/>
  <c r="I33" i="31"/>
  <c r="I29" i="31"/>
  <c r="I85" i="31" l="1"/>
  <c r="I35" i="31"/>
  <c r="I126" i="31"/>
  <c r="I57" i="31"/>
  <c r="I71" i="31"/>
  <c r="I22" i="31"/>
  <c r="I37" i="31"/>
  <c r="I51" i="31"/>
  <c r="I60" i="31"/>
  <c r="I73" i="31"/>
  <c r="I87" i="31"/>
  <c r="I191" i="31"/>
  <c r="I229" i="31"/>
  <c r="I30" i="31"/>
  <c r="I54" i="31"/>
  <c r="I64" i="31"/>
  <c r="I78" i="31"/>
  <c r="I116" i="31"/>
  <c r="I218" i="31"/>
  <c r="I215" i="31"/>
  <c r="I225" i="31"/>
  <c r="I204" i="31"/>
  <c r="I239" i="31"/>
  <c r="I206" i="31"/>
  <c r="I217" i="31"/>
  <c r="I242" i="31"/>
  <c r="I201" i="31"/>
  <c r="I212" i="31"/>
  <c r="I220" i="31"/>
  <c r="I234" i="31"/>
  <c r="I246" i="31"/>
  <c r="I120" i="31"/>
  <c r="I128" i="31"/>
  <c r="I130" i="31"/>
  <c r="I135" i="31"/>
  <c r="I140" i="31"/>
  <c r="I147" i="31"/>
  <c r="I151" i="31"/>
  <c r="I154" i="31"/>
  <c r="I160" i="31"/>
  <c r="I162" i="31"/>
  <c r="I165" i="31"/>
  <c r="I171" i="31"/>
  <c r="I174" i="31"/>
  <c r="I176" i="31"/>
  <c r="I178" i="31"/>
  <c r="I182" i="31"/>
  <c r="I190" i="31"/>
  <c r="I192" i="31"/>
  <c r="I199" i="31"/>
  <c r="I210" i="31"/>
  <c r="I230" i="31"/>
  <c r="I244" i="31"/>
  <c r="I203" i="31"/>
  <c r="I213" i="31"/>
  <c r="I221" i="31"/>
  <c r="I235" i="31"/>
  <c r="I247" i="31"/>
  <c r="I205" i="31"/>
  <c r="I216" i="31"/>
  <c r="I228" i="31"/>
  <c r="I241" i="31"/>
  <c r="I200" i="31"/>
  <c r="I211" i="31"/>
  <c r="I219" i="31"/>
  <c r="I233" i="31"/>
  <c r="I245" i="31"/>
  <c r="I123" i="31"/>
  <c r="I127" i="31"/>
  <c r="I129" i="31"/>
  <c r="I131" i="31"/>
  <c r="I134" i="31"/>
  <c r="I136" i="31"/>
  <c r="I141" i="31"/>
  <c r="I146" i="31"/>
  <c r="I148" i="31"/>
  <c r="I150" i="31"/>
  <c r="I152" i="31"/>
  <c r="I157" i="31"/>
  <c r="I159" i="31"/>
  <c r="I161" i="31"/>
  <c r="I163" i="31"/>
  <c r="I170" i="31"/>
  <c r="I173" i="31"/>
  <c r="I175" i="31"/>
  <c r="I177" i="31"/>
  <c r="I179" i="31"/>
  <c r="I186" i="31"/>
  <c r="I196" i="31"/>
  <c r="I198" i="31"/>
  <c r="I214" i="31"/>
  <c r="I222" i="31"/>
  <c r="I238" i="31"/>
  <c r="I248" i="31"/>
  <c r="I197" i="31" l="1"/>
  <c r="I132" i="31"/>
  <c r="I149" i="31"/>
  <c r="I158" i="31"/>
  <c r="I142" i="31"/>
  <c r="I76" i="31" l="1"/>
  <c r="I67" i="31" l="1"/>
  <c r="I272" i="31" l="1"/>
  <c r="K276" i="31" s="1"/>
  <c r="I273" i="31" l="1"/>
  <c r="I274" i="31" s="1"/>
</calcChain>
</file>

<file path=xl/sharedStrings.xml><?xml version="1.0" encoding="utf-8"?>
<sst xmlns="http://schemas.openxmlformats.org/spreadsheetml/2006/main" count="768" uniqueCount="252">
  <si>
    <t>ITEM</t>
  </si>
  <si>
    <t>ARTICULO OFERTADO</t>
  </si>
  <si>
    <t>MARCA - PAIS</t>
  </si>
  <si>
    <t>SUB TOTAL</t>
  </si>
  <si>
    <t>Sí</t>
  </si>
  <si>
    <t xml:space="preserve">SUB TOTAL </t>
  </si>
  <si>
    <t>IGV 18%</t>
  </si>
  <si>
    <t xml:space="preserve">TOTAL  </t>
  </si>
  <si>
    <t>PRECIO DE VENTA</t>
  </si>
  <si>
    <t>CANT</t>
  </si>
  <si>
    <t>CODIGO</t>
  </si>
  <si>
    <t>U.M.</t>
  </si>
  <si>
    <t>u</t>
  </si>
  <si>
    <t>m</t>
  </si>
  <si>
    <t>OBSERVACIONES</t>
  </si>
  <si>
    <t>CONECTOR DE BRONCE VARILLA 16MM Ø(5/8)</t>
  </si>
  <si>
    <t>PERNO DOBLE ARMADO DE A°G° 5/8Ø X 20 C/4 TC C/4 CTCBC</t>
  </si>
  <si>
    <t>PERNO OJO A°G° DE 5/8Ø X 12 C/ TC C/ CTCBC</t>
  </si>
  <si>
    <t>PERNO COCHE A°G° DE 1/2Ø X 6 C/ TC C/ APL C/ CTCBC</t>
  </si>
  <si>
    <t>ALAMBRE DE A°G° PARA ENTORCHE N° 12 (1 MTS)</t>
  </si>
  <si>
    <t>AMORTIGUADOR DE VIBRACION STOCKBRIGDE P/CONDUCTOR   35-70mm² (7-12mmØ) [FR-1]</t>
  </si>
  <si>
    <t>CABLE DE A°G° 3/8 7 HILOS EHS - clase B</t>
  </si>
  <si>
    <t>GRAPA EN U DE ACERO COBREADA 5/32” X 1.1/2” (25µm)</t>
  </si>
  <si>
    <t>CONECTOR DE ALUMINIO TIPO DOBLE VIA 16-50MM² C/2 PH Ø 5/16  X 1 1/2 C/2 HUACHA DE AL</t>
  </si>
  <si>
    <t>CONECTOR DE DERIV. CUÑA TIPO II   (INTELLI)</t>
  </si>
  <si>
    <t>CONECTOR DE DERIV. CUÑA TIPO I    (INTELLI)</t>
  </si>
  <si>
    <t>CINTILLOS PLASTICOS +UV 7.6 X 370MM NEGRO</t>
  </si>
  <si>
    <t>ELECTRODO PUESTA A TIERRA 5/8"" (16MM) X 2.40MTS ELECTROLITICO 280 MICRAS</t>
  </si>
  <si>
    <t>TUBO DE PVC SAP 3/4 X 3.0 M</t>
  </si>
  <si>
    <t>ARANDELA CUADRADA PLANA A°G° 4 X 4 X 1/4 HUECO 11/16Ø</t>
  </si>
  <si>
    <t>ARMELLA TIRAFON DE A°G° (6MM X 160MM)</t>
  </si>
  <si>
    <t>TEMPLADOR DE ACOMETIDA A°G° ESP 1.15</t>
  </si>
  <si>
    <t>GRAPA DE ANCLAJE T/PISTOLA AL 25-70mm² C/2P [IP]</t>
  </si>
  <si>
    <t>TUERCA OJO DE A°G° DE 16MM(5/8)Ø</t>
  </si>
  <si>
    <t>ADAPTADOR A°G° GRILLETE TIPO LIRA 5/8 C/PIN 5/8 X 3 C/PASADOR INOXIDABLE</t>
  </si>
  <si>
    <t>ARANDELA CUADRADA PLANA A°G° 2 1/4 X 2 1/4 X 3/16 HUECO 11/16Ø</t>
  </si>
  <si>
    <t>CONECTOR DE COBRE TIPO PERNO PARTIDO 25MM2 (PF-25) - INTELLI</t>
  </si>
  <si>
    <t>PERNO MAQUINADO A°G° 5/8"Ø X 14" CABEZA CUADRADA C/TC C/CTCBC (R.6")</t>
  </si>
  <si>
    <t>PERNO MAQUINADO A°G° 5/8"Ø X 12" CABEZA CUADRADA C/TC C/CTCBC (R.6")</t>
  </si>
  <si>
    <t>PERNO OJO A°G° DE 5/8Ø X 8 C/ TC C/ CTCBC</t>
  </si>
  <si>
    <t>ARANDELA CUADRADA CURVADA A°G° 2 1/4 X 2 1/4 X 3/16 HUECO 11/16Ø</t>
  </si>
  <si>
    <t>PORTALINEA VERTICAL SIMPLE DE F°G° P AISLADOR 53-1 CON PIN 1/2 X 3 (TIPO MEM)</t>
  </si>
  <si>
    <t>ALAMBRE DE ALUMINIO PARA AMARRE 16MM²</t>
  </si>
  <si>
    <t>FLEJE DE ACERO INOXIDABLE DE 3/4" x Mt. (JJT)</t>
  </si>
  <si>
    <t>VARILLA DE ANCLAJE C/ GUARDACABO A°G° 5/8Ø X 2.40M C/ TC C/ CTCBC</t>
  </si>
  <si>
    <t>PERNO ANGULAR C/ OJAL GUARDACABO A°G° DE 5/8Ø X 12 C/ TC C/ CTCBC</t>
  </si>
  <si>
    <t>PLANCHA DOBLADA DE COBRE TIPO J</t>
  </si>
  <si>
    <t>VARILLA DE ARMAR DOBLE DE ALUMINIO PARA CONDUCTOR DE 35MM²(Long.1222mm-9h-2.98ɸ) MEM</t>
  </si>
  <si>
    <t>HEBILLA DE ACERO INOXIDABLE P/ FLEJE 3/4 IMPORT (JJT)</t>
  </si>
  <si>
    <t>ADAPTADOR A°G° GRILLETE RECTO DE SUJECCION DE 5/8"" 70KN C/PIN 5/8 X 2 1/2 C/PASADOR INOX</t>
  </si>
  <si>
    <t>CONECTOR DE DERIV. TIPO PERFORACION 10-95/1.5-10 (CDP70) - INTELLI</t>
  </si>
  <si>
    <t>ESPIGA PUNTA POSTE A°G° 610MM (24) CABEZA PB. 1.3/8 (E=4MM) PLOMO CONO DE CARTON</t>
  </si>
  <si>
    <t>VARILLA DE ARMAR SIMPLE DE ALUMINIO PARA CONDUCTOR DE 35MM²(Long.960mm-9h-2.98ɸ) MEM</t>
  </si>
  <si>
    <t>CONECTOR DE ALUMINIO TIPO DOBLE VIA 70-120MM² C/2 PH Ø 5/16 X 2 C/2 HUACHA DE AL</t>
  </si>
  <si>
    <t>GRAPA ANGULO DE ALUMINIO 16-70 MM² C/PH Ø1/2 X 2 C/TH 1/2 C/APL C/PIN 5/8 X 2 1/4 C/PAS. INOX</t>
  </si>
  <si>
    <t>PERNO MAQUINADO A°G° 1/2"Ø X 10" CABEZA CUADRADA C/TC C/CTCBC (R.6")</t>
  </si>
  <si>
    <t>PERNO MAQUINADO A°G° 5/8"Ø X 10" CABEZA CUADRADA C/TC C/CTCBC (R.6")</t>
  </si>
  <si>
    <t>PERNO OJO A°G° DE 5/8Ø X 10 C/ TC C/ CTCBC</t>
  </si>
  <si>
    <t>BRAZO DE SOPORTE (RIOSTRA) DE PERFIL ANGULAR AºGº DE 1 1/2 X 1 1/2 X 3/16 X 710MM (TIPO MEM)</t>
  </si>
  <si>
    <t>AMARRE PREFORMADO A°G° PARA CABLE DE 3/8Ø DE 889MM DE LARGO PARA CABLE EHS - 6H -NACIONAL</t>
  </si>
  <si>
    <t>ALAMBRE DE A°G° PARA ENTORCHE N° 14 (1 MTS)</t>
  </si>
  <si>
    <t>ENLACE METALICO A°G° 1/4x3x254MM C/BORDE DESTAJADO C/2AGUJ. 11/16 ABERTURA EXT 15MM</t>
  </si>
  <si>
    <t>VARILLA DE ARMAR SIMPLE DE ALUMINIO PARA CONDUCTOR DE 70MM²(Long.1370mm-12h-3.1ɸ) MEM</t>
  </si>
  <si>
    <t>GRAPA DE SUSPENSION TIPO MANITO DE ALUMINIO DE 25-35MM² - BT C/PH 3/8 X 2 C/TH</t>
  </si>
  <si>
    <t>GRAPA DE ANCLAJE CONICA DE AL-AL P/CABLE DESNUDO 25-35MM² 1LENGÜETA DE BAQ C/INSERTO AL C/ UBOLT Ø ¼</t>
  </si>
  <si>
    <t>CONECTOR DE DERIV. TIPO PERFORACION 10-150/4-35 (CDP150) - INTELLI</t>
  </si>
  <si>
    <t>PASTORAL A°G° 43MM EXT 0.50 MT A.H. 0.72 MT ALT. 20° ESP 3MM (TIPO MEM)</t>
  </si>
  <si>
    <t>PORTAFUSIBLE (TIPO PESCADITO) C/2 STOVE BOLT  5/32X1 1/2, C/4 TH 5/32</t>
  </si>
  <si>
    <t>PERNO OJAL ABIERTO F°G° DE 5/8Ø X 305MM C/ TC C/ CTCBC C/2 AC 2 1/4 X 2 1/4 X 3/16</t>
  </si>
  <si>
    <t>PERNO MAQUINADO A°G° 1/2"Ø X 12" CABEZA CUADRADA C/TC C/CTCBC (R.6")</t>
  </si>
  <si>
    <t>CONECTOR DE BRONCE ESTAÑADO 16-50MM² C/ PH Ø 5/16 X 1 1/2 C/ TH</t>
  </si>
  <si>
    <t>CAJA DE DERIVACION PARA ACOMETIDAS SISTEMA 440- 220V (10 SALIDAS) MONOF. DE 1.5 ESPESOR C/CHAPA TR</t>
  </si>
  <si>
    <t>CINTA PLANA DE ARMAR DE AL. DE 1.3 X 7.6MM</t>
  </si>
  <si>
    <t>PERNO OJAL ABIERTO F°G° DE 5/8Ø X 254MM C/ TC C/ CTCBC C/2 AC 2 1/4 X 2 1/4 X 3/16</t>
  </si>
  <si>
    <t>ARTICULO ICITADO</t>
  </si>
  <si>
    <t>PERNO MAQUINADO A°G° 5/8"Ø X 18" CABEZA CUADRADA C/TC C/CTCBC (R.6")</t>
  </si>
  <si>
    <t>GRAPA DE ANCLAJE T/PISTOLA AL 70-120mm² C/3P [NC]</t>
  </si>
  <si>
    <t>PUESTA A TIERRA</t>
  </si>
  <si>
    <t>MENDOZA-PERU</t>
  </si>
  <si>
    <t>LINEAS PRIMARIAS</t>
  </si>
  <si>
    <t>TUBO DE F°G° 3/4 (22MM EXT) X 1.5 MM X 4.0 M C/CODO C/ARMELLA SOLDADA</t>
  </si>
  <si>
    <t>REDES PRIMARIAS</t>
  </si>
  <si>
    <t>Varilla de Armar preformada Simple para Conductor de 35 mm²</t>
  </si>
  <si>
    <t>Alambre de Amarre Aluminio Recocido de 16 mm²</t>
  </si>
  <si>
    <t>Tuerca-Ojo para Perno de 16 mm Ø</t>
  </si>
  <si>
    <t>Arandela Cuadrada Curva de A° G°, 57 x 57 x 5 mm, Agujero de 18 mm Ø</t>
  </si>
  <si>
    <t>Cable de Acero Grado Siemens Martin, de 10 mm Ø, 7 hilos</t>
  </si>
  <si>
    <t>Varilla de Anclaje de A°G° de 16 mm Ø x 2,40 m, provisto de Ojal Guardacabo en un extremo; Tuerca y Contratuerca en el otro</t>
  </si>
  <si>
    <t>Alambre de Acero N° 12 para Entorchado</t>
  </si>
  <si>
    <t>Arandela de Anclaje de A°G°, 102 x 102 x 6,35 mm, Agujero de 18 mmø</t>
  </si>
  <si>
    <t>REDES SECUNDARIAS</t>
  </si>
  <si>
    <t>ACCESORIOS DE CABLES AUTOPORTANTES</t>
  </si>
  <si>
    <t>CABLES Y CONDUCTORES DE COBRE</t>
  </si>
  <si>
    <t>LUMINARIAS, LAMPARAS Y ACCESORIOS</t>
  </si>
  <si>
    <t>RETENIDAS Y ANCLAJES</t>
  </si>
  <si>
    <t>ACCESORIOS DE FERRETERIA PARA ESTRUCTURAS</t>
  </si>
  <si>
    <t>CONEXIONES DOMICILIARIAS</t>
  </si>
  <si>
    <t>PERNO MAQUINADO A°G° 5/8"Ø X 8" CABEZA CUADRADA C/TC C/CTCBC (R.6")</t>
  </si>
  <si>
    <t>AISLADORES Y ACCESORIOS</t>
  </si>
  <si>
    <t>Espiga de AºGº de 609 mm longitud, para Cabeza de Poste y Aislador ANSI 56-3</t>
  </si>
  <si>
    <t>AISLADORES DE SUSPENSION Y ACCESORIOS</t>
  </si>
  <si>
    <t>Grillete Recto</t>
  </si>
  <si>
    <t>CONDUCTOR DE ALEACIÓN DE ALUMINIO</t>
  </si>
  <si>
    <t>ACCESORIOS PARA CONDUCTOR DE ALEACION DE ALUMINIO</t>
  </si>
  <si>
    <t>Varilla de Armar preformada Simple para Conductor de 70 mm²</t>
  </si>
  <si>
    <t>Manguito de Empalme para Conductor de 35 mm²</t>
  </si>
  <si>
    <t>Manguito de Reparacion para Conductor de 35 mm²</t>
  </si>
  <si>
    <t>Grapa de Doble Via de Aluminio para Conductor de 35 mm²</t>
  </si>
  <si>
    <t>Grapa de Doble Via de Aluminio para Conductor de 70 mm²</t>
  </si>
  <si>
    <t>Amortiguador de Vibracion Tipo Stockbridge para Conductor de 35 mm²</t>
  </si>
  <si>
    <t>Amortiguador de Vibracion Tipo Stockbridge para Conductor de 70 mm²</t>
  </si>
  <si>
    <t xml:space="preserve">Grapa de Angulo para Conductor de 35 mm²  </t>
  </si>
  <si>
    <t xml:space="preserve">Grapa de Angulo para Conductor de 70 mm²  </t>
  </si>
  <si>
    <t>Grapa de Anclaje para Conductor de 35 mm²</t>
  </si>
  <si>
    <t>Grapa de Anclaje para Conductor de 70 mm²</t>
  </si>
  <si>
    <t>Cinta plana de armar de aluminio</t>
  </si>
  <si>
    <t>Varilla de Armar preformada Doble para Conductor de 35 mm²</t>
  </si>
  <si>
    <t>CONDUCTOR DE COBRE</t>
  </si>
  <si>
    <t>Cable de Acero con Recubrimiento Metalúrgico de Cu de 4 AWG (21,15 mm²), para Puesta a Tierra</t>
  </si>
  <si>
    <t>MATERIAL DE FERRETERIA PARA POSTES Y CRUCETAS</t>
  </si>
  <si>
    <t>Perno Cabeza Coche de AºGº de 13 mm Ø x 152 mm longitud, 76 mm maquinado, con Arandela, Tuerca y Contratuerca</t>
  </si>
  <si>
    <t>Perno de A°G° de 13 mm Ø x 254 mm, provisto de Tuerca y  Contratuerca</t>
  </si>
  <si>
    <t>Perno de A°G° de 13 mm Ø x 305 mm, provisto de Tuerca y  Contratuerca</t>
  </si>
  <si>
    <t>Perno de A°G° de 16 mm Ø x 254 mm, provisto de Tuerca y  Contratuerca</t>
  </si>
  <si>
    <t>Perno de A°G° de 16 mm Ø x 305 mm, provisto de Tuerca y  Contratuerca</t>
  </si>
  <si>
    <t>Perno de A°G° de 16 mm Ø x 356 mm, provisto de Tuerca y  Contratuerca</t>
  </si>
  <si>
    <t>Perno de A°G° de 16 mm Ø x 508 mm, provisto de Tuerca y  Contratuerca</t>
  </si>
  <si>
    <t>Perno Doble Armado de A°G° de 16 mm Ø  x 508 mm, provisto de  4 Tuercas y 4 Contratuercas</t>
  </si>
  <si>
    <t>Perno Ojo de A°G° de 16 mm Ø  x 254 mm, provisto de Tuerca  y Contratuerca</t>
  </si>
  <si>
    <t>Perno Ojo de A°G° de 16 mm Ø  x 305 mm, provisto de Tuerca  y Contratuerca</t>
  </si>
  <si>
    <t>Perno Ojo de A°G° de 16 mm Ø  x 356 mm, provisto de Tuerca  y Contratuerca</t>
  </si>
  <si>
    <t>Tirafondo de A°G° de 13 mm ø  x 102 mm de longitud</t>
  </si>
  <si>
    <t>Brazo-Soporte (Riostra) de Perfil Angular de A°G° de 38 x 38 x 5 mm y 710 mm longitud</t>
  </si>
  <si>
    <t>Arandela Cuadrada Plana de A° G°, 57 x 57 x 5 mm, Agujero de 18 mm Ø</t>
  </si>
  <si>
    <t>Arandela Cuadrada curva de A° G°, 57 x 57 x 5 mm, Agujero de 18 mm Ø</t>
  </si>
  <si>
    <t>Placa de Señal de Peligro y accesorios de fijación</t>
  </si>
  <si>
    <t>Placa de Identificación y/o codificación de Estructura y accesorios de fijación</t>
  </si>
  <si>
    <t>Placa de Secuencia de Fases y accesorios de fijación</t>
  </si>
  <si>
    <t>Perno Ojo de A°G° de 16 mm Ø  x 203 mm, provisto de Tuerca  y Contratuerca</t>
  </si>
  <si>
    <t>Soporte separador de vertice de postes de A°G° fabricado con platina de 76 X 6,4 mm</t>
  </si>
  <si>
    <t>Braquete de A°G° para soporte de aislador tipo Line Post en cabea de poste</t>
  </si>
  <si>
    <t>Mordaza Preformada de A°G° para Cable de 10 mm Ø</t>
  </si>
  <si>
    <t>Alambre de Acero N° 14 para Entorchado</t>
  </si>
  <si>
    <t>Soporte de Contrapunta de 51 mm ø x 1200 mm de longitud, con Abrazadera partida en un extremo y Grapa de Ajuste para Cable en el otro</t>
  </si>
  <si>
    <t>Abrazadera de 4 sectores para Retenida, de 75 mm de altura, 6,35 mm de espesor y 70 kN de resistencia. Diámetro según dimensiones del poste,  incluye 4 pernos de 12,7 mm Ø x 63,5 mm y 4 arandelas</t>
  </si>
  <si>
    <t>Enlace metálico, de 254 mm x 75 mm x 38 mm, de 70 kN de resistencia</t>
  </si>
  <si>
    <t>Grillete de Acero de 70 kN</t>
  </si>
  <si>
    <t>Cable de acero grado Alta Resistencia (HS), de 10 mm ø, 7 hilos</t>
  </si>
  <si>
    <t>MATERIAL PARA PUESTA A TIERRA</t>
  </si>
  <si>
    <t>Electrodo de Acero Recubierto de Cobre de 16 mm Ø x 2,40 m</t>
  </si>
  <si>
    <t>Plancha Doblada de Cobre para toma a Tierra de Espigas y/o Pernos</t>
  </si>
  <si>
    <t>Conector de Bronce para Electrodo de 16 mm ø y Cable de Acero con Recubrimiento Metalúrgico de Cobre de 4 AWG (21,15 mm2)</t>
  </si>
  <si>
    <t>Conector de Cobre tipo Perno Partido para Cable de Acero con Recubrimiento Metalúrgico de Cobre de 4 AWG (21,15 mm2)</t>
  </si>
  <si>
    <t>Grapa en "U" para fijar conductor de PAT a Madera</t>
  </si>
  <si>
    <t>Placa de Señalización de Poste (Puesta a Tierra)</t>
  </si>
  <si>
    <t>Bentonita sódica saco de 30 kg</t>
  </si>
  <si>
    <t>EQUIPO DE PROTECCION Y MANIOBRA</t>
  </si>
  <si>
    <t>TRAMO SUBTERRANEO</t>
  </si>
  <si>
    <t>Perfil "U" de A° G° de 150 x 105 x 4.5 mm y 3.00m de Longitud</t>
  </si>
  <si>
    <t>Ductos de concretos de 2 Vias</t>
  </si>
  <si>
    <t>Jgo.</t>
  </si>
  <si>
    <t>- Aislador Polimérico de 36 kV, Tipo Line Post con Espárrago de 19 mm Ø, 200 mm longitud (Alternativa a Conjunto Aislador-Espiga en Cruceta)</t>
  </si>
  <si>
    <t>Espiga para cruceta, forjada de 381mm LONG. Para aislador Tipo Pin, Clase ANSI 56-3</t>
  </si>
  <si>
    <t>AISLADORES DE SUSPENSIÓN Y ACCESORIOS</t>
  </si>
  <si>
    <t>ACCESORIOS PARA CONDUCTOR DE ALEACION ALUMINIO</t>
  </si>
  <si>
    <t>Perno de A°G° de 16 mm Ø x 457 mm, provisto de tuerca y contratuerca</t>
  </si>
  <si>
    <t>Soporte separador de vértice de poste de A°G° fabricado con platina de 76 x 6,4 mm</t>
  </si>
  <si>
    <t>Tubo espaciador de A°G° de 19 mm x 38 mm Ø</t>
  </si>
  <si>
    <t>A</t>
  </si>
  <si>
    <t>Grapa de Suspensión Angular para Conductor de Aleacion de Aluminio de 25 mm2</t>
  </si>
  <si>
    <t>Grapa de Anclaje Cónica para Conductor de Aleación de Aluminio de 25 mm2</t>
  </si>
  <si>
    <t>Conector Bimetálico para Al 25 mm2 / Cu 4-10 mm2, para Neutro Desnudo, tipo Cuña</t>
  </si>
  <si>
    <t>Conector Bimetalico Aislado, para Al 16-35 mm2 / Cu 4-10 mm2, para Fase Aislada, tipo Perforación</t>
  </si>
  <si>
    <t>Conector para Al 25 mm², para Neutro Desnudo, tipo Cuña</t>
  </si>
  <si>
    <t>Conector Aislado para Al 16-35 mm2, para Fase Aislada, tipo Perforación</t>
  </si>
  <si>
    <t>Correa Plástica de Amarre, color negro</t>
  </si>
  <si>
    <t>Grapa de Anclaje para Conductor de 25 mm²</t>
  </si>
  <si>
    <t>Cinta plana de armar 1.3 mm x 7.6 mm</t>
  </si>
  <si>
    <t>Grillete A°G° tipo Lira</t>
  </si>
  <si>
    <t>Pastoral tubo A°G° 38 mm Ø interior, 500 mm avance horizontal, 720 mm altura y 20° inclinación, provisto de 2 abrazaderas simples y 4 tirafondos para poste de madera</t>
  </si>
  <si>
    <t>Luminaria completa con equipo para Lámpara de Vapor de Sodio de 50 W</t>
  </si>
  <si>
    <t>Lámpara de Vapor de Sodio de Alta Presión de 50 W</t>
  </si>
  <si>
    <t>Portafusible Unipolar 220 V, de 5 A, provisto con fusible de 1 A</t>
  </si>
  <si>
    <t>Cable de acero grado Siemens Martin, de 10 mm ø, 7 hilos</t>
  </si>
  <si>
    <t>Perno Angular con Ojal Guardacabo de A°G°, 16 mm Ø x 254 mm, provisto de Tuerca y Contratuerca</t>
  </si>
  <si>
    <t>Perno Angular con Ojal Guardacabo de A°G°, 16 mm Ø x 305 mm, provisto de Tuerca y Contratuerca</t>
  </si>
  <si>
    <t>Soporte de Contrapunta de 51 mm ø x 1000 mm de longitud, con Abrazadera partida en un extremo y Grapa de Ajuste para Cable en el otro</t>
  </si>
  <si>
    <t>Conector Doble Via Bimetálico para Cable de Acero de 10 mm ø y para Cable de Acero con Recubrimiento Metalúrgico de Cobre de 4 AWG (21,15 mm2)</t>
  </si>
  <si>
    <t>Guardacabo de AºGº para cable de 10mm ø</t>
  </si>
  <si>
    <t>Perno con Gancho de 16 mm Ø, provisto de Arandela, Tuerca y Contratuerca, longitud de 254 mm</t>
  </si>
  <si>
    <t>Perno con Gancho de 16 mm Ø, provisto de Arandela, Tuerca y Contratuerca, longitud de 305 mm</t>
  </si>
  <si>
    <t>Arandela Cuadrada Curva de A° G°, 57 x 57 x 5 mm, Agujero de 14 mm Ø</t>
  </si>
  <si>
    <t>Caja de derivacion para acometidas, sistema 440-22O V (10 borneras en cada barra de cobre)</t>
  </si>
  <si>
    <t>Portalinea unipolar de AºGº, provisto de PIN de 10 mm Ø</t>
  </si>
  <si>
    <t>EXTENSOR A°G° 51mmØ, e=6mm x 1000mm DE LONGITUD, PLANCHA A°G° 254mmx305mmx6mm, CON 01 PERNO GANCHO DE SUSPENSION DE A°G° DE 16mmØX178 mm DE LONGITUD + 02 ROSCAS DE 25.4mm x16mmØ VER DETALLE</t>
  </si>
  <si>
    <t>Perno de A°G° de 16 mm Ø x 203 mm, provisto de Tuerca y  Contratuerca</t>
  </si>
  <si>
    <t>Conector bimetálico para Al 25 mm2 y Cobre de 25 mm2, tipo cuña</t>
  </si>
  <si>
    <t>Conector de bronce para electrodo de 16 mm ø y Cable de Acero con Recubrimiento Metalúrgico de Cobre de 4 AWG (21,15 mm2)</t>
  </si>
  <si>
    <t>Grapa en "U" para fijar conductor de PAT a Poste de Madera</t>
  </si>
  <si>
    <t>Listón de madera tratada 50 x 19 mm sección, 2,7 m longitud (incluye clavos de fijación)</t>
  </si>
  <si>
    <t>Tubo de AºGº standard / redondo de 19 mm Ø x 1,5 mm x 2,5 m, provisto de codo</t>
  </si>
  <si>
    <t>Tubo de AºGº standard / redondo de 19 mm Ø x 1,5 mm x 4,0 m, provisto de codo</t>
  </si>
  <si>
    <t>Tubo de AºGº standard / redondo de 19 mm Ø x 1,5 mm x 6,0 m, provisto de codo</t>
  </si>
  <si>
    <t>Tubo de AºGº standard / redondo de 38 mm Ø x 1,5 mm x 6,0 m, provisto de codo</t>
  </si>
  <si>
    <t>Armella Tirafondo de 10 mm Ø x 64 mm de longitud</t>
  </si>
  <si>
    <t>Tarugo de cedro de 13 mm x 50 mm</t>
  </si>
  <si>
    <t xml:space="preserve">Templador de AºGº </t>
  </si>
  <si>
    <t>C</t>
  </si>
  <si>
    <t xml:space="preserve"> ( incluye curva de plastico de 19 mm ø x 90º)</t>
  </si>
  <si>
    <t>Tubo Plastico de PVC SAP de 19 mm ø x 0,5 m</t>
  </si>
  <si>
    <t>Fleje de acero inoxidable 19mm, espesor 0.8mm</t>
  </si>
  <si>
    <t>provisto de Hebilla</t>
  </si>
  <si>
    <t>Pastoral tubo A°G° 38 mm Ø interior, 500 mm avance horizontal, 720 mm altura y 20° inclinación</t>
  </si>
  <si>
    <t>provisto de 2 abrazaderas dobles para poste de concreto</t>
  </si>
  <si>
    <t>Caja Metálica Portamedidor</t>
  </si>
  <si>
    <t>provisto de hebilla</t>
  </si>
  <si>
    <t>Fleje de acero inoxidable de 19 mm</t>
  </si>
  <si>
    <t>( incluye curva de plastico de 19 mm ø x 90º)</t>
  </si>
  <si>
    <t>DOSIS DE BENTONITA SACOS DE 30 KILOS</t>
  </si>
  <si>
    <t>CURVA PLASTICA SAP 3/4, 90º</t>
  </si>
  <si>
    <t>ESPIGA PARA CRUCETA A°G° 3/4 X 1 1/8Ø X 381MM (15) C/PB 1.3/8 ROSCA=5" C/CONO C/ TC C/ CTCBC C/ACPL</t>
  </si>
  <si>
    <t>ARANDELA CUADRADA CURVADA A°G° 2 1/4 X 2 1/4 X 3/16 HUECO 1/2Ø</t>
  </si>
  <si>
    <t>SOPORTE SEPARADOR AºGº DE VERTICE DE POSTE DE 110MM SEPARACION PLATINA 6.4MM</t>
  </si>
  <si>
    <t>CONDUCTOR COPPERWELD 4AWG 21.15MM² SOLIDO 40% LCA (KINGYEAR)</t>
  </si>
  <si>
    <t>JJT ELECTRIC</t>
  </si>
  <si>
    <t>QINGDAO-CHINA</t>
  </si>
  <si>
    <t>TUBO DE F°G° 3/4 (22MM EXT) X 1.5 MM X 2.5 M C/CODO C/ARMELLA SOLDADA</t>
  </si>
  <si>
    <t>PERNO MAQUINADO A°G° 5/8"Ø X 20" CABEZA CUADRADA C/TC C/CTCBC (R.6")</t>
  </si>
  <si>
    <t>TUBO ESPACIADOR DE A°G° DE 22MM (3/4) X 38MM</t>
  </si>
  <si>
    <t>PERNO ANGULAR C/ OJAL GUARDACABO A°G° DE 5/8Ø X 10 C/ TC C/ CTCBC</t>
  </si>
  <si>
    <t xml:space="preserve">ENVIAR PLANO </t>
  </si>
  <si>
    <t>MENDOZA - PERU</t>
  </si>
  <si>
    <t>TUBO DE F°G° 1 1/2 X 1.5 MM X 6.0 M C/CODO C/ARMELLA SOLDADA</t>
  </si>
  <si>
    <t>COPPERCLAD-MEXICO</t>
  </si>
  <si>
    <t>INTELLI - BRASIL</t>
  </si>
  <si>
    <t>INTELLI-BRASIL</t>
  </si>
  <si>
    <t>PRECIO LIC</t>
  </si>
  <si>
    <t>Dcto 4%)</t>
  </si>
  <si>
    <t>se cotiza entre 3 cada tubo tiene 3 metros</t>
  </si>
  <si>
    <t>ACOMETIDA PARA SFV</t>
  </si>
  <si>
    <t>Tarugo de Cedro de 13 mm x 50 mm</t>
  </si>
  <si>
    <t>UNIDAD DE PROTECCION 220 V AC</t>
  </si>
  <si>
    <t>Tubo PVC de 1/2" diámetro x 3 m longitud, clase pesada (SAP)</t>
  </si>
  <si>
    <t>Curva de PVC  de 1/2" de diámetro, clase pesada (SAP)</t>
  </si>
  <si>
    <t>UNIDAD DE CARGAS 220V AC</t>
  </si>
  <si>
    <t>Conector de Bronce para Electrodo de 16 mm ø y Conductor de Cobre de 10 mm2</t>
  </si>
  <si>
    <t>Tubo PVC de 3/4" diámetro x 3 m longitud, clase pesada (SAP)</t>
  </si>
  <si>
    <t>Curva de PVC  de 3/4" de diámetro, clase pesada (SAP)</t>
  </si>
  <si>
    <t>TUBO DE PVC SAP 1/2 X 3 M</t>
  </si>
  <si>
    <t>CURVA PLASTICA SAP 1/2 90º</t>
  </si>
  <si>
    <t>HENAN KINGYEAR</t>
  </si>
  <si>
    <t>TARUGOS DE MADERA 1/2 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</si>
</sst>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5">
    <numFmt numFmtId="41" formatCode="_-* #,##0_-;\-* #,##0_-;_-* &quot;-&quot;_-;_-@_-"/>
    <numFmt numFmtId="43" formatCode="_-* #,##0.00_-;\-* #,##0.00_-;_-* &quot;-&quot;??_-;_-@_-"/>
    <numFmt numFmtId="164" formatCode="_ * #,##0_ ;_ * \-#,##0_ ;_ * &quot;-&quot;_ ;_ @_ "/>
    <numFmt numFmtId="165" formatCode="_ &quot;S/.&quot;\ * #,##0.00_ ;_ &quot;S/.&quot;\ * \-#,##0.00_ ;_ &quot;S/.&quot;\ * &quot;-&quot;??_ ;_ @_ "/>
    <numFmt numFmtId="166" formatCode="_ * #,##0.00_ ;_ * \-#,##0.00_ ;_ * &quot;-&quot;??_ ;_ @_ "/>
    <numFmt numFmtId="167" formatCode="#,"/>
    <numFmt numFmtId="168" formatCode="_ [$€]* #,##0.00_ ;_ [$€]* \-#,##0.00_ ;_ [$€]* &quot;-&quot;??_ ;_ @_ "/>
    <numFmt numFmtId="169" formatCode="#,##0.0_);\(#,##0.0\)"/>
    <numFmt numFmtId="170" formatCode="_(* #,##0_);_(* \(#,##0\);_(* &quot;-&quot;_);_(@_)"/>
    <numFmt numFmtId="171" formatCode="_-* #,##0.00\ _P_t_a_-;\-* #,##0.00\ _P_t_a_-;_-* &quot;-&quot;??\ _P_t_a_-;_-@_-"/>
    <numFmt numFmtId="172" formatCode="_-* #,##0\ _F_-;\-* #,##0\ _F_-;_-* &quot;-&quot;\ _F_-;_-@_-"/>
    <numFmt numFmtId="173" formatCode="_-* #,##0.00\ _F_-;\-* #,##0.00\ _F_-;_-* &quot;-&quot;??\ _F_-;_-@_-"/>
    <numFmt numFmtId="174" formatCode="_-* #,##0\ &quot;F&quot;_-;\-* #,##0\ &quot;F&quot;_-;_-* &quot;-&quot;\ &quot;F&quot;_-;_-@_-"/>
    <numFmt numFmtId="175" formatCode="_-* #,##0.00\ &quot;F&quot;_-;\-* #,##0.00\ &quot;F&quot;_-;_-* &quot;-&quot;??\ &quot;F&quot;_-;_-@_-"/>
    <numFmt numFmtId="176" formatCode="&quot;$&quot;#,##0.00\ ;\(&quot;$&quot;#,##0.00\)"/>
    <numFmt numFmtId="177" formatCode="0.0000"/>
    <numFmt numFmtId="178" formatCode="&quot;S/.&quot;#,##0.00;[Red]\-&quot;S/.&quot;#,##0.00"/>
    <numFmt numFmtId="179" formatCode="&quot;S/.&quot;#,##0;[Red]&quot;S/.&quot;\-#,##0"/>
    <numFmt numFmtId="180" formatCode="_-* #,##0\ _$_-;\-* #,##0\ _$_-;_-* &quot;-&quot;\ _$_-;_-@_-"/>
    <numFmt numFmtId="181" formatCode="_-* #,##0.00\ _$_-;\-* #,##0.00\ _$_-;_-* &quot;-&quot;??\ _$_-;_-@_-"/>
    <numFmt numFmtId="182" formatCode="&quot;S/.&quot;\ #,##0_);\(&quot;S/.&quot;\ #,##0\)"/>
    <numFmt numFmtId="183" formatCode="_ &quot;S/&quot;* #,##0.00_ ;_ &quot;S/&quot;* \-#,##0.00_ ;_ &quot;S/&quot;* &quot;-&quot;??_ ;_ @_ "/>
    <numFmt numFmtId="184" formatCode="&quot;SOL&quot;\ * #,##0.00_ "/>
    <numFmt numFmtId="185" formatCode="0.000"/>
    <numFmt numFmtId="186" formatCode="000000000"/>
    <numFmt numFmtId="187" formatCode="_-* #,##0.00\ _p_t_a_-;\-* #,##0.00\ _p_t_a_-;_-* &quot;-&quot;??\ _p_t_a_-;_-@_-"/>
    <numFmt numFmtId="188" formatCode="_-&quot;$&quot;* #,##0.00_-;\-&quot;$&quot;* #,##0.00_-;_-&quot;$&quot;* &quot;-&quot;??_-;_-@_-"/>
    <numFmt numFmtId="189" formatCode="_-* #,##0.00\ _€_-;\-* #,##0.00\ _€_-;_-* &quot;-&quot;??\ _€_-;_-@_-"/>
    <numFmt numFmtId="190" formatCode="&quot;$&quot;#.00"/>
    <numFmt numFmtId="191" formatCode="_ [$€]\ * #,##0.00_ ;_ [$€]\ * \-#,##0.00_ ;_ [$€]\ * &quot;-&quot;??_ ;_ @_ "/>
    <numFmt numFmtId="192" formatCode="#.00"/>
    <numFmt numFmtId="193" formatCode="%#.00"/>
    <numFmt numFmtId="194" formatCode="#,##0.00_ ;[Red]\-#,##0.00\ "/>
    <numFmt numFmtId="195" formatCode="_(&quot;S/.&quot;\ * #,##0.00_);_(&quot;S/.&quot;\ * \(#,##0.00\);_(&quot;S/.&quot;\ * &quot;-&quot;??_);_(@_)"/>
    <numFmt numFmtId="196" formatCode="0.000%"/>
  </numFmts>
  <fonts count="66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Courier"/>
      <family val="3"/>
    </font>
    <font>
      <sz val="12"/>
      <name val="Arial"/>
      <family val="2"/>
    </font>
    <font>
      <sz val="8"/>
      <name val="Times New Roman"/>
      <family val="1"/>
    </font>
    <font>
      <sz val="1"/>
      <color indexed="16"/>
      <name val="Courier"/>
      <family val="3"/>
    </font>
    <font>
      <sz val="12"/>
      <name val="BERNHARD"/>
    </font>
    <font>
      <sz val="10"/>
      <name val="BERNHARD"/>
    </font>
    <font>
      <sz val="10"/>
      <name val="Helv"/>
    </font>
    <font>
      <sz val="10"/>
      <name val="MS Serif"/>
      <family val="1"/>
    </font>
    <font>
      <b/>
      <sz val="18"/>
      <name val="Arial"/>
      <family val="2"/>
    </font>
    <font>
      <sz val="10"/>
      <color indexed="16"/>
      <name val="MS Serif"/>
      <family val="1"/>
    </font>
    <font>
      <b/>
      <sz val="10"/>
      <color indexed="10"/>
      <name val="Arial"/>
      <family val="2"/>
    </font>
    <font>
      <sz val="8"/>
      <name val="Arial"/>
      <family val="2"/>
    </font>
    <font>
      <sz val="12"/>
      <name val="Helv"/>
    </font>
    <font>
      <sz val="12"/>
      <color indexed="9"/>
      <name val="Helv"/>
    </font>
    <font>
      <sz val="11"/>
      <name val="‚l‚r –¾’©"/>
      <charset val="128"/>
    </font>
    <font>
      <sz val="10"/>
      <name val="MS Sans Serif"/>
      <family val="2"/>
    </font>
    <font>
      <sz val="1"/>
      <color indexed="8"/>
      <name val="Courier"/>
      <family val="3"/>
    </font>
    <font>
      <sz val="1"/>
      <color indexed="8"/>
      <name val="Courier New"/>
      <family val="3"/>
    </font>
    <font>
      <sz val="8"/>
      <name val="Helv"/>
    </font>
    <font>
      <b/>
      <sz val="8"/>
      <color indexed="8"/>
      <name val="Helv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7B009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rgb="FF3333CC"/>
      <name val="Calibri"/>
      <family val="2"/>
      <scheme val="minor"/>
    </font>
    <font>
      <sz val="12"/>
      <color rgb="FF7B0099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NewCenturySchlbk"/>
    </font>
    <font>
      <b/>
      <sz val="1"/>
      <color indexed="8"/>
      <name val="Courier"/>
      <family val="3"/>
    </font>
    <font>
      <sz val="10"/>
      <color indexed="8"/>
      <name val="MS Sans Serif"/>
      <family val="2"/>
    </font>
    <font>
      <sz val="6.35"/>
      <color indexed="8"/>
      <name val="Arial Narrow"/>
      <family val="2"/>
    </font>
    <font>
      <u/>
      <sz val="9"/>
      <color indexed="36"/>
      <name val="Courier"/>
      <family val="3"/>
    </font>
    <font>
      <u/>
      <sz val="9"/>
      <color indexed="12"/>
      <name val="Courier"/>
      <family val="3"/>
    </font>
    <font>
      <i/>
      <sz val="1"/>
      <color indexed="8"/>
      <name val="Courier"/>
      <family val="3"/>
    </font>
    <font>
      <sz val="10"/>
      <color indexed="8"/>
      <name val="匠牥晩††††††††††"/>
    </font>
    <font>
      <sz val="10"/>
      <color rgb="FF000000"/>
      <name val="Times New Roman"/>
      <family val="1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91">
    <xf numFmtId="0" fontId="0" fillId="0" borderId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7" fillId="0" borderId="0">
      <alignment horizontal="center" wrapText="1"/>
      <protection locked="0"/>
    </xf>
    <xf numFmtId="0" fontId="27" fillId="25" borderId="0" applyNumberFormat="0" applyBorder="0" applyAlignment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1" fillId="0" borderId="0" applyProtection="0"/>
    <xf numFmtId="0" fontId="3" fillId="0" borderId="0" applyFill="0" applyBorder="0" applyAlignment="0"/>
    <xf numFmtId="0" fontId="28" fillId="26" borderId="7" applyNumberFormat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29" fillId="27" borderId="8" applyNumberFormat="0" applyAlignment="0" applyProtection="0"/>
    <xf numFmtId="0" fontId="30" fillId="0" borderId="9" applyNumberFormat="0" applyFill="0" applyAlignment="0" applyProtection="0"/>
    <xf numFmtId="167" fontId="8" fillId="0" borderId="0">
      <protection locked="0"/>
    </xf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9" fillId="0" borderId="0"/>
    <xf numFmtId="0" fontId="10" fillId="0" borderId="0"/>
    <xf numFmtId="0" fontId="11" fillId="0" borderId="0"/>
    <xf numFmtId="0" fontId="10" fillId="0" borderId="0"/>
    <xf numFmtId="0" fontId="11" fillId="0" borderId="0"/>
    <xf numFmtId="0" fontId="12" fillId="0" borderId="0" applyNumberFormat="0" applyAlignment="0">
      <alignment horizontal="left"/>
    </xf>
    <xf numFmtId="0" fontId="5" fillId="0" borderId="0" applyNumberFormat="0" applyAlignment="0"/>
    <xf numFmtId="167" fontId="8" fillId="0" borderId="0">
      <protection locked="0"/>
    </xf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67" fontId="8" fillId="0" borderId="0">
      <protection locked="0"/>
    </xf>
    <xf numFmtId="0" fontId="6" fillId="0" borderId="0" applyProtection="0"/>
    <xf numFmtId="0" fontId="13" fillId="0" borderId="0" applyProtection="0"/>
    <xf numFmtId="0" fontId="4" fillId="0" borderId="0" applyProtection="0"/>
    <xf numFmtId="0" fontId="31" fillId="0" borderId="0" applyNumberFormat="0" applyFill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26" fillId="33" borderId="0" applyNumberFormat="0" applyBorder="0" applyAlignment="0" applyProtection="0"/>
    <xf numFmtId="0" fontId="14" fillId="0" borderId="0" applyNumberFormat="0" applyAlignment="0">
      <alignment horizontal="left"/>
    </xf>
    <xf numFmtId="0" fontId="32" fillId="34" borderId="7" applyNumberFormat="0" applyAlignment="0" applyProtection="0"/>
    <xf numFmtId="0" fontId="15" fillId="2" borderId="1">
      <alignment horizontal="center"/>
    </xf>
    <xf numFmtId="168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0" fontId="1" fillId="0" borderId="0"/>
    <xf numFmtId="0" fontId="6" fillId="0" borderId="0" applyProtection="0"/>
    <xf numFmtId="0" fontId="6" fillId="0" borderId="0" applyNumberFormat="0" applyFill="0" applyBorder="0" applyAlignment="0" applyProtection="0"/>
    <xf numFmtId="2" fontId="6" fillId="0" borderId="0" applyProtection="0"/>
    <xf numFmtId="4" fontId="6" fillId="0" borderId="0" applyProtection="0"/>
    <xf numFmtId="167" fontId="8" fillId="0" borderId="0">
      <protection locked="0"/>
    </xf>
    <xf numFmtId="38" fontId="16" fillId="3" borderId="0" applyNumberFormat="0" applyBorder="0" applyAlignment="0" applyProtection="0"/>
    <xf numFmtId="0" fontId="4" fillId="0" borderId="2" applyNumberFormat="0" applyAlignment="0" applyProtection="0">
      <alignment horizontal="left" vertical="center"/>
    </xf>
    <xf numFmtId="0" fontId="4" fillId="0" borderId="3">
      <alignment horizontal="left" vertical="center"/>
    </xf>
    <xf numFmtId="167" fontId="8" fillId="0" borderId="0">
      <protection locked="0"/>
    </xf>
    <xf numFmtId="167" fontId="8" fillId="0" borderId="0">
      <protection locked="0"/>
    </xf>
    <xf numFmtId="0" fontId="33" fillId="35" borderId="0" applyNumberFormat="0" applyBorder="0" applyAlignment="0" applyProtection="0"/>
    <xf numFmtId="10" fontId="16" fillId="4" borderId="4" applyNumberFormat="0" applyBorder="0" applyAlignment="0" applyProtection="0"/>
    <xf numFmtId="169" fontId="17" fillId="5" borderId="0"/>
    <xf numFmtId="169" fontId="18" fillId="6" borderId="0"/>
    <xf numFmtId="166" fontId="25" fillId="0" borderId="0" applyFont="0" applyFill="0" applyBorder="0" applyAlignment="0" applyProtection="0"/>
    <xf numFmtId="17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18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172" fontId="3" fillId="0" borderId="0" applyFont="0" applyFill="0" applyBorder="0" applyAlignment="0" applyProtection="0"/>
    <xf numFmtId="173" fontId="3" fillId="0" borderId="0" applyFont="0" applyFill="0" applyBorder="0" applyAlignment="0" applyProtection="0"/>
    <xf numFmtId="165" fontId="25" fillId="0" borderId="0" applyFont="0" applyFill="0" applyBorder="0" applyAlignment="0" applyProtection="0"/>
    <xf numFmtId="182" fontId="3" fillId="0" borderId="0" applyFont="0" applyFill="0" applyBorder="0" applyAlignment="0" applyProtection="0"/>
    <xf numFmtId="182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5" fontId="3" fillId="0" borderId="0" applyFont="0" applyFill="0" applyBorder="0" applyAlignment="0" applyProtection="0"/>
    <xf numFmtId="176" fontId="6" fillId="0" borderId="0" applyProtection="0"/>
    <xf numFmtId="0" fontId="34" fillId="36" borderId="0" applyNumberFormat="0" applyBorder="0" applyAlignment="0" applyProtection="0"/>
    <xf numFmtId="177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3" fillId="0" borderId="0"/>
    <xf numFmtId="0" fontId="3" fillId="0" borderId="0"/>
    <xf numFmtId="0" fontId="25" fillId="0" borderId="0"/>
    <xf numFmtId="0" fontId="2" fillId="0" borderId="0"/>
    <xf numFmtId="0" fontId="25" fillId="0" borderId="0"/>
    <xf numFmtId="0" fontId="25" fillId="0" borderId="0"/>
    <xf numFmtId="0" fontId="25" fillId="37" borderId="10" applyNumberFormat="0" applyFont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4" fontId="7" fillId="0" borderId="0">
      <alignment horizontal="center" wrapText="1"/>
      <protection locked="0"/>
    </xf>
    <xf numFmtId="167" fontId="8" fillId="0" borderId="0">
      <protection locked="0"/>
    </xf>
    <xf numFmtId="10" fontId="3" fillId="0" borderId="0" applyFont="0" applyFill="0" applyBorder="0" applyAlignment="0" applyProtection="0"/>
    <xf numFmtId="167" fontId="8" fillId="0" borderId="0">
      <protection locked="0"/>
    </xf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178" fontId="3" fillId="0" borderId="0"/>
    <xf numFmtId="0" fontId="20" fillId="0" borderId="0" applyNumberFormat="0" applyFont="0" applyFill="0" applyBorder="0" applyAlignment="0" applyProtection="0">
      <alignment horizontal="left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2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179" fontId="3" fillId="0" borderId="0" applyNumberFormat="0" applyFill="0" applyBorder="0" applyAlignment="0" applyProtection="0">
      <alignment horizontal="left"/>
    </xf>
    <xf numFmtId="38" fontId="23" fillId="0" borderId="0"/>
    <xf numFmtId="0" fontId="35" fillId="26" borderId="11" applyNumberFormat="0" applyAlignment="0" applyProtection="0"/>
    <xf numFmtId="40" fontId="24" fillId="0" borderId="0" applyBorder="0">
      <alignment horizontal="right"/>
    </xf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12" applyNumberFormat="0" applyFill="0" applyAlignment="0" applyProtection="0"/>
    <xf numFmtId="0" fontId="40" fillId="0" borderId="13" applyNumberFormat="0" applyFill="0" applyAlignment="0" applyProtection="0"/>
    <xf numFmtId="0" fontId="31" fillId="0" borderId="14" applyNumberFormat="0" applyFill="0" applyAlignment="0" applyProtection="0"/>
    <xf numFmtId="0" fontId="41" fillId="0" borderId="15" applyNumberFormat="0" applyFill="0" applyAlignment="0" applyProtection="0"/>
    <xf numFmtId="0" fontId="2" fillId="0" borderId="0" applyFill="0" applyBorder="0" applyAlignment="0"/>
    <xf numFmtId="0" fontId="2" fillId="0" borderId="0"/>
    <xf numFmtId="0" fontId="2" fillId="0" borderId="0"/>
    <xf numFmtId="168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18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71" fontId="2" fillId="0" borderId="0" applyFont="0" applyFill="0" applyBorder="0" applyAlignment="0" applyProtection="0"/>
    <xf numFmtId="181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82" fontId="2" fillId="0" borderId="0" applyFont="0" applyFill="0" applyBorder="0" applyAlignment="0" applyProtection="0"/>
    <xf numFmtId="182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77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0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8" fontId="2" fillId="0" borderId="0"/>
    <xf numFmtId="166" fontId="25" fillId="0" borderId="0" applyFont="0" applyFill="0" applyBorder="0" applyAlignment="0" applyProtection="0"/>
    <xf numFmtId="179" fontId="2" fillId="0" borderId="0" applyNumberFormat="0" applyFill="0" applyBorder="0" applyAlignment="0" applyProtection="0">
      <alignment horizontal="left"/>
    </xf>
    <xf numFmtId="0" fontId="1" fillId="0" borderId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1" fillId="0" borderId="0"/>
    <xf numFmtId="0" fontId="25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26" fillId="21" borderId="0" applyNumberFormat="0" applyBorder="0" applyAlignment="0" applyProtection="0"/>
    <xf numFmtId="0" fontId="26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4" fillId="36" borderId="0" applyNumberFormat="0" applyBorder="0" applyAlignment="0" applyProtection="0"/>
    <xf numFmtId="0" fontId="38" fillId="0" borderId="0" applyNumberForma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5" fillId="0" borderId="0"/>
    <xf numFmtId="0" fontId="2" fillId="0" borderId="0"/>
    <xf numFmtId="166" fontId="6" fillId="0" borderId="0" applyFont="0" applyFill="0" applyBorder="0" applyAlignment="0" applyProtection="0"/>
    <xf numFmtId="183" fontId="2" fillId="0" borderId="0" applyFont="0" applyFill="0" applyBorder="0" applyAlignment="0" applyProtection="0"/>
    <xf numFmtId="0" fontId="2" fillId="0" borderId="0"/>
    <xf numFmtId="0" fontId="6" fillId="0" borderId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5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25" fillId="0" borderId="0" applyFont="0" applyFill="0" applyBorder="0" applyAlignment="0" applyProtection="0"/>
    <xf numFmtId="0" fontId="2" fillId="0" borderId="0"/>
    <xf numFmtId="0" fontId="58" fillId="0" borderId="0" applyNumberFormat="0" applyFill="0" applyBorder="0" applyAlignment="0" applyProtection="0">
      <alignment vertical="top"/>
      <protection locked="0"/>
    </xf>
    <xf numFmtId="4" fontId="21" fillId="0" borderId="0">
      <protection locked="0"/>
    </xf>
    <xf numFmtId="4" fontId="21" fillId="0" borderId="0">
      <protection locked="0"/>
    </xf>
    <xf numFmtId="190" fontId="21" fillId="0" borderId="0">
      <protection locked="0"/>
    </xf>
    <xf numFmtId="190" fontId="21" fillId="0" borderId="0">
      <protection locked="0"/>
    </xf>
    <xf numFmtId="0" fontId="21" fillId="0" borderId="0">
      <protection locked="0"/>
    </xf>
    <xf numFmtId="0" fontId="15" fillId="2" borderId="26">
      <alignment horizontal="center"/>
    </xf>
    <xf numFmtId="191" fontId="54" fillId="0" borderId="0" applyFont="0" applyFill="0" applyBorder="0" applyAlignment="0" applyProtection="0"/>
    <xf numFmtId="193" fontId="21" fillId="0" borderId="0">
      <protection locked="0"/>
    </xf>
    <xf numFmtId="192" fontId="21" fillId="0" borderId="0">
      <protection locked="0"/>
    </xf>
    <xf numFmtId="0" fontId="55" fillId="0" borderId="0">
      <protection locked="0"/>
    </xf>
    <xf numFmtId="0" fontId="55" fillId="0" borderId="0"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9" fontId="2" fillId="0" borderId="0" applyFont="0" applyFill="0" applyBorder="0" applyAlignment="0" applyProtection="0"/>
    <xf numFmtId="0" fontId="56" fillId="0" borderId="0"/>
    <xf numFmtId="0" fontId="56" fillId="0" borderId="0"/>
    <xf numFmtId="0" fontId="2" fillId="0" borderId="0"/>
    <xf numFmtId="0" fontId="1" fillId="0" borderId="0"/>
    <xf numFmtId="0" fontId="56" fillId="0" borderId="0"/>
    <xf numFmtId="193" fontId="21" fillId="0" borderId="0">
      <protection locked="0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7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15" fillId="2" borderId="22">
      <alignment horizontal="center"/>
    </xf>
    <xf numFmtId="0" fontId="21" fillId="0" borderId="0">
      <protection locked="0"/>
    </xf>
    <xf numFmtId="190" fontId="21" fillId="0" borderId="0">
      <protection locked="0"/>
    </xf>
    <xf numFmtId="4" fontId="21" fillId="0" borderId="0">
      <protection locked="0"/>
    </xf>
    <xf numFmtId="0" fontId="53" fillId="0" borderId="0"/>
    <xf numFmtId="188" fontId="2" fillId="0" borderId="0" applyFont="0" applyFill="0" applyBorder="0" applyAlignment="0" applyProtection="0"/>
    <xf numFmtId="194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5" fillId="37" borderId="10" applyNumberFormat="0" applyFont="0" applyAlignment="0" applyProtection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" fillId="0" borderId="0"/>
    <xf numFmtId="0" fontId="25" fillId="0" borderId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3" fillId="0" borderId="0"/>
    <xf numFmtId="0" fontId="25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/>
    <xf numFmtId="0" fontId="25" fillId="37" borderId="10" applyNumberFormat="0" applyFont="0" applyAlignment="0" applyProtection="0"/>
    <xf numFmtId="0" fontId="25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10" fontId="16" fillId="4" borderId="23" applyNumberFormat="0" applyBorder="0" applyAlignment="0" applyProtection="0"/>
    <xf numFmtId="0" fontId="25" fillId="0" borderId="0"/>
    <xf numFmtId="0" fontId="25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" fillId="0" borderId="0"/>
    <xf numFmtId="0" fontId="21" fillId="0" borderId="0">
      <protection locked="0"/>
    </xf>
    <xf numFmtId="0" fontId="21" fillId="0" borderId="0">
      <protection locked="0"/>
    </xf>
    <xf numFmtId="0" fontId="60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21" fillId="0" borderId="0">
      <protection locked="0"/>
    </xf>
    <xf numFmtId="0" fontId="60" fillId="0" borderId="0">
      <protection locked="0"/>
    </xf>
    <xf numFmtId="0" fontId="21" fillId="0" borderId="21">
      <protection locked="0"/>
    </xf>
    <xf numFmtId="0" fontId="4" fillId="0" borderId="24">
      <alignment horizontal="left" vertical="center"/>
    </xf>
    <xf numFmtId="19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/>
    <xf numFmtId="195" fontId="2" fillId="0" borderId="0" applyFont="0" applyFill="0" applyBorder="0" applyAlignment="0" applyProtection="0"/>
    <xf numFmtId="0" fontId="61" fillId="0" borderId="0"/>
    <xf numFmtId="10" fontId="16" fillId="4" borderId="4" applyNumberFormat="0" applyBorder="0" applyAlignment="0" applyProtection="0"/>
    <xf numFmtId="0" fontId="4" fillId="0" borderId="3">
      <alignment horizontal="left" vertical="center"/>
    </xf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5" fillId="0" borderId="0"/>
    <xf numFmtId="0" fontId="4" fillId="0" borderId="3">
      <alignment horizontal="left" vertical="center"/>
    </xf>
    <xf numFmtId="10" fontId="16" fillId="4" borderId="4" applyNumberFormat="0" applyBorder="0" applyAlignment="0" applyProtection="0"/>
    <xf numFmtId="0" fontId="4" fillId="0" borderId="3">
      <alignment horizontal="left" vertical="center"/>
    </xf>
    <xf numFmtId="0" fontId="4" fillId="0" borderId="3">
      <alignment horizontal="left" vertical="center"/>
    </xf>
    <xf numFmtId="0" fontId="25" fillId="0" borderId="0"/>
    <xf numFmtId="166" fontId="2" fillId="0" borderId="0" applyFont="0" applyFill="0" applyBorder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5" fillId="0" borderId="0"/>
    <xf numFmtId="0" fontId="25" fillId="37" borderId="10" applyNumberFormat="0" applyFont="0" applyAlignment="0" applyProtection="0"/>
    <xf numFmtId="0" fontId="25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5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" fillId="0" borderId="0"/>
    <xf numFmtId="0" fontId="25" fillId="0" borderId="0"/>
    <xf numFmtId="0" fontId="25" fillId="0" borderId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5" fillId="0" borderId="0"/>
    <xf numFmtId="0" fontId="25" fillId="37" borderId="10" applyNumberFormat="0" applyFont="0" applyAlignment="0" applyProtection="0"/>
    <xf numFmtId="0" fontId="25" fillId="0" borderId="0"/>
    <xf numFmtId="0" fontId="25" fillId="37" borderId="10" applyNumberFormat="0" applyFont="0" applyAlignment="0" applyProtection="0"/>
    <xf numFmtId="0" fontId="25" fillId="7" borderId="0" applyNumberFormat="0" applyBorder="0" applyAlignment="0" applyProtection="0"/>
    <xf numFmtId="0" fontId="25" fillId="13" borderId="0" applyNumberFormat="0" applyBorder="0" applyAlignment="0" applyProtection="0"/>
    <xf numFmtId="0" fontId="25" fillId="8" borderId="0" applyNumberFormat="0" applyBorder="0" applyAlignment="0" applyProtection="0"/>
    <xf numFmtId="0" fontId="25" fillId="14" borderId="0" applyNumberFormat="0" applyBorder="0" applyAlignment="0" applyProtection="0"/>
    <xf numFmtId="0" fontId="25" fillId="9" borderId="0" applyNumberFormat="0" applyBorder="0" applyAlignment="0" applyProtection="0"/>
    <xf numFmtId="0" fontId="25" fillId="15" borderId="0" applyNumberFormat="0" applyBorder="0" applyAlignment="0" applyProtection="0"/>
    <xf numFmtId="0" fontId="25" fillId="10" borderId="0" applyNumberFormat="0" applyBorder="0" applyAlignment="0" applyProtection="0"/>
    <xf numFmtId="0" fontId="25" fillId="16" borderId="0" applyNumberFormat="0" applyBorder="0" applyAlignment="0" applyProtection="0"/>
    <xf numFmtId="0" fontId="25" fillId="11" borderId="0" applyNumberFormat="0" applyBorder="0" applyAlignment="0" applyProtection="0"/>
    <xf numFmtId="0" fontId="25" fillId="17" borderId="0" applyNumberFormat="0" applyBorder="0" applyAlignment="0" applyProtection="0"/>
    <xf numFmtId="0" fontId="25" fillId="12" borderId="0" applyNumberFormat="0" applyBorder="0" applyAlignment="0" applyProtection="0"/>
    <xf numFmtId="0" fontId="25" fillId="18" borderId="0" applyNumberFormat="0" applyBorder="0" applyAlignment="0" applyProtection="0"/>
    <xf numFmtId="0" fontId="2" fillId="0" borderId="0"/>
    <xf numFmtId="0" fontId="25" fillId="0" borderId="0"/>
    <xf numFmtId="0" fontId="25" fillId="0" borderId="0"/>
    <xf numFmtId="10" fontId="16" fillId="4" borderId="4" applyNumberFormat="0" applyBorder="0" applyAlignment="0" applyProtection="0"/>
    <xf numFmtId="0" fontId="62" fillId="0" borderId="0"/>
    <xf numFmtId="0" fontId="4" fillId="0" borderId="3">
      <alignment horizontal="left" vertical="center"/>
    </xf>
    <xf numFmtId="10" fontId="16" fillId="4" borderId="4" applyNumberFormat="0" applyBorder="0" applyAlignment="0" applyProtection="0"/>
    <xf numFmtId="10" fontId="16" fillId="4" borderId="4" applyNumberFormat="0" applyBorder="0" applyAlignment="0" applyProtection="0"/>
    <xf numFmtId="194" fontId="2" fillId="0" borderId="0"/>
    <xf numFmtId="43" fontId="25" fillId="0" borderId="0" applyFont="0" applyFill="0" applyBorder="0" applyAlignment="0" applyProtection="0"/>
    <xf numFmtId="0" fontId="2" fillId="0" borderId="0"/>
    <xf numFmtId="43" fontId="25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193" fontId="21" fillId="0" borderId="0">
      <protection locked="0"/>
    </xf>
    <xf numFmtId="0" fontId="21" fillId="0" borderId="25">
      <protection locked="0"/>
    </xf>
    <xf numFmtId="10" fontId="16" fillId="4" borderId="23" applyNumberFormat="0" applyBorder="0" applyAlignment="0" applyProtection="0"/>
    <xf numFmtId="0" fontId="4" fillId="0" borderId="24">
      <alignment horizontal="left" vertical="center"/>
    </xf>
    <xf numFmtId="0" fontId="4" fillId="0" borderId="24">
      <alignment horizontal="left" vertical="center"/>
    </xf>
    <xf numFmtId="10" fontId="16" fillId="4" borderId="23" applyNumberFormat="0" applyBorder="0" applyAlignment="0" applyProtection="0"/>
    <xf numFmtId="0" fontId="4" fillId="0" borderId="24">
      <alignment horizontal="left" vertical="center"/>
    </xf>
    <xf numFmtId="0" fontId="4" fillId="0" borderId="24">
      <alignment horizontal="left" vertical="center"/>
    </xf>
    <xf numFmtId="10" fontId="16" fillId="4" borderId="23" applyNumberFormat="0" applyBorder="0" applyAlignment="0" applyProtection="0"/>
    <xf numFmtId="0" fontId="4" fillId="0" borderId="24">
      <alignment horizontal="left" vertical="center"/>
    </xf>
    <xf numFmtId="10" fontId="16" fillId="4" borderId="23" applyNumberFormat="0" applyBorder="0" applyAlignment="0" applyProtection="0"/>
    <xf numFmtId="10" fontId="16" fillId="4" borderId="23" applyNumberFormat="0" applyBorder="0" applyAlignment="0" applyProtection="0"/>
    <xf numFmtId="187" fontId="2" fillId="0" borderId="0" applyFont="0" applyFill="0" applyBorder="0" applyAlignment="0" applyProtection="0"/>
    <xf numFmtId="0" fontId="25" fillId="0" borderId="0"/>
    <xf numFmtId="9" fontId="25" fillId="0" borderId="0" applyFont="0" applyFill="0" applyBorder="0" applyAlignment="0" applyProtection="0"/>
  </cellStyleXfs>
  <cellXfs count="83">
    <xf numFmtId="0" fontId="0" fillId="0" borderId="0" xfId="0"/>
    <xf numFmtId="0" fontId="42" fillId="0" borderId="0" xfId="128" applyFont="1"/>
    <xf numFmtId="0" fontId="42" fillId="0" borderId="0" xfId="0" applyFont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128" applyFont="1" applyAlignment="1">
      <alignment vertical="center"/>
    </xf>
    <xf numFmtId="0" fontId="44" fillId="0" borderId="0" xfId="128" applyFont="1" applyAlignment="1">
      <alignment vertical="center"/>
    </xf>
    <xf numFmtId="0" fontId="41" fillId="0" borderId="0" xfId="0" applyFont="1" applyAlignment="1">
      <alignment vertical="center"/>
    </xf>
    <xf numFmtId="185" fontId="45" fillId="0" borderId="0" xfId="128" applyNumberFormat="1" applyFont="1" applyAlignment="1">
      <alignment horizontal="center" vertical="center"/>
    </xf>
    <xf numFmtId="185" fontId="45" fillId="0" borderId="0" xfId="0" applyNumberFormat="1" applyFont="1" applyAlignment="1">
      <alignment horizontal="center" vertical="center"/>
    </xf>
    <xf numFmtId="185" fontId="45" fillId="0" borderId="0" xfId="100" applyNumberFormat="1" applyFont="1" applyAlignment="1">
      <alignment horizontal="center" vertical="center"/>
    </xf>
    <xf numFmtId="0" fontId="48" fillId="0" borderId="5" xfId="0" applyFont="1" applyBorder="1" applyAlignment="1">
      <alignment horizontal="center" vertical="center"/>
    </xf>
    <xf numFmtId="0" fontId="48" fillId="0" borderId="6" xfId="0" applyFont="1" applyBorder="1" applyAlignment="1">
      <alignment horizontal="center" vertical="center"/>
    </xf>
    <xf numFmtId="2" fontId="42" fillId="0" borderId="0" xfId="128" applyNumberFormat="1" applyFont="1" applyAlignment="1">
      <alignment horizontal="right" vertical="center" wrapText="1"/>
    </xf>
    <xf numFmtId="2" fontId="51" fillId="0" borderId="0" xfId="128" applyNumberFormat="1" applyFon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2" fontId="47" fillId="0" borderId="20" xfId="0" applyNumberFormat="1" applyFont="1" applyBorder="1" applyAlignment="1">
      <alignment horizontal="right" vertical="center" wrapText="1"/>
    </xf>
    <xf numFmtId="2" fontId="42" fillId="0" borderId="0" xfId="0" applyNumberFormat="1" applyFont="1" applyAlignment="1">
      <alignment horizontal="right" vertical="center" wrapText="1"/>
    </xf>
    <xf numFmtId="0" fontId="48" fillId="0" borderId="20" xfId="0" applyFont="1" applyBorder="1" applyAlignment="1">
      <alignment horizontal="center" vertical="center"/>
    </xf>
    <xf numFmtId="165" fontId="46" fillId="38" borderId="16" xfId="109" applyFont="1" applyFill="1" applyBorder="1" applyAlignment="1">
      <alignment vertical="center" wrapText="1"/>
    </xf>
    <xf numFmtId="185" fontId="47" fillId="0" borderId="17" xfId="0" applyNumberFormat="1" applyFont="1" applyBorder="1" applyAlignment="1">
      <alignment horizontal="center" vertical="center" wrapText="1"/>
    </xf>
    <xf numFmtId="0" fontId="48" fillId="0" borderId="18" xfId="0" applyFont="1" applyBorder="1" applyAlignment="1">
      <alignment horizontal="center" vertical="center"/>
    </xf>
    <xf numFmtId="2" fontId="47" fillId="0" borderId="18" xfId="0" applyNumberFormat="1" applyFont="1" applyBorder="1" applyAlignment="1">
      <alignment horizontal="right" vertical="center" wrapText="1"/>
    </xf>
    <xf numFmtId="165" fontId="42" fillId="0" borderId="0" xfId="109" applyFont="1" applyAlignment="1">
      <alignment horizontal="right" vertical="center" wrapText="1"/>
    </xf>
    <xf numFmtId="185" fontId="47" fillId="0" borderId="19" xfId="100" applyNumberFormat="1" applyFont="1" applyBorder="1" applyAlignment="1">
      <alignment horizontal="center" vertical="center"/>
    </xf>
    <xf numFmtId="185" fontId="46" fillId="40" borderId="23" xfId="128" applyNumberFormat="1" applyFont="1" applyFill="1" applyBorder="1" applyAlignment="1">
      <alignment horizontal="center" vertical="center"/>
    </xf>
    <xf numFmtId="0" fontId="46" fillId="40" borderId="23" xfId="128" applyFont="1" applyFill="1" applyBorder="1" applyAlignment="1">
      <alignment horizontal="center" vertical="center" wrapText="1"/>
    </xf>
    <xf numFmtId="2" fontId="46" fillId="40" borderId="23" xfId="128" applyNumberFormat="1" applyFont="1" applyFill="1" applyBorder="1" applyAlignment="1">
      <alignment horizontal="center" vertical="center" wrapText="1"/>
    </xf>
    <xf numFmtId="0" fontId="50" fillId="40" borderId="23" xfId="128" applyFont="1" applyFill="1" applyBorder="1" applyAlignment="1">
      <alignment horizontal="center" vertical="center" wrapText="1"/>
    </xf>
    <xf numFmtId="165" fontId="48" fillId="40" borderId="23" xfId="109" applyFont="1" applyFill="1" applyBorder="1" applyAlignment="1">
      <alignment horizontal="center" vertical="center"/>
    </xf>
    <xf numFmtId="0" fontId="43" fillId="0" borderId="0" xfId="128" applyFont="1" applyAlignment="1">
      <alignment horizontal="center" vertical="center"/>
    </xf>
    <xf numFmtId="0" fontId="44" fillId="0" borderId="0" xfId="128" applyFont="1" applyAlignment="1">
      <alignment horizontal="center" vertical="center"/>
    </xf>
    <xf numFmtId="0" fontId="41" fillId="0" borderId="0" xfId="0" applyFont="1" applyAlignment="1">
      <alignment horizontal="center" vertical="center"/>
    </xf>
    <xf numFmtId="184" fontId="47" fillId="0" borderId="5" xfId="478" applyNumberFormat="1" applyFont="1" applyFill="1" applyBorder="1" applyAlignment="1">
      <alignment horizontal="left" vertical="center" wrapText="1"/>
    </xf>
    <xf numFmtId="184" fontId="48" fillId="0" borderId="16" xfId="478" applyNumberFormat="1" applyFont="1" applyFill="1" applyBorder="1" applyAlignment="1">
      <alignment horizontal="left" vertical="center" wrapText="1"/>
    </xf>
    <xf numFmtId="165" fontId="46" fillId="39" borderId="23" xfId="109" applyFont="1" applyFill="1" applyBorder="1" applyAlignment="1">
      <alignment vertical="center" wrapText="1"/>
    </xf>
    <xf numFmtId="184" fontId="48" fillId="39" borderId="23" xfId="478" applyNumberFormat="1" applyFont="1" applyFill="1" applyBorder="1" applyAlignment="1">
      <alignment horizontal="left" vertical="center" wrapText="1"/>
    </xf>
    <xf numFmtId="0" fontId="45" fillId="0" borderId="0" xfId="128" applyFont="1" applyAlignment="1">
      <alignment horizontal="left" vertical="center" wrapText="1"/>
    </xf>
    <xf numFmtId="186" fontId="45" fillId="0" borderId="0" xfId="128" applyNumberFormat="1" applyFont="1" applyAlignment="1">
      <alignment horizontal="left" vertical="center" wrapText="1"/>
    </xf>
    <xf numFmtId="0" fontId="42" fillId="0" borderId="0" xfId="128" applyFont="1" applyAlignment="1">
      <alignment vertical="center" wrapText="1"/>
    </xf>
    <xf numFmtId="0" fontId="45" fillId="0" borderId="0" xfId="0" applyFont="1" applyAlignment="1">
      <alignment horizontal="left" vertical="center" wrapText="1"/>
    </xf>
    <xf numFmtId="186" fontId="45" fillId="0" borderId="0" xfId="0" applyNumberFormat="1" applyFont="1" applyAlignment="1">
      <alignment horizontal="left" vertical="center" wrapText="1"/>
    </xf>
    <xf numFmtId="0" fontId="0" fillId="0" borderId="0" xfId="0" applyAlignment="1">
      <alignment vertical="center" wrapText="1"/>
    </xf>
    <xf numFmtId="186" fontId="48" fillId="0" borderId="5" xfId="0" applyNumberFormat="1" applyFont="1" applyBorder="1" applyAlignment="1">
      <alignment horizontal="center" vertical="center" wrapText="1"/>
    </xf>
    <xf numFmtId="0" fontId="47" fillId="38" borderId="5" xfId="0" applyFont="1" applyFill="1" applyBorder="1" applyAlignment="1">
      <alignment horizontal="left" vertical="center" wrapText="1"/>
    </xf>
    <xf numFmtId="186" fontId="48" fillId="0" borderId="6" xfId="0" applyNumberFormat="1" applyFont="1" applyBorder="1" applyAlignment="1">
      <alignment horizontal="center" vertical="center" wrapText="1"/>
    </xf>
    <xf numFmtId="0" fontId="47" fillId="38" borderId="6" xfId="0" applyFont="1" applyFill="1" applyBorder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186" fontId="48" fillId="0" borderId="16" xfId="0" applyNumberFormat="1" applyFont="1" applyBorder="1" applyAlignment="1">
      <alignment horizontal="left" vertical="center" wrapText="1"/>
    </xf>
    <xf numFmtId="0" fontId="48" fillId="0" borderId="16" xfId="0" applyFont="1" applyBorder="1" applyAlignment="1">
      <alignment horizontal="center" vertical="center" wrapText="1"/>
    </xf>
    <xf numFmtId="0" fontId="48" fillId="0" borderId="16" xfId="0" applyFont="1" applyBorder="1" applyAlignment="1">
      <alignment horizontal="center" vertical="center"/>
    </xf>
    <xf numFmtId="0" fontId="45" fillId="0" borderId="0" xfId="128" applyFont="1" applyAlignment="1">
      <alignment wrapText="1"/>
    </xf>
    <xf numFmtId="165" fontId="63" fillId="40" borderId="23" xfId="109" applyFont="1" applyFill="1" applyBorder="1" applyAlignment="1">
      <alignment horizontal="center" vertical="center" wrapText="1"/>
    </xf>
    <xf numFmtId="0" fontId="45" fillId="0" borderId="0" xfId="0" applyFont="1" applyAlignment="1">
      <alignment vertical="center" wrapText="1"/>
    </xf>
    <xf numFmtId="0" fontId="45" fillId="0" borderId="16" xfId="0" applyFont="1" applyBorder="1" applyAlignment="1">
      <alignment vertical="center" wrapText="1"/>
    </xf>
    <xf numFmtId="0" fontId="45" fillId="0" borderId="5" xfId="0" applyFont="1" applyBorder="1" applyAlignment="1">
      <alignment vertical="center" wrapText="1"/>
    </xf>
    <xf numFmtId="0" fontId="45" fillId="0" borderId="6" xfId="0" applyFont="1" applyBorder="1" applyAlignment="1">
      <alignment vertical="center" wrapText="1"/>
    </xf>
    <xf numFmtId="165" fontId="45" fillId="38" borderId="5" xfId="109" applyFont="1" applyFill="1" applyBorder="1" applyAlignment="1">
      <alignment vertical="center" wrapText="1"/>
    </xf>
    <xf numFmtId="2" fontId="47" fillId="0" borderId="16" xfId="0" applyNumberFormat="1" applyFont="1" applyBorder="1" applyAlignment="1">
      <alignment horizontal="right" vertical="center" wrapText="1"/>
    </xf>
    <xf numFmtId="184" fontId="49" fillId="0" borderId="5" xfId="478" applyNumberFormat="1" applyFont="1" applyFill="1" applyBorder="1" applyAlignment="1">
      <alignment horizontal="left" vertical="center" wrapText="1"/>
    </xf>
    <xf numFmtId="186" fontId="64" fillId="0" borderId="0" xfId="0" applyNumberFormat="1" applyFont="1" applyAlignment="1">
      <alignment horizontal="left" vertical="center" wrapText="1"/>
    </xf>
    <xf numFmtId="0" fontId="47" fillId="0" borderId="19" xfId="0" applyFont="1" applyBorder="1" applyAlignment="1">
      <alignment horizontal="left" vertical="center" wrapText="1"/>
    </xf>
    <xf numFmtId="0" fontId="48" fillId="0" borderId="19" xfId="0" applyFont="1" applyBorder="1" applyAlignment="1">
      <alignment horizontal="left" vertical="center" wrapText="1"/>
    </xf>
    <xf numFmtId="0" fontId="47" fillId="0" borderId="17" xfId="0" applyFont="1" applyBorder="1" applyAlignment="1">
      <alignment horizontal="left" vertical="center" wrapText="1"/>
    </xf>
    <xf numFmtId="186" fontId="48" fillId="0" borderId="5" xfId="0" applyNumberFormat="1" applyFont="1" applyBorder="1" applyAlignment="1">
      <alignment horizontal="left" vertical="center" wrapText="1"/>
    </xf>
    <xf numFmtId="0" fontId="45" fillId="0" borderId="5" xfId="0" applyFont="1" applyBorder="1" applyAlignment="1">
      <alignment horizontal="center" vertical="center" wrapText="1"/>
    </xf>
    <xf numFmtId="185" fontId="47" fillId="0" borderId="19" xfId="100" applyNumberFormat="1" applyFont="1" applyFill="1" applyBorder="1" applyAlignment="1">
      <alignment horizontal="center" vertical="center"/>
    </xf>
    <xf numFmtId="186" fontId="48" fillId="0" borderId="5" xfId="0" applyNumberFormat="1" applyFont="1" applyBorder="1" applyAlignment="1">
      <alignment horizontal="center" vertical="center"/>
    </xf>
    <xf numFmtId="0" fontId="46" fillId="40" borderId="27" xfId="128" applyFont="1" applyFill="1" applyBorder="1" applyAlignment="1">
      <alignment horizontal="center" vertical="center" wrapText="1"/>
    </xf>
    <xf numFmtId="186" fontId="46" fillId="40" borderId="23" xfId="128" applyNumberFormat="1" applyFont="1" applyFill="1" applyBorder="1" applyAlignment="1">
      <alignment horizontal="center" vertical="center" wrapText="1"/>
    </xf>
    <xf numFmtId="0" fontId="65" fillId="0" borderId="0" xfId="0" applyFont="1" applyAlignment="1">
      <alignment vertical="center" wrapText="1"/>
    </xf>
    <xf numFmtId="0" fontId="48" fillId="0" borderId="5" xfId="0" applyFont="1" applyBorder="1" applyAlignment="1">
      <alignment horizontal="center" vertical="center" wrapText="1"/>
    </xf>
    <xf numFmtId="2" fontId="47" fillId="0" borderId="5" xfId="0" applyNumberFormat="1" applyFont="1" applyBorder="1" applyAlignment="1">
      <alignment horizontal="right" vertical="center" wrapText="1"/>
    </xf>
    <xf numFmtId="0" fontId="48" fillId="41" borderId="19" xfId="0" applyFont="1" applyFill="1" applyBorder="1" applyAlignment="1">
      <alignment horizontal="center" vertical="center" wrapText="1"/>
    </xf>
    <xf numFmtId="0" fontId="64" fillId="38" borderId="5" xfId="0" applyFont="1" applyFill="1" applyBorder="1" applyAlignment="1">
      <alignment horizontal="left" vertical="center" wrapText="1"/>
    </xf>
    <xf numFmtId="0" fontId="47" fillId="42" borderId="5" xfId="0" applyFont="1" applyFill="1" applyBorder="1" applyAlignment="1">
      <alignment horizontal="left" vertical="center" wrapText="1"/>
    </xf>
    <xf numFmtId="0" fontId="48" fillId="42" borderId="5" xfId="0" applyFont="1" applyFill="1" applyBorder="1" applyAlignment="1">
      <alignment horizontal="center" vertical="center"/>
    </xf>
    <xf numFmtId="0" fontId="48" fillId="42" borderId="20" xfId="0" applyFont="1" applyFill="1" applyBorder="1" applyAlignment="1">
      <alignment horizontal="center" vertical="center"/>
    </xf>
    <xf numFmtId="2" fontId="47" fillId="42" borderId="20" xfId="0" applyNumberFormat="1" applyFont="1" applyFill="1" applyBorder="1" applyAlignment="1">
      <alignment horizontal="right" vertical="center" wrapText="1"/>
    </xf>
    <xf numFmtId="165" fontId="46" fillId="38" borderId="5" xfId="109" applyFont="1" applyFill="1" applyBorder="1" applyAlignment="1">
      <alignment vertical="center" wrapText="1"/>
    </xf>
    <xf numFmtId="184" fontId="48" fillId="0" borderId="5" xfId="478" applyNumberFormat="1" applyFont="1" applyFill="1" applyBorder="1" applyAlignment="1">
      <alignment horizontal="left" vertical="center" wrapText="1"/>
    </xf>
    <xf numFmtId="0" fontId="63" fillId="40" borderId="23" xfId="128" applyFont="1" applyFill="1" applyBorder="1" applyAlignment="1">
      <alignment horizontal="center" vertical="center" wrapText="1"/>
    </xf>
    <xf numFmtId="165" fontId="63" fillId="40" borderId="23" xfId="109" applyFont="1" applyFill="1" applyBorder="1" applyAlignment="1">
      <alignment horizontal="center" vertical="center"/>
    </xf>
    <xf numFmtId="196" fontId="45" fillId="0" borderId="0" xfId="790" applyNumberFormat="1" applyFont="1" applyAlignment="1">
      <alignment vertical="center" wrapText="1"/>
    </xf>
  </cellXfs>
  <cellStyles count="791">
    <cellStyle name="20% - Énfasis1" xfId="1" builtinId="30" customBuiltin="1"/>
    <cellStyle name="20% - Énfasis1 2" xfId="564" xr:uid="{61F3D197-00B2-4238-9C6F-94F0C7824F1C}"/>
    <cellStyle name="20% - Énfasis1 2 2" xfId="602" xr:uid="{9BE3304F-DF77-4BC8-BB6E-D918188871C0}"/>
    <cellStyle name="20% - Énfasis1 2 2 2" xfId="750" xr:uid="{139AA06A-2D39-4B64-A595-0E50A4F1CDC9}"/>
    <cellStyle name="20% - Énfasis1 2 3" xfId="714" xr:uid="{0A239544-AD3D-474B-BB19-C21766597C9A}"/>
    <cellStyle name="20% - Énfasis1 3" xfId="577" xr:uid="{F0B770B7-DE7B-413E-A963-DFA991BB80A7}"/>
    <cellStyle name="20% - Énfasis1 3 2" xfId="728" xr:uid="{990FD60E-0CA5-4394-A36E-E382B7011A14}"/>
    <cellStyle name="20% - Énfasis1 4" xfId="616" xr:uid="{0553E444-5C4D-4A69-8D61-B785CCE9D7FB}"/>
    <cellStyle name="20% - Énfasis1 5" xfId="629" xr:uid="{DF540549-F86C-4A24-A0D1-AFCECEF52FC8}"/>
    <cellStyle name="20% - Énfasis1 6" xfId="642" xr:uid="{7516F98C-35B4-4390-99C1-698DE84E4756}"/>
    <cellStyle name="20% - Énfasis1 7" xfId="658" xr:uid="{1E7F43BA-AEEF-4D77-A4CC-CBAAF29C7A34}"/>
    <cellStyle name="20% - Énfasis1 8" xfId="698" xr:uid="{EF6C49F4-4E48-4FBA-ADB2-91FDAD66F324}"/>
    <cellStyle name="20% - Énfasis2" xfId="2" builtinId="34" customBuiltin="1"/>
    <cellStyle name="20% - Énfasis2 2" xfId="566" xr:uid="{CDAD4A0B-2499-4C26-B645-0C4E92B4D946}"/>
    <cellStyle name="20% - Énfasis2 2 2" xfId="604" xr:uid="{B86074A6-DBAF-4C13-B975-067BCD2A4BA6}"/>
    <cellStyle name="20% - Énfasis2 2 2 2" xfId="752" xr:uid="{7553ADCC-1673-426F-B27B-4AD0F291EC24}"/>
    <cellStyle name="20% - Énfasis2 2 3" xfId="716" xr:uid="{A94E8F01-4707-4CED-A57E-CF64AB3628BA}"/>
    <cellStyle name="20% - Énfasis2 3" xfId="579" xr:uid="{82C119FB-5B98-46F1-8310-9BC166D92884}"/>
    <cellStyle name="20% - Énfasis2 3 2" xfId="730" xr:uid="{A5D23B68-D2BB-4229-8573-607381E75F37}"/>
    <cellStyle name="20% - Énfasis2 4" xfId="618" xr:uid="{E8761124-E1F0-4CC4-AF93-1D0426DBE76B}"/>
    <cellStyle name="20% - Énfasis2 5" xfId="631" xr:uid="{CD56310D-82D5-4600-B5C8-ED84FD41DEDD}"/>
    <cellStyle name="20% - Énfasis2 6" xfId="644" xr:uid="{CFEB3B96-988E-45AE-8AD5-ABB11585BAB1}"/>
    <cellStyle name="20% - Énfasis2 7" xfId="660" xr:uid="{F6366343-B65F-49FD-96CD-19899820E19C}"/>
    <cellStyle name="20% - Énfasis2 8" xfId="700" xr:uid="{2F2A58C9-1907-47C2-804D-7D1F713AE6AD}"/>
    <cellStyle name="20% - Énfasis3" xfId="3" builtinId="38" customBuiltin="1"/>
    <cellStyle name="20% - Énfasis3 2" xfId="568" xr:uid="{776EE676-2815-4DF9-85B7-218091AFC6A2}"/>
    <cellStyle name="20% - Énfasis3 2 2" xfId="606" xr:uid="{3A33E493-D884-420A-81F8-19C37B8FE504}"/>
    <cellStyle name="20% - Énfasis3 2 2 2" xfId="754" xr:uid="{B3BFFDF0-9DE9-4B79-B577-02B1A7C5B85F}"/>
    <cellStyle name="20% - Énfasis3 2 3" xfId="718" xr:uid="{B6FAA361-2C9C-406B-8BFC-BE6582A89B90}"/>
    <cellStyle name="20% - Énfasis3 3" xfId="581" xr:uid="{015EA51C-E55B-4044-AC8A-FBAB31404439}"/>
    <cellStyle name="20% - Énfasis3 3 2" xfId="732" xr:uid="{5B444879-1B2B-453C-B156-45546EB15FE4}"/>
    <cellStyle name="20% - Énfasis3 4" xfId="620" xr:uid="{3582756C-A55E-4D20-B44D-03D8DB9FA4A3}"/>
    <cellStyle name="20% - Énfasis3 5" xfId="633" xr:uid="{8CCAF102-E854-4FAF-A91C-CFBA0E9237B6}"/>
    <cellStyle name="20% - Énfasis3 6" xfId="646" xr:uid="{C5926782-610D-4BE0-8E65-657602B2AE78}"/>
    <cellStyle name="20% - Énfasis3 7" xfId="662" xr:uid="{FCED9301-B9E3-45E5-B0FE-7D79224C41E7}"/>
    <cellStyle name="20% - Énfasis3 8" xfId="702" xr:uid="{CE05756A-CC4E-49EF-A42B-758595ED6D7F}"/>
    <cellStyle name="20% - Énfasis4" xfId="4" builtinId="42" customBuiltin="1"/>
    <cellStyle name="20% - Énfasis4 2" xfId="570" xr:uid="{0100B058-F464-488D-91C6-A81940F174C1}"/>
    <cellStyle name="20% - Énfasis4 2 2" xfId="608" xr:uid="{A66D984E-71C6-461B-9694-D43D1316D3C2}"/>
    <cellStyle name="20% - Énfasis4 2 2 2" xfId="756" xr:uid="{0C9FE771-58C2-4AE8-9B6E-D886AB35DEF0}"/>
    <cellStyle name="20% - Énfasis4 2 3" xfId="720" xr:uid="{F93A7AFD-F871-4651-82A8-EA2EB5F24804}"/>
    <cellStyle name="20% - Énfasis4 3" xfId="583" xr:uid="{213498EF-A6C3-407C-90FB-3347D9A6456F}"/>
    <cellStyle name="20% - Énfasis4 3 2" xfId="734" xr:uid="{369964C1-0C08-4208-B4F8-A2E8D0D1CBA8}"/>
    <cellStyle name="20% - Énfasis4 4" xfId="622" xr:uid="{F8808A4C-310B-49AD-9BA4-BA394A19F066}"/>
    <cellStyle name="20% - Énfasis4 5" xfId="635" xr:uid="{5C16D80B-8AC8-4715-8063-DC7DD20AF577}"/>
    <cellStyle name="20% - Énfasis4 6" xfId="648" xr:uid="{A542AD64-1F8C-4611-8455-BE91BDEA2349}"/>
    <cellStyle name="20% - Énfasis4 7" xfId="664" xr:uid="{8CCF452C-4554-4B12-BA3C-7DEF2E4094E4}"/>
    <cellStyle name="20% - Énfasis4 8" xfId="704" xr:uid="{F1C605D2-64C1-4953-B753-C3851E9A30E1}"/>
    <cellStyle name="20% - Énfasis5" xfId="5" builtinId="46" customBuiltin="1"/>
    <cellStyle name="20% - Énfasis5 2" xfId="572" xr:uid="{54D3FAC1-A1BE-4612-8524-66B2A5EAA0ED}"/>
    <cellStyle name="20% - Énfasis5 2 2" xfId="610" xr:uid="{DF4AE0CC-C9B9-4F42-9290-A16D8C67AA12}"/>
    <cellStyle name="20% - Énfasis5 2 2 2" xfId="758" xr:uid="{B9C06B17-959A-4990-B965-7F980E492F5E}"/>
    <cellStyle name="20% - Énfasis5 2 3" xfId="722" xr:uid="{DE0A268E-CC62-4AE3-AF31-30DDF39A7170}"/>
    <cellStyle name="20% - Énfasis5 3" xfId="585" xr:uid="{15362A76-D344-41FB-990F-F9FB4C5B2F98}"/>
    <cellStyle name="20% - Énfasis5 3 2" xfId="736" xr:uid="{9A94C667-C486-4F0E-937A-926AA70D3224}"/>
    <cellStyle name="20% - Énfasis5 4" xfId="624" xr:uid="{2CCD5484-FE19-45EE-AD81-B78A2C92AEC5}"/>
    <cellStyle name="20% - Énfasis5 5" xfId="637" xr:uid="{3D4F6A57-9364-4983-BA04-7BECDCD705E7}"/>
    <cellStyle name="20% - Énfasis5 6" xfId="650" xr:uid="{2A535CAB-6A9C-491D-9107-17B27A3DA894}"/>
    <cellStyle name="20% - Énfasis5 7" xfId="666" xr:uid="{8AF2EA1C-9635-41ED-A126-0758C84F484F}"/>
    <cellStyle name="20% - Énfasis5 8" xfId="706" xr:uid="{D1269AC9-D5A9-4D38-8675-A667BBEE770F}"/>
    <cellStyle name="20% - Énfasis6" xfId="6" builtinId="50" customBuiltin="1"/>
    <cellStyle name="20% - Énfasis6 2" xfId="574" xr:uid="{111C0856-A185-491B-BA80-87101D6B137F}"/>
    <cellStyle name="20% - Énfasis6 2 2" xfId="612" xr:uid="{26DE28B9-FDEF-4C31-A1CC-75AFF1BD35E1}"/>
    <cellStyle name="20% - Énfasis6 2 2 2" xfId="760" xr:uid="{D32ACDFD-CD2F-4A9F-A3F3-E82364429F4C}"/>
    <cellStyle name="20% - Énfasis6 2 3" xfId="724" xr:uid="{B3E67EB9-CDC2-4D51-9A46-ECA5502389DA}"/>
    <cellStyle name="20% - Énfasis6 3" xfId="587" xr:uid="{54321E1D-BBF9-408F-B17E-2F812A3DC5E3}"/>
    <cellStyle name="20% - Énfasis6 3 2" xfId="738" xr:uid="{BC1C3D30-AE64-4B74-8126-75F26CBC9821}"/>
    <cellStyle name="20% - Énfasis6 4" xfId="626" xr:uid="{2A725E44-0603-4F55-8DC5-84DC9444869A}"/>
    <cellStyle name="20% - Énfasis6 5" xfId="639" xr:uid="{4EF90C5C-9658-469C-B70D-D71F8E311C21}"/>
    <cellStyle name="20% - Énfasis6 6" xfId="652" xr:uid="{F9D5F620-ACBE-43F4-951C-E7C1E7220481}"/>
    <cellStyle name="20% - Énfasis6 7" xfId="668" xr:uid="{5FFFD271-D82B-419B-93B1-9B5BE365B730}"/>
    <cellStyle name="20% - Énfasis6 8" xfId="708" xr:uid="{EC636A2D-5573-4FBA-81F4-957CB72539C5}"/>
    <cellStyle name="40% - Énfasis1" xfId="7" builtinId="31" customBuiltin="1"/>
    <cellStyle name="40% - Énfasis1 2" xfId="565" xr:uid="{1923B2CD-5170-4B08-879D-69D6CE90B584}"/>
    <cellStyle name="40% - Énfasis1 2 2" xfId="603" xr:uid="{A7F7EBD3-523B-44FD-8656-D97A2969EEB9}"/>
    <cellStyle name="40% - Énfasis1 2 2 2" xfId="751" xr:uid="{4CD1C24C-B0B2-4118-87C4-F2B270E894E5}"/>
    <cellStyle name="40% - Énfasis1 2 3" xfId="715" xr:uid="{56D308F4-3B92-46CC-9175-629B278D417A}"/>
    <cellStyle name="40% - Énfasis1 3" xfId="578" xr:uid="{02BBCF64-8713-419F-877C-69B699ADA82A}"/>
    <cellStyle name="40% - Énfasis1 3 2" xfId="729" xr:uid="{996A9A67-911C-4571-B3CA-D72EB9BA9547}"/>
    <cellStyle name="40% - Énfasis1 4" xfId="617" xr:uid="{CC4C8AD9-0230-417B-B7F5-82191B1CC9D8}"/>
    <cellStyle name="40% - Énfasis1 5" xfId="630" xr:uid="{DE0E575A-EE10-4C21-98BF-0F83BDBA3E47}"/>
    <cellStyle name="40% - Énfasis1 6" xfId="643" xr:uid="{B4272A00-4C3A-40EB-A280-F8DD211290FA}"/>
    <cellStyle name="40% - Énfasis1 7" xfId="659" xr:uid="{6C1291BD-C598-4747-87EE-9BC7B992BE08}"/>
    <cellStyle name="40% - Énfasis1 8" xfId="699" xr:uid="{A9EB7C27-8816-4DD3-ABAA-03FDDF10AA71}"/>
    <cellStyle name="40% - Énfasis2" xfId="8" builtinId="35" customBuiltin="1"/>
    <cellStyle name="40% - Énfasis2 2" xfId="567" xr:uid="{83BB460E-64D6-4F79-8F91-8151090D9BE4}"/>
    <cellStyle name="40% - Énfasis2 2 2" xfId="605" xr:uid="{885DBD12-E643-4A52-A3C5-9F372C0E22AC}"/>
    <cellStyle name="40% - Énfasis2 2 2 2" xfId="753" xr:uid="{4AEC7829-C019-438A-B927-55C427BD4B5D}"/>
    <cellStyle name="40% - Énfasis2 2 3" xfId="717" xr:uid="{D6672AFA-79B0-4536-B5E7-DD080FC58323}"/>
    <cellStyle name="40% - Énfasis2 3" xfId="580" xr:uid="{B4C026BB-36EB-41F9-B200-A9AACB2C5DB4}"/>
    <cellStyle name="40% - Énfasis2 3 2" xfId="731" xr:uid="{DC4BD7EC-9487-4628-8210-B888A029E5B3}"/>
    <cellStyle name="40% - Énfasis2 4" xfId="619" xr:uid="{C2A33279-36C5-402C-8985-06D5FB7B9FD4}"/>
    <cellStyle name="40% - Énfasis2 5" xfId="632" xr:uid="{8D76BFE4-D013-4224-9625-104068778F5D}"/>
    <cellStyle name="40% - Énfasis2 6" xfId="645" xr:uid="{11D490B2-DCF3-480D-9A14-F201A413B552}"/>
    <cellStyle name="40% - Énfasis2 7" xfId="661" xr:uid="{7081C495-A6CE-4998-A63C-57E414F94941}"/>
    <cellStyle name="40% - Énfasis2 8" xfId="701" xr:uid="{1387FB46-A962-4B6B-92D6-8DEB7849AA08}"/>
    <cellStyle name="40% - Énfasis3" xfId="9" builtinId="39" customBuiltin="1"/>
    <cellStyle name="40% - Énfasis3 2" xfId="569" xr:uid="{00CE4FF7-6AFC-477E-8E63-59798BF0C8D4}"/>
    <cellStyle name="40% - Énfasis3 2 2" xfId="607" xr:uid="{5E18DA7F-B352-41DE-8A85-94F7D65D4343}"/>
    <cellStyle name="40% - Énfasis3 2 2 2" xfId="755" xr:uid="{51AAF2C9-11CA-47FE-BDA3-59786553EEF4}"/>
    <cellStyle name="40% - Énfasis3 2 3" xfId="719" xr:uid="{3183883B-5694-4691-97DE-47892E72492B}"/>
    <cellStyle name="40% - Énfasis3 3" xfId="582" xr:uid="{089FF1B6-FCCF-428E-87C5-9ABB3637449E}"/>
    <cellStyle name="40% - Énfasis3 3 2" xfId="733" xr:uid="{FD56F947-4F25-4F3F-9255-54E86CB87968}"/>
    <cellStyle name="40% - Énfasis3 4" xfId="621" xr:uid="{382DEE7A-A49C-4C4D-B971-A88F748629B4}"/>
    <cellStyle name="40% - Énfasis3 5" xfId="634" xr:uid="{58F657C2-55AB-420D-B282-6E902DC9DD63}"/>
    <cellStyle name="40% - Énfasis3 6" xfId="647" xr:uid="{6A2CC63E-4067-4300-A732-4C957A9E899D}"/>
    <cellStyle name="40% - Énfasis3 7" xfId="663" xr:uid="{31294E69-BA63-437C-B05B-4BE38362187A}"/>
    <cellStyle name="40% - Énfasis3 8" xfId="703" xr:uid="{3E79DC59-565E-4358-9EE8-2B030C3742E1}"/>
    <cellStyle name="40% - Énfasis4" xfId="10" builtinId="43" customBuiltin="1"/>
    <cellStyle name="40% - Énfasis4 2" xfId="571" xr:uid="{CF011D44-EEC1-4552-BC8F-666D67E2D292}"/>
    <cellStyle name="40% - Énfasis4 2 2" xfId="609" xr:uid="{CBEDE12B-64E3-4EA6-B38F-392C371BB674}"/>
    <cellStyle name="40% - Énfasis4 2 2 2" xfId="757" xr:uid="{DF281EC0-BC6C-47BC-9E69-C0113E38CC73}"/>
    <cellStyle name="40% - Énfasis4 2 3" xfId="721" xr:uid="{4F322F1B-E347-44FB-84AD-6631CBBD62CF}"/>
    <cellStyle name="40% - Énfasis4 3" xfId="584" xr:uid="{B5920460-1CD4-4E8F-ACE3-D5F6E31F257E}"/>
    <cellStyle name="40% - Énfasis4 3 2" xfId="735" xr:uid="{248FCD0D-5F4D-45A2-B60C-76AB8F2BD950}"/>
    <cellStyle name="40% - Énfasis4 4" xfId="623" xr:uid="{A62122D9-AC32-4F17-92BE-08F6E3F44EB2}"/>
    <cellStyle name="40% - Énfasis4 5" xfId="636" xr:uid="{383D3CC7-59B7-40FB-AA38-14D4FB8E62F7}"/>
    <cellStyle name="40% - Énfasis4 6" xfId="649" xr:uid="{D65C7ECF-9AC4-4DDC-AF21-7EAE358D9299}"/>
    <cellStyle name="40% - Énfasis4 7" xfId="665" xr:uid="{B4DB2D0E-554F-48F3-9610-AACC828EDDC4}"/>
    <cellStyle name="40% - Énfasis4 8" xfId="705" xr:uid="{4C2F64F5-2633-4599-8D8E-9B6DF3918F20}"/>
    <cellStyle name="40% - Énfasis5" xfId="11" builtinId="47" customBuiltin="1"/>
    <cellStyle name="40% - Énfasis5 2" xfId="573" xr:uid="{6D41F7F3-C2F2-4482-BD8E-9BB6729CCAD3}"/>
    <cellStyle name="40% - Énfasis5 2 2" xfId="611" xr:uid="{F514EE4D-F910-47A2-A089-75A8F566168B}"/>
    <cellStyle name="40% - Énfasis5 2 2 2" xfId="759" xr:uid="{F1A66513-F9E7-4EF6-B64F-970C8CBA08D2}"/>
    <cellStyle name="40% - Énfasis5 2 3" xfId="723" xr:uid="{5E7E1109-583C-4EA9-93F0-D45170298232}"/>
    <cellStyle name="40% - Énfasis5 3" xfId="586" xr:uid="{EF4DDD70-1562-4EB8-9450-20852AB830D2}"/>
    <cellStyle name="40% - Énfasis5 3 2" xfId="737" xr:uid="{59C10A39-CB55-41C9-8824-9A9C4DD72A2B}"/>
    <cellStyle name="40% - Énfasis5 4" xfId="625" xr:uid="{3E0DC87D-CAD2-45DC-BA06-36B5AB0552B2}"/>
    <cellStyle name="40% - Énfasis5 5" xfId="638" xr:uid="{A05581E7-BEB2-45E5-9F89-0D2AF662BEAD}"/>
    <cellStyle name="40% - Énfasis5 6" xfId="651" xr:uid="{B2A0E380-F542-46B3-9CE7-D1FB86F26C8D}"/>
    <cellStyle name="40% - Énfasis5 7" xfId="667" xr:uid="{3CCBE30D-0572-412C-9012-78D6C84D9B6A}"/>
    <cellStyle name="40% - Énfasis5 8" xfId="707" xr:uid="{1A7961DD-C265-4867-8648-BCD03E3AA0B0}"/>
    <cellStyle name="40% - Énfasis6" xfId="12" builtinId="51" customBuiltin="1"/>
    <cellStyle name="40% - Énfasis6 2" xfId="575" xr:uid="{7A43B158-FF28-43BD-8EDF-BF05D6985CEC}"/>
    <cellStyle name="40% - Énfasis6 2 2" xfId="613" xr:uid="{CE7534D3-E354-4F11-B206-57FB3FDF73DB}"/>
    <cellStyle name="40% - Énfasis6 2 2 2" xfId="761" xr:uid="{6AC6A601-357E-430D-B06E-9F795CA7FAD9}"/>
    <cellStyle name="40% - Énfasis6 2 3" xfId="725" xr:uid="{FAA0AC4F-76CD-4667-A5A1-9A7D32A6E378}"/>
    <cellStyle name="40% - Énfasis6 3" xfId="588" xr:uid="{3C11E9FB-5C64-43D3-8E17-737939662FC0}"/>
    <cellStyle name="40% - Énfasis6 3 2" xfId="739" xr:uid="{50825EFF-E884-4D98-A2FD-1F8F081C4849}"/>
    <cellStyle name="40% - Énfasis6 4" xfId="627" xr:uid="{495FD225-29F7-4438-A0B9-5F3F6BB1A492}"/>
    <cellStyle name="40% - Énfasis6 5" xfId="640" xr:uid="{E09C45EA-9CF7-42F2-89D6-22E66C4AEB99}"/>
    <cellStyle name="40% - Énfasis6 6" xfId="653" xr:uid="{E8555BDF-6F0D-41AF-928D-08E2628DB039}"/>
    <cellStyle name="40% - Énfasis6 7" xfId="669" xr:uid="{508B98C2-1A70-49F5-9739-1880A9212673}"/>
    <cellStyle name="40% - Énfasis6 8" xfId="709" xr:uid="{850210AA-2F0B-443D-93BC-957A2B44AC14}"/>
    <cellStyle name="60% - Énfasis1" xfId="13" builtinId="32" customBuiltin="1"/>
    <cellStyle name="60% - Énfasis1 2" xfId="433" xr:uid="{00000000-0005-0000-0000-00000D000000}"/>
    <cellStyle name="60% - Énfasis2" xfId="14" builtinId="36" customBuiltin="1"/>
    <cellStyle name="60% - Énfasis2 2" xfId="434" xr:uid="{00000000-0005-0000-0000-00000F000000}"/>
    <cellStyle name="60% - Énfasis3" xfId="15" builtinId="40" customBuiltin="1"/>
    <cellStyle name="60% - Énfasis3 2" xfId="435" xr:uid="{00000000-0005-0000-0000-000011000000}"/>
    <cellStyle name="60% - Énfasis4" xfId="16" builtinId="44" customBuiltin="1"/>
    <cellStyle name="60% - Énfasis4 2" xfId="436" xr:uid="{00000000-0005-0000-0000-000013000000}"/>
    <cellStyle name="60% - Énfasis5" xfId="17" builtinId="48" customBuiltin="1"/>
    <cellStyle name="60% - Énfasis5 2" xfId="437" xr:uid="{00000000-0005-0000-0000-000015000000}"/>
    <cellStyle name="60% - Énfasis6" xfId="18" builtinId="52" customBuiltin="1"/>
    <cellStyle name="60% - Énfasis6 2" xfId="438" xr:uid="{00000000-0005-0000-0000-000017000000}"/>
    <cellStyle name="args.style" xfId="19" xr:uid="{00000000-0005-0000-0000-000018000000}"/>
    <cellStyle name="Besuchter Hyperlink" xfId="512" xr:uid="{D0869725-8050-4347-90CA-B62A4DCA817E}"/>
    <cellStyle name="Bueno" xfId="20" builtinId="26" customBuiltin="1"/>
    <cellStyle name="ç" xfId="21" xr:uid="{00000000-0005-0000-0000-00001A000000}"/>
    <cellStyle name="ç_Anex. 1.1 al 2.18-prefact" xfId="22" xr:uid="{00000000-0005-0000-0000-00001B000000}"/>
    <cellStyle name="ç_criterios" xfId="23" xr:uid="{00000000-0005-0000-0000-00001C000000}"/>
    <cellStyle name="ç_D2.01-D2.06-D2.07 Res Gen -Gastos Gen-Estd Ing Proy 2" xfId="24" xr:uid="{00000000-0005-0000-0000-00001D000000}"/>
    <cellStyle name="ç_Datos Generales-ok" xfId="25" xr:uid="{00000000-0005-0000-0000-00001E000000}"/>
    <cellStyle name="ç_Indicadores Mercado-ok-Amazonas" xfId="26" xr:uid="{00000000-0005-0000-0000-00001F000000}"/>
    <cellStyle name="ç_Libro2" xfId="27" xr:uid="{00000000-0005-0000-0000-000020000000}"/>
    <cellStyle name="ç_Marco Logico" xfId="28" xr:uid="{00000000-0005-0000-0000-000021000000}"/>
    <cellStyle name="ç_Resumen de Gastos Generales" xfId="29" xr:uid="{00000000-0005-0000-0000-000022000000}"/>
    <cellStyle name="ç_xx" xfId="30" xr:uid="{00000000-0005-0000-0000-000023000000}"/>
    <cellStyle name="ç_xx_Resumen Gastos Generale E.R. GRUPO 2" xfId="31" xr:uid="{00000000-0005-0000-0000-000024000000}"/>
    <cellStyle name="Calc Currency (0)" xfId="32" xr:uid="{00000000-0005-0000-0000-000025000000}"/>
    <cellStyle name="Calc Currency (0) 2" xfId="367" xr:uid="{00000000-0005-0000-0000-000026000000}"/>
    <cellStyle name="Cálculo" xfId="33" builtinId="22" customBuiltin="1"/>
    <cellStyle name="Cancel" xfId="34" xr:uid="{00000000-0005-0000-0000-000028000000}"/>
    <cellStyle name="Cancel 2" xfId="35" xr:uid="{00000000-0005-0000-0000-000029000000}"/>
    <cellStyle name="Cancel 2 2" xfId="404" xr:uid="{00000000-0005-0000-0000-00002A000000}"/>
    <cellStyle name="Cancel 3" xfId="36" xr:uid="{00000000-0005-0000-0000-00002B000000}"/>
    <cellStyle name="Cancel 3 2" xfId="368" xr:uid="{00000000-0005-0000-0000-00002C000000}"/>
    <cellStyle name="Cancel 4" xfId="37" xr:uid="{00000000-0005-0000-0000-00002D000000}"/>
    <cellStyle name="Cancel 4 2" xfId="369" xr:uid="{00000000-0005-0000-0000-00002E000000}"/>
    <cellStyle name="Cancel_001_VREF_33 Proyectos (Grupo N°10)" xfId="38" xr:uid="{00000000-0005-0000-0000-00002F000000}"/>
    <cellStyle name="Celda de comprobación" xfId="39" builtinId="23" customBuiltin="1"/>
    <cellStyle name="Celda vinculada" xfId="40" builtinId="24" customBuiltin="1"/>
    <cellStyle name="Comma" xfId="41" xr:uid="{00000000-0005-0000-0000-000032000000}"/>
    <cellStyle name="Comma [0]_!!!GO" xfId="42" xr:uid="{00000000-0005-0000-0000-000033000000}"/>
    <cellStyle name="Comma 2" xfId="514" xr:uid="{81D7CBE4-35E9-4C76-B1AE-C2EFC78FBD52}"/>
    <cellStyle name="Comma 3" xfId="543" xr:uid="{982C8939-13EB-46A8-A41E-7F1927261D2D}"/>
    <cellStyle name="Comma 4" xfId="513" xr:uid="{8C0A1326-001D-4481-A6EF-A81F3194205F}"/>
    <cellStyle name="Comma_!!!GO" xfId="43" xr:uid="{00000000-0005-0000-0000-000034000000}"/>
    <cellStyle name="Comma0 - Style1" xfId="44" xr:uid="{00000000-0005-0000-0000-000035000000}"/>
    <cellStyle name="Comma0 - Style2" xfId="45" xr:uid="{00000000-0005-0000-0000-000036000000}"/>
    <cellStyle name="Comma1 - Estilo1" xfId="46" xr:uid="{00000000-0005-0000-0000-000037000000}"/>
    <cellStyle name="Comma1 - Style1" xfId="47" xr:uid="{00000000-0005-0000-0000-000038000000}"/>
    <cellStyle name="Comma1 - Style2" xfId="48" xr:uid="{00000000-0005-0000-0000-000039000000}"/>
    <cellStyle name="Copied" xfId="49" xr:uid="{00000000-0005-0000-0000-00003A000000}"/>
    <cellStyle name="COST1" xfId="50" xr:uid="{00000000-0005-0000-0000-00003B000000}"/>
    <cellStyle name="Currency" xfId="51" xr:uid="{00000000-0005-0000-0000-00003C000000}"/>
    <cellStyle name="Currency [0]_!!!GO" xfId="52" xr:uid="{00000000-0005-0000-0000-00003D000000}"/>
    <cellStyle name="Currency 2" xfId="516" xr:uid="{4F69BDEE-DA6B-4AB3-94EE-F0C068EA9525}"/>
    <cellStyle name="Currency 3" xfId="542" xr:uid="{CCCFCAC2-BCB4-4030-94B3-F213FD89925F}"/>
    <cellStyle name="Currency 4" xfId="515" xr:uid="{AAEA1741-AFC8-48C4-8A9B-460DA3B9E909}"/>
    <cellStyle name="Currency_!!!GO" xfId="53" xr:uid="{00000000-0005-0000-0000-00003E000000}"/>
    <cellStyle name="Date" xfId="54" xr:uid="{00000000-0005-0000-0000-00003F000000}"/>
    <cellStyle name="Date 2" xfId="517" xr:uid="{A74ED12F-858B-4835-95D8-5E1863DCFB78}"/>
    <cellStyle name="DIA" xfId="55" xr:uid="{00000000-0005-0000-0000-000040000000}"/>
    <cellStyle name="ENCABEZ1" xfId="56" xr:uid="{00000000-0005-0000-0000-000041000000}"/>
    <cellStyle name="ENCABEZ2" xfId="57" xr:uid="{00000000-0005-0000-0000-000042000000}"/>
    <cellStyle name="Encabezado 1" xfId="363" builtinId="16" customBuiltin="1"/>
    <cellStyle name="Encabezado 4" xfId="58" builtinId="19" customBuiltin="1"/>
    <cellStyle name="Énfasis1" xfId="59" builtinId="29" customBuiltin="1"/>
    <cellStyle name="Énfasis2" xfId="60" builtinId="33" customBuiltin="1"/>
    <cellStyle name="Énfasis3" xfId="61" builtinId="37" customBuiltin="1"/>
    <cellStyle name="Énfasis4" xfId="62" builtinId="41" customBuiltin="1"/>
    <cellStyle name="Énfasis5" xfId="63" builtinId="45" customBuiltin="1"/>
    <cellStyle name="Énfasis6" xfId="64" builtinId="49" customBuiltin="1"/>
    <cellStyle name="Entered" xfId="65" xr:uid="{00000000-0005-0000-0000-00004B000000}"/>
    <cellStyle name="Entrada" xfId="66" builtinId="20" customBuiltin="1"/>
    <cellStyle name="EST1" xfId="67" xr:uid="{00000000-0005-0000-0000-00004D000000}"/>
    <cellStyle name="EST1 2" xfId="540" xr:uid="{6BF17F2B-D314-4220-A5AA-3284A53A7536}"/>
    <cellStyle name="EST1 3" xfId="518" xr:uid="{BAD764CE-111D-419F-9F33-93B14CC0667E}"/>
    <cellStyle name="Euro" xfId="68" xr:uid="{00000000-0005-0000-0000-00004E000000}"/>
    <cellStyle name="Euro 2" xfId="370" xr:uid="{00000000-0005-0000-0000-00004F000000}"/>
    <cellStyle name="Euro 3" xfId="519" xr:uid="{8C9E3978-56B2-4543-BCF6-323DC023A9C0}"/>
    <cellStyle name="F2" xfId="69" xr:uid="{00000000-0005-0000-0000-000050000000}"/>
    <cellStyle name="F2 - Estilo1" xfId="70" xr:uid="{00000000-0005-0000-0000-000051000000}"/>
    <cellStyle name="F2 2" xfId="671" xr:uid="{4270374E-B103-47B1-AF50-A1AB3E8349D5}"/>
    <cellStyle name="F2_00 Valor Referencial LP-RP-RS PSE CHINCHEROS II" xfId="71" xr:uid="{00000000-0005-0000-0000-000052000000}"/>
    <cellStyle name="F3" xfId="72" xr:uid="{00000000-0005-0000-0000-000053000000}"/>
    <cellStyle name="F3 - Estilo2" xfId="73" xr:uid="{00000000-0005-0000-0000-000054000000}"/>
    <cellStyle name="F3 2" xfId="672" xr:uid="{0A840A08-570F-465C-ADEB-993DD1565883}"/>
    <cellStyle name="F3_00 Valor Referencial LP-RP-RS PSE CHINCHEROS II" xfId="74" xr:uid="{00000000-0005-0000-0000-000055000000}"/>
    <cellStyle name="F4" xfId="75" xr:uid="{00000000-0005-0000-0000-000056000000}"/>
    <cellStyle name="F4 - Estilo3" xfId="76" xr:uid="{00000000-0005-0000-0000-000057000000}"/>
    <cellStyle name="F4 2" xfId="673" xr:uid="{C66AAAF9-3E88-4517-B7C4-775400905190}"/>
    <cellStyle name="F4_00 Valor Referencial LP-RP-RS PSE CHINCHEROS II" xfId="77" xr:uid="{00000000-0005-0000-0000-000058000000}"/>
    <cellStyle name="F5" xfId="78" xr:uid="{00000000-0005-0000-0000-000059000000}"/>
    <cellStyle name="F5 - Estilo4" xfId="79" xr:uid="{00000000-0005-0000-0000-00005A000000}"/>
    <cellStyle name="F5 2" xfId="674" xr:uid="{8D7EB910-A875-4950-B042-061D19322FC6}"/>
    <cellStyle name="F5_00 Valor Referencial LP-RP-RS PSE CHINCHEROS II" xfId="80" xr:uid="{00000000-0005-0000-0000-00005B000000}"/>
    <cellStyle name="F6" xfId="81" xr:uid="{00000000-0005-0000-0000-00005C000000}"/>
    <cellStyle name="F6 - Estilo5" xfId="82" xr:uid="{00000000-0005-0000-0000-00005D000000}"/>
    <cellStyle name="F6 2" xfId="675" xr:uid="{1DC3A256-FC5E-4ACF-ADBE-73ACD7EA0950}"/>
    <cellStyle name="F6_00 Valor Referencial LP-RP-RS PSE CHINCHEROS II" xfId="83" xr:uid="{00000000-0005-0000-0000-00005E000000}"/>
    <cellStyle name="F7" xfId="84" xr:uid="{00000000-0005-0000-0000-00005F000000}"/>
    <cellStyle name="F7 - Estilo6" xfId="85" xr:uid="{00000000-0005-0000-0000-000060000000}"/>
    <cellStyle name="F7 2" xfId="676" xr:uid="{F34CD1F2-D466-4413-9197-6AA69A3BB868}"/>
    <cellStyle name="F7_00 Valor Referencial LP-RP-RS PSE CHINCHEROS II" xfId="86" xr:uid="{00000000-0005-0000-0000-000061000000}"/>
    <cellStyle name="F8" xfId="87" xr:uid="{00000000-0005-0000-0000-000062000000}"/>
    <cellStyle name="F8 2" xfId="677" xr:uid="{AF21275B-8620-44C1-A6DB-6DC27679519D}"/>
    <cellStyle name="FIJO" xfId="88" xr:uid="{00000000-0005-0000-0000-000063000000}"/>
    <cellStyle name="FINANCIERO" xfId="89" xr:uid="{00000000-0005-0000-0000-000064000000}"/>
    <cellStyle name="Fixed" xfId="90" xr:uid="{00000000-0005-0000-0000-000065000000}"/>
    <cellStyle name="Fixed 2" xfId="521" xr:uid="{BB446781-51AF-453C-A3BE-67CBCBE1B1E0}"/>
    <cellStyle name="Grey" xfId="91" xr:uid="{00000000-0005-0000-0000-000066000000}"/>
    <cellStyle name="Header1" xfId="92" xr:uid="{00000000-0005-0000-0000-000067000000}"/>
    <cellStyle name="Header2" xfId="93" xr:uid="{00000000-0005-0000-0000-000068000000}"/>
    <cellStyle name="Header2 2" xfId="692" xr:uid="{18280815-4A26-4A76-8ED2-2E7D533F82D5}"/>
    <cellStyle name="Header2 2 2" xfId="780" xr:uid="{E306B46A-69E4-4359-BC32-2AE2F7D986A2}"/>
    <cellStyle name="Header2 3" xfId="695" xr:uid="{6D681958-C863-442E-AE44-6126DB65D8D0}"/>
    <cellStyle name="Header2 3 2" xfId="783" xr:uid="{162FE0FD-4290-497C-95C9-F7CCD058C066}"/>
    <cellStyle name="Header2 4" xfId="694" xr:uid="{B036241C-9E15-4FD1-A214-BFAE7F2577CC}"/>
    <cellStyle name="Header2 4 2" xfId="782" xr:uid="{1402F624-D823-418A-A3BA-1C0AF6EC3D28}"/>
    <cellStyle name="Header2 5" xfId="686" xr:uid="{A004E455-0F2B-43F8-BC97-858F02823E17}"/>
    <cellStyle name="Header2 5 2" xfId="779" xr:uid="{C3372180-D88F-411D-8659-C279DFFFBD3F}"/>
    <cellStyle name="Header2 6" xfId="767" xr:uid="{3146F775-FC00-4B4B-8F9C-82BAE97B7C1A}"/>
    <cellStyle name="Header2 6 2" xfId="785" xr:uid="{D4A35068-AFE6-4789-B53E-BCDC1387F7D8}"/>
    <cellStyle name="Header2 7" xfId="679" xr:uid="{30C3AE0A-842C-4798-8C63-12608BEC5F5E}"/>
    <cellStyle name="Heading1" xfId="94" xr:uid="{00000000-0005-0000-0000-000069000000}"/>
    <cellStyle name="Heading1 2" xfId="522" xr:uid="{AA9930CB-006F-47AA-AFAA-371353705771}"/>
    <cellStyle name="Heading2" xfId="95" xr:uid="{00000000-0005-0000-0000-00006A000000}"/>
    <cellStyle name="Heading2 2" xfId="523" xr:uid="{C37CEEBB-08F6-4E09-AF0C-FA1D64736543}"/>
    <cellStyle name="Hyperlink" xfId="524" xr:uid="{02CCE694-B534-4373-A983-212E498BB655}"/>
    <cellStyle name="Incorrecto" xfId="96" builtinId="27" customBuiltin="1"/>
    <cellStyle name="Input [yellow]" xfId="97" xr:uid="{00000000-0005-0000-0000-00006C000000}"/>
    <cellStyle name="Input [yellow] 2" xfId="765" xr:uid="{837B904B-FC39-4A2D-9986-6423D8251DAC}"/>
    <cellStyle name="Input [yellow] 2 2" xfId="784" xr:uid="{8B2941AC-0BA6-485F-9760-48712E1DA3D9}"/>
    <cellStyle name="Input [yellow] 3" xfId="768" xr:uid="{F0A6A80E-CBE9-4292-AA88-58282BD96573}"/>
    <cellStyle name="Input [yellow] 3 2" xfId="786" xr:uid="{4281E9AA-1867-48F2-B231-C79663185194}"/>
    <cellStyle name="Input [yellow] 4" xfId="769" xr:uid="{F4990AD6-6AC3-4F40-9138-214AC70C6480}"/>
    <cellStyle name="Input [yellow] 4 2" xfId="787" xr:uid="{FFCF7EAE-943E-44DC-AD9C-ABE776F3B747}"/>
    <cellStyle name="Input [yellow] 5" xfId="693" xr:uid="{36510974-E68E-419E-8EC6-8A527E9F1C94}"/>
    <cellStyle name="Input [yellow] 5 2" xfId="781" xr:uid="{3A905B93-0B93-41A2-91F2-997C8E7C455C}"/>
    <cellStyle name="Input [yellow] 6" xfId="685" xr:uid="{68970C67-8F95-4F5F-8805-913AF5F35416}"/>
    <cellStyle name="Input [yellow] 6 2" xfId="778" xr:uid="{C7480074-752A-40E7-A122-DFEF9AAE619F}"/>
    <cellStyle name="Input [yellow] 7" xfId="654" xr:uid="{7BC44CC5-DACE-4F3B-9287-B90402A03D0D}"/>
    <cellStyle name="Input Cells" xfId="98" xr:uid="{00000000-0005-0000-0000-00006D000000}"/>
    <cellStyle name="Linked Cells" xfId="99" xr:uid="{00000000-0005-0000-0000-00006E000000}"/>
    <cellStyle name="Millares" xfId="100" builtinId="3"/>
    <cellStyle name="Millares [0] 2" xfId="101" xr:uid="{00000000-0005-0000-0000-000070000000}"/>
    <cellStyle name="Millares [0] 2 2" xfId="372" xr:uid="{00000000-0005-0000-0000-000071000000}"/>
    <cellStyle name="Millares [0] 2 2 2" xfId="398" xr:uid="{00000000-0005-0000-0000-000072000000}"/>
    <cellStyle name="Millares [0] 2 2 2 2" xfId="424" xr:uid="{00000000-0005-0000-0000-000073000000}"/>
    <cellStyle name="Millares [0] 2 2 2 3" xfId="454" xr:uid="{00000000-0005-0000-0000-000074000000}"/>
    <cellStyle name="Millares [0] 2 2 2 4" xfId="493" xr:uid="{00000000-0005-0000-0000-000075000000}"/>
    <cellStyle name="Millares [0] 2 2 3" xfId="416" xr:uid="{00000000-0005-0000-0000-000076000000}"/>
    <cellStyle name="Millares [0] 2 2 4" xfId="446" xr:uid="{00000000-0005-0000-0000-000077000000}"/>
    <cellStyle name="Millares [0] 2 2 5" xfId="485" xr:uid="{00000000-0005-0000-0000-000078000000}"/>
    <cellStyle name="Millares [0] 2 3" xfId="440" xr:uid="{00000000-0005-0000-0000-000079000000}"/>
    <cellStyle name="Millares [0] 3" xfId="102" xr:uid="{00000000-0005-0000-0000-00007A000000}"/>
    <cellStyle name="Millares [0] 3 2" xfId="373" xr:uid="{00000000-0005-0000-0000-00007B000000}"/>
    <cellStyle name="Millares [0] 4" xfId="103" xr:uid="{00000000-0005-0000-0000-00007C000000}"/>
    <cellStyle name="Millares [0] 4 2" xfId="374" xr:uid="{00000000-0005-0000-0000-00007D000000}"/>
    <cellStyle name="Millares 10" xfId="403" xr:uid="{00000000-0005-0000-0000-00007E000000}"/>
    <cellStyle name="Millares 10 2" xfId="429" xr:uid="{00000000-0005-0000-0000-00007F000000}"/>
    <cellStyle name="Millares 10 3" xfId="459" xr:uid="{00000000-0005-0000-0000-000080000000}"/>
    <cellStyle name="Millares 10 4" xfId="498" xr:uid="{00000000-0005-0000-0000-000081000000}"/>
    <cellStyle name="Millares 11" xfId="408" xr:uid="{00000000-0005-0000-0000-000082000000}"/>
    <cellStyle name="Millares 11 2" xfId="467" xr:uid="{00000000-0005-0000-0000-000083000000}"/>
    <cellStyle name="Millares 11 3" xfId="501" xr:uid="{00000000-0005-0000-0000-000084000000}"/>
    <cellStyle name="Millares 12" xfId="411" xr:uid="{00000000-0005-0000-0000-000085000000}"/>
    <cellStyle name="Millares 12 2" xfId="466" xr:uid="{00000000-0005-0000-0000-000086000000}"/>
    <cellStyle name="Millares 12 3" xfId="500" xr:uid="{00000000-0005-0000-0000-000087000000}"/>
    <cellStyle name="Millares 13" xfId="410" xr:uid="{00000000-0005-0000-0000-000088000000}"/>
    <cellStyle name="Millares 13 2" xfId="468" xr:uid="{00000000-0005-0000-0000-000089000000}"/>
    <cellStyle name="Millares 13 3" xfId="502" xr:uid="{00000000-0005-0000-0000-00008A000000}"/>
    <cellStyle name="Millares 14" xfId="430" xr:uid="{00000000-0005-0000-0000-00008B000000}"/>
    <cellStyle name="Millares 14 2" xfId="469" xr:uid="{00000000-0005-0000-0000-00008C000000}"/>
    <cellStyle name="Millares 14 3" xfId="503" xr:uid="{00000000-0005-0000-0000-00008D000000}"/>
    <cellStyle name="Millares 15" xfId="414" xr:uid="{00000000-0005-0000-0000-00008E000000}"/>
    <cellStyle name="Millares 15 2" xfId="471" xr:uid="{00000000-0005-0000-0000-00008F000000}"/>
    <cellStyle name="Millares 15 3" xfId="505" xr:uid="{00000000-0005-0000-0000-000090000000}"/>
    <cellStyle name="Millares 16" xfId="406" xr:uid="{00000000-0005-0000-0000-000091000000}"/>
    <cellStyle name="Millares 16 2" xfId="470" xr:uid="{00000000-0005-0000-0000-000092000000}"/>
    <cellStyle name="Millares 16 3" xfId="504" xr:uid="{00000000-0005-0000-0000-000093000000}"/>
    <cellStyle name="Millares 16 5" xfId="788" xr:uid="{CFF373C5-B9BA-4218-83E8-12B5A4280B8E}"/>
    <cellStyle name="Millares 17" xfId="413" xr:uid="{00000000-0005-0000-0000-000094000000}"/>
    <cellStyle name="Millares 17 2" xfId="472" xr:uid="{00000000-0005-0000-0000-000095000000}"/>
    <cellStyle name="Millares 17 3" xfId="506" xr:uid="{00000000-0005-0000-0000-000096000000}"/>
    <cellStyle name="Millares 18" xfId="407" xr:uid="{00000000-0005-0000-0000-000097000000}"/>
    <cellStyle name="Millares 18 2" xfId="439" xr:uid="{00000000-0005-0000-0000-000098000000}"/>
    <cellStyle name="Millares 18 3" xfId="481" xr:uid="{00000000-0005-0000-0000-000099000000}"/>
    <cellStyle name="Millares 19" xfId="412" xr:uid="{00000000-0005-0000-0000-00009A000000}"/>
    <cellStyle name="Millares 19 2" xfId="474" xr:uid="{00000000-0005-0000-0000-00009B000000}"/>
    <cellStyle name="Millares 19 3" xfId="508" xr:uid="{00000000-0005-0000-0000-00009C000000}"/>
    <cellStyle name="Millares 2" xfId="104" xr:uid="{00000000-0005-0000-0000-00009D000000}"/>
    <cellStyle name="Millares 2 2" xfId="375" xr:uid="{00000000-0005-0000-0000-00009E000000}"/>
    <cellStyle name="Millares 2 2 2" xfId="680" xr:uid="{6F8E7BEE-CBEB-44AF-9C43-73D59454B9C6}"/>
    <cellStyle name="Millares 2 2 3" xfId="688" xr:uid="{58962461-917B-4AF6-9712-968C5FC97BBF}"/>
    <cellStyle name="Millares 2 2 4" xfId="526" xr:uid="{C6C35E26-9152-43DD-9729-1D62C81D0222}"/>
    <cellStyle name="Millares 2 3" xfId="681" xr:uid="{E7201FB5-4117-44A0-BC28-97827E0A9060}"/>
    <cellStyle name="Millares 2 4" xfId="687" xr:uid="{EB0E9543-801F-4B67-825D-DFA593F01281}"/>
    <cellStyle name="Millares 2 5" xfId="525" xr:uid="{4331ECE4-0430-44B8-8801-C7FD75B29591}"/>
    <cellStyle name="Millares 20" xfId="476" xr:uid="{00000000-0005-0000-0000-00009F000000}"/>
    <cellStyle name="Millares 20 2" xfId="510" xr:uid="{00000000-0005-0000-0000-0000A0000000}"/>
    <cellStyle name="Millares 21" xfId="475" xr:uid="{00000000-0005-0000-0000-0000A1000000}"/>
    <cellStyle name="Millares 21 2" xfId="509" xr:uid="{00000000-0005-0000-0000-0000A2000000}"/>
    <cellStyle name="Millares 22" xfId="431" xr:uid="{00000000-0005-0000-0000-0000A3000000}"/>
    <cellStyle name="Millares 23" xfId="477" xr:uid="{00000000-0005-0000-0000-0000A4000000}"/>
    <cellStyle name="Millares 24" xfId="482" xr:uid="{00000000-0005-0000-0000-0000A5000000}"/>
    <cellStyle name="Millares 25" xfId="479" xr:uid="{00000000-0005-0000-0000-0000A6000000}"/>
    <cellStyle name="Millares 26" xfId="483" xr:uid="{00000000-0005-0000-0000-0000A7000000}"/>
    <cellStyle name="Millares 27" xfId="559" xr:uid="{951011D3-BD2E-40D0-A27A-D1F586B00213}"/>
    <cellStyle name="Millares 28" xfId="774" xr:uid="{E04DDC90-79D7-4E84-8EE6-A7EF19769A33}"/>
    <cellStyle name="Millares 29" xfId="561" xr:uid="{7C92EE9F-81ED-422D-A26F-B4E431DBBBF6}"/>
    <cellStyle name="Millares 3" xfId="105" xr:uid="{00000000-0005-0000-0000-0000A8000000}"/>
    <cellStyle name="Millares 3 2" xfId="376" xr:uid="{00000000-0005-0000-0000-0000A9000000}"/>
    <cellStyle name="Millares 3 2 2" xfId="690" xr:uid="{841FD445-2D26-48CE-874B-DD2AC8CACC70}"/>
    <cellStyle name="Millares 3 2 3" xfId="528" xr:uid="{8A7DA2AF-7AC6-4E88-A626-C31232845873}"/>
    <cellStyle name="Millares 3 3" xfId="462" xr:uid="{00000000-0005-0000-0000-0000AA000000}"/>
    <cellStyle name="Millares 3 3 2" xfId="499" xr:uid="{00000000-0005-0000-0000-0000AB000000}"/>
    <cellStyle name="Millares 3 3 3" xfId="689" xr:uid="{3D25EFD0-5CC3-4036-9741-3611D231BBA2}"/>
    <cellStyle name="Millares 3 4" xfId="527" xr:uid="{712F165C-7A13-444A-BEDB-054004BF6FF2}"/>
    <cellStyle name="Millares 4" xfId="106" xr:uid="{00000000-0005-0000-0000-0000AC000000}"/>
    <cellStyle name="Millares 4 2" xfId="377" xr:uid="{00000000-0005-0000-0000-0000AD000000}"/>
    <cellStyle name="Millares 4 2 2" xfId="682" xr:uid="{C44F6ED0-1F73-4FB6-8698-D286D21E6CCC}"/>
    <cellStyle name="Millares 4 3" xfId="529" xr:uid="{2D777B9E-EBA9-4877-B65B-9607D02CE57C}"/>
    <cellStyle name="Millares 5" xfId="371" xr:uid="{00000000-0005-0000-0000-0000AE000000}"/>
    <cellStyle name="Millares 5 2" xfId="397" xr:uid="{00000000-0005-0000-0000-0000AF000000}"/>
    <cellStyle name="Millares 5 2 2" xfId="423" xr:uid="{00000000-0005-0000-0000-0000B0000000}"/>
    <cellStyle name="Millares 5 2 3" xfId="453" xr:uid="{00000000-0005-0000-0000-0000B1000000}"/>
    <cellStyle name="Millares 5 2 4" xfId="492" xr:uid="{00000000-0005-0000-0000-0000B2000000}"/>
    <cellStyle name="Millares 5 2 5" xfId="743" xr:uid="{470A0041-4EC9-49DB-AEEF-79CB069052AF}"/>
    <cellStyle name="Millares 5 3" xfId="415" xr:uid="{00000000-0005-0000-0000-0000B3000000}"/>
    <cellStyle name="Millares 5 4" xfId="445" xr:uid="{00000000-0005-0000-0000-0000B4000000}"/>
    <cellStyle name="Millares 5 5" xfId="484" xr:uid="{00000000-0005-0000-0000-0000B5000000}"/>
    <cellStyle name="Millares 5 6" xfId="595" xr:uid="{74810D19-A856-4894-A8F0-208EEF32D66E}"/>
    <cellStyle name="Millares 6" xfId="391" xr:uid="{00000000-0005-0000-0000-0000B6000000}"/>
    <cellStyle name="Millares 6 2" xfId="402" xr:uid="{00000000-0005-0000-0000-0000B7000000}"/>
    <cellStyle name="Millares 6 2 2" xfId="428" xr:uid="{00000000-0005-0000-0000-0000B8000000}"/>
    <cellStyle name="Millares 6 2 3" xfId="458" xr:uid="{00000000-0005-0000-0000-0000B9000000}"/>
    <cellStyle name="Millares 6 2 4" xfId="497" xr:uid="{00000000-0005-0000-0000-0000BA000000}"/>
    <cellStyle name="Millares 6 3" xfId="419" xr:uid="{00000000-0005-0000-0000-0000BB000000}"/>
    <cellStyle name="Millares 6 4" xfId="449" xr:uid="{00000000-0005-0000-0000-0000BC000000}"/>
    <cellStyle name="Millares 6 5" xfId="488" xr:uid="{00000000-0005-0000-0000-0000BD000000}"/>
    <cellStyle name="Millares 7" xfId="394" xr:uid="{00000000-0005-0000-0000-0000BE000000}"/>
    <cellStyle name="Millares 7 2" xfId="420" xr:uid="{00000000-0005-0000-0000-0000BF000000}"/>
    <cellStyle name="Millares 7 2 2" xfId="771" xr:uid="{308C5636-0F83-45C2-9795-D3841A353788}"/>
    <cellStyle name="Millares 7 3" xfId="450" xr:uid="{00000000-0005-0000-0000-0000C0000000}"/>
    <cellStyle name="Millares 7 3 2" xfId="773" xr:uid="{6D2C4931-DE93-49D8-A8BB-BF3275846278}"/>
    <cellStyle name="Millares 7 4" xfId="489" xr:uid="{00000000-0005-0000-0000-0000C1000000}"/>
    <cellStyle name="Millares 8" xfId="396" xr:uid="{00000000-0005-0000-0000-0000C2000000}"/>
    <cellStyle name="Millares 8 2" xfId="422" xr:uid="{00000000-0005-0000-0000-0000C3000000}"/>
    <cellStyle name="Millares 8 3" xfId="452" xr:uid="{00000000-0005-0000-0000-0000C4000000}"/>
    <cellStyle name="Millares 8 4" xfId="491" xr:uid="{00000000-0005-0000-0000-0000C5000000}"/>
    <cellStyle name="Millares 9" xfId="400" xr:uid="{00000000-0005-0000-0000-0000C6000000}"/>
    <cellStyle name="Millares 9 2" xfId="426" xr:uid="{00000000-0005-0000-0000-0000C7000000}"/>
    <cellStyle name="Millares 9 3" xfId="456" xr:uid="{00000000-0005-0000-0000-0000C8000000}"/>
    <cellStyle name="Millares 9 4" xfId="495" xr:uid="{00000000-0005-0000-0000-0000C9000000}"/>
    <cellStyle name="Millares 9 5" xfId="697" xr:uid="{907F4FD9-A8C4-4FA9-A6E9-A1679833FDB7}"/>
    <cellStyle name="Milliers [0]_!!!GO" xfId="107" xr:uid="{00000000-0005-0000-0000-0000CA000000}"/>
    <cellStyle name="Milliers_!!!GO" xfId="108" xr:uid="{00000000-0005-0000-0000-0000CB000000}"/>
    <cellStyle name="Moneda" xfId="109" builtinId="4"/>
    <cellStyle name="Moneda 10" xfId="478" xr:uid="{00000000-0005-0000-0000-0000CD000000}"/>
    <cellStyle name="Moneda 2" xfId="110" xr:uid="{00000000-0005-0000-0000-0000CE000000}"/>
    <cellStyle name="Moneda 2 2" xfId="379" xr:uid="{00000000-0005-0000-0000-0000CF000000}"/>
    <cellStyle name="Moneda 2 3" xfId="463" xr:uid="{00000000-0005-0000-0000-0000D0000000}"/>
    <cellStyle name="Moneda 2 4" xfId="545" xr:uid="{C55CBED2-4D56-4F76-A884-18145FA4EE69}"/>
    <cellStyle name="Moneda 3" xfId="111" xr:uid="{00000000-0005-0000-0000-0000D1000000}"/>
    <cellStyle name="Moneda 3 2" xfId="380" xr:uid="{00000000-0005-0000-0000-0000D2000000}"/>
    <cellStyle name="Moneda 3 3" xfId="683" xr:uid="{C9BB7FB6-A080-4CA4-B8BA-0FE3E1AF88F1}"/>
    <cellStyle name="Moneda 4" xfId="112" xr:uid="{00000000-0005-0000-0000-0000D3000000}"/>
    <cellStyle name="Moneda 4 2" xfId="381" xr:uid="{00000000-0005-0000-0000-0000D4000000}"/>
    <cellStyle name="Moneda 4 2 2" xfId="401" xr:uid="{00000000-0005-0000-0000-0000D5000000}"/>
    <cellStyle name="Moneda 4 2 2 2" xfId="427" xr:uid="{00000000-0005-0000-0000-0000D6000000}"/>
    <cellStyle name="Moneda 4 2 2 3" xfId="457" xr:uid="{00000000-0005-0000-0000-0000D7000000}"/>
    <cellStyle name="Moneda 4 2 2 4" xfId="496" xr:uid="{00000000-0005-0000-0000-0000D8000000}"/>
    <cellStyle name="Moneda 4 2 3" xfId="418" xr:uid="{00000000-0005-0000-0000-0000D9000000}"/>
    <cellStyle name="Moneda 4 2 4" xfId="448" xr:uid="{00000000-0005-0000-0000-0000DA000000}"/>
    <cellStyle name="Moneda 4 2 5" xfId="487" xr:uid="{00000000-0005-0000-0000-0000DB000000}"/>
    <cellStyle name="Moneda 4 3" xfId="442" xr:uid="{00000000-0005-0000-0000-0000DC000000}"/>
    <cellStyle name="Moneda 5" xfId="378" xr:uid="{00000000-0005-0000-0000-0000DD000000}"/>
    <cellStyle name="Moneda 5 2" xfId="399" xr:uid="{00000000-0005-0000-0000-0000DE000000}"/>
    <cellStyle name="Moneda 5 2 2" xfId="425" xr:uid="{00000000-0005-0000-0000-0000DF000000}"/>
    <cellStyle name="Moneda 5 2 3" xfId="455" xr:uid="{00000000-0005-0000-0000-0000E0000000}"/>
    <cellStyle name="Moneda 5 2 4" xfId="494" xr:uid="{00000000-0005-0000-0000-0000E1000000}"/>
    <cellStyle name="Moneda 5 3" xfId="417" xr:uid="{00000000-0005-0000-0000-0000E2000000}"/>
    <cellStyle name="Moneda 5 4" xfId="447" xr:uid="{00000000-0005-0000-0000-0000E3000000}"/>
    <cellStyle name="Moneda 5 5" xfId="486" xr:uid="{00000000-0005-0000-0000-0000E4000000}"/>
    <cellStyle name="Moneda 6" xfId="395" xr:uid="{00000000-0005-0000-0000-0000E5000000}"/>
    <cellStyle name="Moneda 6 2" xfId="421" xr:uid="{00000000-0005-0000-0000-0000E6000000}"/>
    <cellStyle name="Moneda 6 3" xfId="451" xr:uid="{00000000-0005-0000-0000-0000E7000000}"/>
    <cellStyle name="Moneda 6 4" xfId="490" xr:uid="{00000000-0005-0000-0000-0000E8000000}"/>
    <cellStyle name="Moneda 7" xfId="409" xr:uid="{00000000-0005-0000-0000-0000E9000000}"/>
    <cellStyle name="Moneda 7 2" xfId="473" xr:uid="{00000000-0005-0000-0000-0000EA000000}"/>
    <cellStyle name="Moneda 7 3" xfId="507" xr:uid="{00000000-0005-0000-0000-0000EB000000}"/>
    <cellStyle name="Moneda 8" xfId="441" xr:uid="{00000000-0005-0000-0000-0000EC000000}"/>
    <cellStyle name="Moneda 8 2" xfId="480" xr:uid="{00000000-0005-0000-0000-0000ED000000}"/>
    <cellStyle name="Moneda 9" xfId="432" xr:uid="{00000000-0005-0000-0000-0000EE000000}"/>
    <cellStyle name="Monétaire [0]_!!!GO" xfId="113" xr:uid="{00000000-0005-0000-0000-0000EF000000}"/>
    <cellStyle name="Monétaire_!!!GO" xfId="114" xr:uid="{00000000-0005-0000-0000-0000F0000000}"/>
    <cellStyle name="MONETARIO" xfId="115" xr:uid="{00000000-0005-0000-0000-0000F1000000}"/>
    <cellStyle name="Neutral" xfId="116" builtinId="28" customBuiltin="1"/>
    <cellStyle name="Neutral 2" xfId="443" xr:uid="{00000000-0005-0000-0000-0000F3000000}"/>
    <cellStyle name="Normal" xfId="0" builtinId="0"/>
    <cellStyle name="Normal - Style1" xfId="117" xr:uid="{00000000-0005-0000-0000-0000F5000000}"/>
    <cellStyle name="Normal - Style1 2" xfId="382" xr:uid="{00000000-0005-0000-0000-0000F6000000}"/>
    <cellStyle name="Normal 10" xfId="118" xr:uid="{00000000-0005-0000-0000-0000F7000000}"/>
    <cellStyle name="Normal 10 2" xfId="546" xr:uid="{32F15C7C-6B17-4761-8DEB-16714FEF4F90}"/>
    <cellStyle name="Normal 11" xfId="119" xr:uid="{00000000-0005-0000-0000-0000F8000000}"/>
    <cellStyle name="Normal 11 2" xfId="547" xr:uid="{B25ABDA3-34CB-4088-AF85-4232223FEDD2}"/>
    <cellStyle name="Normal 12" xfId="120" xr:uid="{00000000-0005-0000-0000-0000F9000000}"/>
    <cellStyle name="Normal 12 2" xfId="594" xr:uid="{176378A0-C7C0-4D44-9A71-091358241E80}"/>
    <cellStyle name="Normal 12 2 2" xfId="742" xr:uid="{48C0E600-1FDD-4005-9F42-FAD82C7D462F}"/>
    <cellStyle name="Normal 12 3" xfId="696" xr:uid="{BC304959-0CB9-4212-8730-C2E2AA1BD6E0}"/>
    <cellStyle name="Normal 13" xfId="121" xr:uid="{00000000-0005-0000-0000-0000FA000000}"/>
    <cellStyle name="Normal 13 2" xfId="598" xr:uid="{480BB551-1241-4FC1-94CB-2899F8DD91DD}"/>
    <cellStyle name="Normal 13 2 2" xfId="746" xr:uid="{B58AD289-4E63-4207-84A6-139783E3908E}"/>
    <cellStyle name="Normal 13 3" xfId="710" xr:uid="{E6C23CF3-6DBC-43C2-B462-97FB88839674}"/>
    <cellStyle name="Normal 14" xfId="122" xr:uid="{00000000-0005-0000-0000-0000FB000000}"/>
    <cellStyle name="Normal 14 2" xfId="600" xr:uid="{AA9DFCFC-B6DC-4AA4-936E-904067A12413}"/>
    <cellStyle name="Normal 14 2 2" xfId="748" xr:uid="{20BD9B9A-7DBB-4441-941E-45A302AF8BB9}"/>
    <cellStyle name="Normal 14 3" xfId="712" xr:uid="{7FC86EDB-C8A7-4E05-998F-8E53432AF94B}"/>
    <cellStyle name="Normal 15" xfId="123" xr:uid="{00000000-0005-0000-0000-0000FC000000}"/>
    <cellStyle name="Normal 15 2" xfId="740" xr:uid="{44BAFAC6-DF83-4FFD-BFCC-4D83C57126CD}"/>
    <cellStyle name="Normal 15 3" xfId="589" xr:uid="{95B5346F-1F78-4F8C-9491-E0A4E5B5F7CB}"/>
    <cellStyle name="Normal 16" xfId="124" xr:uid="{00000000-0005-0000-0000-0000FD000000}"/>
    <cellStyle name="Normal 16 2" xfId="745" xr:uid="{6E92D5FD-3526-4EA3-ABD7-C9CD74E26F8B}"/>
    <cellStyle name="Normal 16 3" xfId="597" xr:uid="{28CDE875-47CB-4B55-95C3-6FE627EC4866}"/>
    <cellStyle name="Normal 17" xfId="125" xr:uid="{00000000-0005-0000-0000-0000FE000000}"/>
    <cellStyle name="Normal 17 2" xfId="762" xr:uid="{5F16D74F-131B-4A4E-86C5-CB93835ECD7D}"/>
    <cellStyle name="Normal 17 3" xfId="614" xr:uid="{E699B6CA-C7CE-4BA7-A427-B1AC108E01D9}"/>
    <cellStyle name="Normal 18" xfId="126" xr:uid="{00000000-0005-0000-0000-0000FF000000}"/>
    <cellStyle name="Normal 18 2" xfId="744" xr:uid="{82DBF651-74DD-49A8-A47B-5B73F3B856A8}"/>
    <cellStyle name="Normal 18 3" xfId="596" xr:uid="{B5FCA736-F71E-45A4-84D2-6B32F978B1B1}"/>
    <cellStyle name="Normal 19" xfId="127" xr:uid="{00000000-0005-0000-0000-000000010000}"/>
    <cellStyle name="Normal 19 2" xfId="726" xr:uid="{1DA1A274-AB40-447B-BB2B-1546E10A5685}"/>
    <cellStyle name="Normal 2" xfId="128" xr:uid="{00000000-0005-0000-0000-000001010000}"/>
    <cellStyle name="Normal 2 2" xfId="464" xr:uid="{00000000-0005-0000-0000-000002010000}"/>
    <cellStyle name="Normal 2 2 2" xfId="393" xr:uid="{00000000-0005-0000-0000-000003010000}"/>
    <cellStyle name="Normal 2 2 2 2" xfId="772" xr:uid="{765688B6-7F44-45E4-BDA9-57E430D655C1}"/>
    <cellStyle name="Normal 2 2 2 3" xfId="531" xr:uid="{139764CA-CA06-49D1-B03E-C52C03E04A21}"/>
    <cellStyle name="Normal 2 2 3" xfId="530" xr:uid="{33487029-9591-4E9A-AE16-87810AEA9843}"/>
    <cellStyle name="Normal 2 3" xfId="532" xr:uid="{EBD8831B-0DC4-4CC7-B75A-8CDA32CD9EFD}"/>
    <cellStyle name="Normal 2 3 3" xfId="460" xr:uid="{00000000-0005-0000-0000-000004010000}"/>
    <cellStyle name="Normal 2 5" xfId="405" xr:uid="{00000000-0005-0000-0000-000005010000}"/>
    <cellStyle name="Normal 20" xfId="129" xr:uid="{00000000-0005-0000-0000-000006010000}"/>
    <cellStyle name="Normal 20 2" xfId="763" xr:uid="{182E0795-F3ED-4EEF-AD43-2D101CC30DF5}"/>
    <cellStyle name="Normal 21" xfId="130" xr:uid="{00000000-0005-0000-0000-000007010000}"/>
    <cellStyle name="Normal 21 2" xfId="764" xr:uid="{1AAB8A29-8F38-4E17-A7E0-1A0E081B7CA0}"/>
    <cellStyle name="Normal 22" xfId="131" xr:uid="{00000000-0005-0000-0000-000008010000}"/>
    <cellStyle name="Normal 22 2" xfId="766" xr:uid="{00906B34-AFAA-400C-AB85-6416E2AD2D47}"/>
    <cellStyle name="Normal 23" xfId="132" xr:uid="{00000000-0005-0000-0000-000009010000}"/>
    <cellStyle name="Normal 24" xfId="133" xr:uid="{00000000-0005-0000-0000-00000A010000}"/>
    <cellStyle name="Normal 25" xfId="134" xr:uid="{00000000-0005-0000-0000-00000B010000}"/>
    <cellStyle name="Normal 25 2" xfId="655" xr:uid="{1C85FB94-A886-405A-B5AB-F60A890B2A9A}"/>
    <cellStyle name="Normal 26" xfId="135" xr:uid="{00000000-0005-0000-0000-00000C010000}"/>
    <cellStyle name="Normal 26 2" xfId="656" xr:uid="{1AEA7067-E827-4D5E-879F-262D6649F756}"/>
    <cellStyle name="Normal 27" xfId="136" xr:uid="{00000000-0005-0000-0000-00000D010000}"/>
    <cellStyle name="Normal 28" xfId="137" xr:uid="{00000000-0005-0000-0000-00000E010000}"/>
    <cellStyle name="Normal 29" xfId="138" xr:uid="{00000000-0005-0000-0000-00000F010000}"/>
    <cellStyle name="Normal 3" xfId="139" xr:uid="{00000000-0005-0000-0000-000010010000}"/>
    <cellStyle name="Normal 3 2" xfId="383" xr:uid="{00000000-0005-0000-0000-000011010000}"/>
    <cellStyle name="Normal 3 3" xfId="548" xr:uid="{4B4BFCF3-5DE8-4D10-B0E1-557951C94810}"/>
    <cellStyle name="Normal 3 4" xfId="533" xr:uid="{A77141A7-643B-43D7-AE6D-5BAC5196E4A7}"/>
    <cellStyle name="Normal 3 5" xfId="770" xr:uid="{B35A805D-9B57-4572-8309-317F199C2BCA}"/>
    <cellStyle name="Normal 3 6" xfId="789" xr:uid="{908A28C4-0631-433E-B881-C3D16BF1B6ED}"/>
    <cellStyle name="Normal 30" xfId="140" xr:uid="{00000000-0005-0000-0000-000012010000}"/>
    <cellStyle name="Normal 30 2" xfId="670" xr:uid="{55C19867-1D41-4A91-A5CC-EAF6E74363AD}"/>
    <cellStyle name="Normal 31" xfId="141" xr:uid="{00000000-0005-0000-0000-000013010000}"/>
    <cellStyle name="Normal 32" xfId="142" xr:uid="{00000000-0005-0000-0000-000014010000}"/>
    <cellStyle name="Normal 33" xfId="143" xr:uid="{00000000-0005-0000-0000-000015010000}"/>
    <cellStyle name="Normal 34" xfId="144" xr:uid="{00000000-0005-0000-0000-000016010000}"/>
    <cellStyle name="Normal 34 2" xfId="684" xr:uid="{768A15DD-7648-4368-982F-9C157C81B272}"/>
    <cellStyle name="Normal 35" xfId="145" xr:uid="{00000000-0005-0000-0000-000017010000}"/>
    <cellStyle name="Normal 36" xfId="146" xr:uid="{00000000-0005-0000-0000-000018010000}"/>
    <cellStyle name="Normal 37" xfId="147" xr:uid="{00000000-0005-0000-0000-000019010000}"/>
    <cellStyle name="Normal 37 2" xfId="384" xr:uid="{00000000-0005-0000-0000-00001A010000}"/>
    <cellStyle name="Normal 38" xfId="148" xr:uid="{00000000-0005-0000-0000-00001B010000}"/>
    <cellStyle name="Normal 39" xfId="149" xr:uid="{00000000-0005-0000-0000-00001C010000}"/>
    <cellStyle name="Normal 4" xfId="150" xr:uid="{00000000-0005-0000-0000-00001D010000}"/>
    <cellStyle name="Normal 4 2" xfId="465" xr:uid="{00000000-0005-0000-0000-00001E010000}"/>
    <cellStyle name="Normal 4 2 2" xfId="549" xr:uid="{E82A4C1F-813D-4EE4-BB50-F71D9F7B933B}"/>
    <cellStyle name="Normal 4 3" xfId="590" xr:uid="{70B8ABA3-0CEB-4D0D-B591-4B8B665348E5}"/>
    <cellStyle name="Normal 4 3 2" xfId="741" xr:uid="{8DCD09AE-FD8E-457D-A1FA-8E8E965DE4E8}"/>
    <cellStyle name="Normal 4 4" xfId="691" xr:uid="{A0D805AA-5133-45F4-9BB4-670DB5088084}"/>
    <cellStyle name="Normal 40" xfId="151" xr:uid="{00000000-0005-0000-0000-00001F010000}"/>
    <cellStyle name="Normal 41" xfId="152" xr:uid="{00000000-0005-0000-0000-000020010000}"/>
    <cellStyle name="Normal 42" xfId="153" xr:uid="{00000000-0005-0000-0000-000021010000}"/>
    <cellStyle name="Normal 43" xfId="154" xr:uid="{00000000-0005-0000-0000-000022010000}"/>
    <cellStyle name="Normal 44" xfId="155" xr:uid="{00000000-0005-0000-0000-000023010000}"/>
    <cellStyle name="Normal 45" xfId="156" xr:uid="{00000000-0005-0000-0000-000024010000}"/>
    <cellStyle name="Normal 46" xfId="157" xr:uid="{00000000-0005-0000-0000-000025010000}"/>
    <cellStyle name="Normal 47" xfId="158" xr:uid="{00000000-0005-0000-0000-000026010000}"/>
    <cellStyle name="Normal 48" xfId="159" xr:uid="{00000000-0005-0000-0000-000027010000}"/>
    <cellStyle name="Normal 48 2" xfId="534" xr:uid="{93513346-FBF0-4890-A63F-B3BDEC3718A4}"/>
    <cellStyle name="Normal 49" xfId="160" xr:uid="{00000000-0005-0000-0000-000028010000}"/>
    <cellStyle name="Normal 5" xfId="161" xr:uid="{00000000-0005-0000-0000-000029010000}"/>
    <cellStyle name="Normal 5 2" xfId="550" xr:uid="{9A239885-3856-4433-A1CC-A2251571C3A5}"/>
    <cellStyle name="Normal 5 3" xfId="593" xr:uid="{1F059A95-FF3B-4C46-A18E-87AFC34DAC2F}"/>
    <cellStyle name="Normal 5 4" xfId="544" xr:uid="{A0081DCB-3596-4E88-A6BE-FC30480251BE}"/>
    <cellStyle name="Normal 50" xfId="162" xr:uid="{00000000-0005-0000-0000-00002A010000}"/>
    <cellStyle name="Normal 51" xfId="163" xr:uid="{00000000-0005-0000-0000-00002B010000}"/>
    <cellStyle name="Normal 52" xfId="164" xr:uid="{00000000-0005-0000-0000-00002C010000}"/>
    <cellStyle name="Normal 53" xfId="165" xr:uid="{00000000-0005-0000-0000-00002D010000}"/>
    <cellStyle name="Normal 54" xfId="166" xr:uid="{00000000-0005-0000-0000-00002E010000}"/>
    <cellStyle name="Normal 55" xfId="167" xr:uid="{00000000-0005-0000-0000-00002F010000}"/>
    <cellStyle name="Normal 56" xfId="168" xr:uid="{00000000-0005-0000-0000-000030010000}"/>
    <cellStyle name="Normal 57" xfId="169" xr:uid="{00000000-0005-0000-0000-000031010000}"/>
    <cellStyle name="Normal 58" xfId="170" xr:uid="{00000000-0005-0000-0000-000032010000}"/>
    <cellStyle name="Normal 59" xfId="171" xr:uid="{00000000-0005-0000-0000-000033010000}"/>
    <cellStyle name="Normal 6" xfId="172" xr:uid="{00000000-0005-0000-0000-000034010000}"/>
    <cellStyle name="Normal 6 2" xfId="173" xr:uid="{00000000-0005-0000-0000-000035010000}"/>
    <cellStyle name="Normal 6 2 2" xfId="552" xr:uid="{B55E43D3-38B2-4F8E-A101-0A847C8D0E14}"/>
    <cellStyle name="Normal 6 3" xfId="551" xr:uid="{F18D8EC6-1FB7-4400-ABC7-F9815E81A072}"/>
    <cellStyle name="Normal 60" xfId="174" xr:uid="{00000000-0005-0000-0000-000036010000}"/>
    <cellStyle name="Normal 61" xfId="175" xr:uid="{00000000-0005-0000-0000-000037010000}"/>
    <cellStyle name="Normal 62" xfId="176" xr:uid="{00000000-0005-0000-0000-000038010000}"/>
    <cellStyle name="Normal 63" xfId="177" xr:uid="{00000000-0005-0000-0000-000039010000}"/>
    <cellStyle name="Normal 64" xfId="178" xr:uid="{00000000-0005-0000-0000-00003A010000}"/>
    <cellStyle name="Normal 65" xfId="179" xr:uid="{00000000-0005-0000-0000-00003B010000}"/>
    <cellStyle name="Normal 66" xfId="180" xr:uid="{00000000-0005-0000-0000-00003C010000}"/>
    <cellStyle name="Normal 67" xfId="181" xr:uid="{00000000-0005-0000-0000-00003D010000}"/>
    <cellStyle name="Normal 68" xfId="182" xr:uid="{00000000-0005-0000-0000-00003E010000}"/>
    <cellStyle name="Normal 68 2" xfId="385" xr:uid="{00000000-0005-0000-0000-00003F010000}"/>
    <cellStyle name="Normal 69" xfId="183" xr:uid="{00000000-0005-0000-0000-000040010000}"/>
    <cellStyle name="Normal 69 2" xfId="386" xr:uid="{00000000-0005-0000-0000-000041010000}"/>
    <cellStyle name="Normal 7" xfId="184" xr:uid="{00000000-0005-0000-0000-000042010000}"/>
    <cellStyle name="Normal 7 2" xfId="554" xr:uid="{F39A89B5-9FD0-4C3F-9388-DDF6F4F89709}"/>
    <cellStyle name="Normal 7 3" xfId="553" xr:uid="{3A126B26-0495-4C57-8D8D-5659489B61C8}"/>
    <cellStyle name="Normal 70" xfId="185" xr:uid="{00000000-0005-0000-0000-000043010000}"/>
    <cellStyle name="Normal 71" xfId="461" xr:uid="{00000000-0005-0000-0000-000044010000}"/>
    <cellStyle name="Normal 72" xfId="511" xr:uid="{BB0D9799-9FB2-43E5-B650-394727833994}"/>
    <cellStyle name="Normal 73" xfId="560" xr:uid="{D83DE790-59C6-485F-9BCD-48E3BFAFD4DF}"/>
    <cellStyle name="Normal 74" xfId="775" xr:uid="{E6F42E13-CD46-4D3E-B01A-1E128DDBFE66}"/>
    <cellStyle name="Normal 8" xfId="186" xr:uid="{00000000-0005-0000-0000-000045010000}"/>
    <cellStyle name="Normal 8 2" xfId="556" xr:uid="{034F7007-A7AB-4DE7-A224-C7DDC10EC3E4}"/>
    <cellStyle name="Normal 8 3" xfId="555" xr:uid="{05DB970A-C3B9-48CF-8C60-6B710299DF6E}"/>
    <cellStyle name="Normal 9" xfId="187" xr:uid="{00000000-0005-0000-0000-000046010000}"/>
    <cellStyle name="Normal 9 2" xfId="558" xr:uid="{F00A1B25-0769-448D-8D3C-80EB3F07B820}"/>
    <cellStyle name="Normal 9 3" xfId="557" xr:uid="{BD8600D3-CE8D-42A2-AF45-70FEB6EDC999}"/>
    <cellStyle name="Notas" xfId="188" builtinId="10" customBuiltin="1"/>
    <cellStyle name="Notas 2" xfId="562" xr:uid="{D216702A-4F9D-4DE5-81C5-1534AE62A34C}"/>
    <cellStyle name="Notas 2 2" xfId="599" xr:uid="{A822B6E2-48E9-48FC-A15E-138964B9D835}"/>
    <cellStyle name="Notas 2 2 2" xfId="747" xr:uid="{3F8E0A32-ECE2-4A9E-BD1A-CF0BACB568BD}"/>
    <cellStyle name="Notas 2 3" xfId="711" xr:uid="{32279584-5F66-4799-B993-AEE0784E937C}"/>
    <cellStyle name="Notas 3" xfId="563" xr:uid="{99B3C8A3-5A89-43BA-9EA7-87AA713C2259}"/>
    <cellStyle name="Notas 3 2" xfId="601" xr:uid="{37E5718D-54A7-4346-B612-0A01BD8F5D95}"/>
    <cellStyle name="Notas 3 2 2" xfId="749" xr:uid="{949B5C71-9EE9-4B5F-B5B4-57CE12CE28E6}"/>
    <cellStyle name="Notas 3 3" xfId="713" xr:uid="{5CED2B24-99ED-4956-AC31-2997906A55F1}"/>
    <cellStyle name="Notas 4" xfId="576" xr:uid="{BB8E4775-F3FE-41BD-8E53-3114FB3896FC}"/>
    <cellStyle name="Notas 4 2" xfId="727" xr:uid="{5D782DCC-2D0D-48CF-86A4-1F47EE61D042}"/>
    <cellStyle name="Notas 5" xfId="615" xr:uid="{B38680FD-7545-4950-8A3C-959D413F1732}"/>
    <cellStyle name="Notas 6" xfId="628" xr:uid="{8F8F9FC6-442F-4217-A677-1306CA61AFFF}"/>
    <cellStyle name="Notas 7" xfId="641" xr:uid="{F7C92110-3A06-4294-8FBB-AEBE394041E0}"/>
    <cellStyle name="Notas 8" xfId="657" xr:uid="{23383886-F679-4599-B308-42F2F6CD7E13}"/>
    <cellStyle name="Œ…‹æØ‚è [0.00]_!!!GO" xfId="189" xr:uid="{00000000-0005-0000-0000-000048010000}"/>
    <cellStyle name="Œ…‹æØ‚è_!!!GO" xfId="190" xr:uid="{00000000-0005-0000-0000-000049010000}"/>
    <cellStyle name="per.style" xfId="191" xr:uid="{00000000-0005-0000-0000-00004A010000}"/>
    <cellStyle name="Percent" xfId="192" xr:uid="{00000000-0005-0000-0000-00004B010000}"/>
    <cellStyle name="Percent [2]" xfId="193" xr:uid="{00000000-0005-0000-0000-00004C010000}"/>
    <cellStyle name="Percent [2] 2" xfId="387" xr:uid="{00000000-0005-0000-0000-00004D010000}"/>
    <cellStyle name="Percent 2" xfId="535" xr:uid="{456F17B2-47A8-430C-96C8-C06B4702D750}"/>
    <cellStyle name="Percent 3" xfId="520" xr:uid="{6046D0C2-57CB-46D0-AEED-479A08A447F2}"/>
    <cellStyle name="Percent 4" xfId="776" xr:uid="{BE15E21E-AFCA-4FCF-828F-2A97F943D667}"/>
    <cellStyle name="Percent_00 Valor Referencial LP-RP-RS PSE CHINCHEROS II" xfId="194" xr:uid="{00000000-0005-0000-0000-00004E010000}"/>
    <cellStyle name="Porcentaje" xfId="790" builtinId="5"/>
    <cellStyle name="Porcentaje 2" xfId="195" xr:uid="{00000000-0005-0000-0000-00004F010000}"/>
    <cellStyle name="Porcentaje 2 2" xfId="388" xr:uid="{00000000-0005-0000-0000-000050010000}"/>
    <cellStyle name="Porcentaje 3" xfId="591" xr:uid="{0EDC83C4-F8CB-422F-ACCF-9649BF520C57}"/>
    <cellStyle name="Porcentual 2" xfId="196" xr:uid="{00000000-0005-0000-0000-000051010000}"/>
    <cellStyle name="Porcentual 2 2" xfId="537" xr:uid="{BC860AFA-AD5F-43D5-9588-9E4EF7C4B56E}"/>
    <cellStyle name="Porcentual 2 3" xfId="536" xr:uid="{8E62B7E5-9548-4F13-880B-EDC675A523E2}"/>
    <cellStyle name="Porcentual 3" xfId="197" xr:uid="{00000000-0005-0000-0000-000052010000}"/>
    <cellStyle name="Porcentual 3 2" xfId="389" xr:uid="{00000000-0005-0000-0000-000053010000}"/>
    <cellStyle name="Porcentual 3 3" xfId="538" xr:uid="{E521E847-59A8-4B72-A875-EE54F4968486}"/>
    <cellStyle name="Porcentual 4" xfId="539" xr:uid="{3094666C-1421-496F-A6E2-D30889B4D237}"/>
    <cellStyle name="Porcentual 4 2" xfId="592" xr:uid="{CDDCF5E8-2A28-452E-B837-7B35E80391B6}"/>
    <cellStyle name="pricing" xfId="198" xr:uid="{00000000-0005-0000-0000-000054010000}"/>
    <cellStyle name="pricing 2" xfId="390" xr:uid="{00000000-0005-0000-0000-000055010000}"/>
    <cellStyle name="PSChar" xfId="199" xr:uid="{00000000-0005-0000-0000-000056010000}"/>
    <cellStyle name="R" xfId="200" xr:uid="{00000000-0005-0000-0000-000057010000}"/>
    <cellStyle name="R_00 Valor Referencial LP-RP-RS PSE CHINCHEROS II" xfId="201" xr:uid="{00000000-0005-0000-0000-000058010000}"/>
    <cellStyle name="R_00 Valor Referencial LP-RP-RS PSE CHINCHEROS II_00_VREF_33 Proy (Item 2)" xfId="202" xr:uid="{00000000-0005-0000-0000-000059010000}"/>
    <cellStyle name="R_00 Valor Referencial LP-RP-RS PSE CHINCHEROS II_001_VREF_33 Proyectos (Grupo N°10)" xfId="203" xr:uid="{00000000-0005-0000-0000-00005A010000}"/>
    <cellStyle name="R_00 Valor Referencial LP-RP-RS PSE CHINCHEROS II_03_Valor Referencial_Grupo 8" xfId="204" xr:uid="{00000000-0005-0000-0000-00005B010000}"/>
    <cellStyle name="R_00 Valor Referencial LP-RP-RS PSE CHINCHEROS II_Oferta" xfId="205" xr:uid="{00000000-0005-0000-0000-00005C010000}"/>
    <cellStyle name="R_05_VALOR REFERENCIAL_Jimbe Pamparomas" xfId="206" xr:uid="{00000000-0005-0000-0000-00005D010000}"/>
    <cellStyle name="R_1. Presup RS ZONA NORTE - GRUPO 1" xfId="207" xr:uid="{00000000-0005-0000-0000-00005E010000}"/>
    <cellStyle name="R_1. Presup RS ZONA NORTE - GRUPO 1_00_VREF_33 Proy (Item 2)" xfId="208" xr:uid="{00000000-0005-0000-0000-00005F010000}"/>
    <cellStyle name="R_1. Presup RS ZONA NORTE - GRUPO 1_001_VREF_33 Proyectos (Grupo N°10)" xfId="209" xr:uid="{00000000-0005-0000-0000-000060010000}"/>
    <cellStyle name="R_1. Presup RS ZONA NORTE - GRUPO 1_03_Valor Referencial_Grupo 8" xfId="210" xr:uid="{00000000-0005-0000-0000-000061010000}"/>
    <cellStyle name="R_1. Presup RS ZONA NORTE - GRUPO 1_Oferta" xfId="211" xr:uid="{00000000-0005-0000-0000-000062010000}"/>
    <cellStyle name="R_7.2.3 a 7.2.6-SER San Francisco IV Etapa ok" xfId="212" xr:uid="{00000000-0005-0000-0000-000063010000}"/>
    <cellStyle name="R_7.2.3 a 7.2.6-SER San Francisco IV Etapa ok_00_VREF_33 Proy (Item 2)" xfId="213" xr:uid="{00000000-0005-0000-0000-000064010000}"/>
    <cellStyle name="R_7.2.3 a 7.2.6-SER San Francisco IV Etapa ok_001_VREF_33 Proyectos (Grupo N°10)" xfId="214" xr:uid="{00000000-0005-0000-0000-000065010000}"/>
    <cellStyle name="R_7.2.3 a 7.2.6-SER San Francisco IV Etapa ok_03_Valor Referencial_Grupo 8" xfId="215" xr:uid="{00000000-0005-0000-0000-000066010000}"/>
    <cellStyle name="R_7.2.3 a 7.2.6-SER San Francisco IV Etapa ok_Oferta" xfId="216" xr:uid="{00000000-0005-0000-0000-000067010000}"/>
    <cellStyle name="R_Anex. 1.1 al 2.18-prefact" xfId="217" xr:uid="{00000000-0005-0000-0000-000068010000}"/>
    <cellStyle name="R_Anex. 1.1 al 2.18-prefact_00_VREF_33 Proy (Item 2)" xfId="218" xr:uid="{00000000-0005-0000-0000-000069010000}"/>
    <cellStyle name="R_Anex. 1.1 al 2.18-prefact_001_VREF_33 Proyectos (Grupo N°10)" xfId="219" xr:uid="{00000000-0005-0000-0000-00006A010000}"/>
    <cellStyle name="R_Anex. 1.1 al 2.18-prefact_03_Valor Referencial_Grupo 8" xfId="220" xr:uid="{00000000-0005-0000-0000-00006B010000}"/>
    <cellStyle name="R_Anex. 1.1 al 2.18-prefact_Oferta" xfId="221" xr:uid="{00000000-0005-0000-0000-00006C010000}"/>
    <cellStyle name="R_Anexo 6.1 y 6.2 - Suministro LP RP RS" xfId="222" xr:uid="{00000000-0005-0000-0000-00006D010000}"/>
    <cellStyle name="R_Anexo 6.1 y 6.2 - Suministro LP RP RS_Resumen Gastos Generale E.R. GRUPO 2" xfId="223" xr:uid="{00000000-0005-0000-0000-00006E010000}"/>
    <cellStyle name="R_Anexo 6.1 y 6.2 - Suministro LP RP RS_Resumen Gastos Generale E.R. GRUPO 2_00_VREF_33 Proy (Item 2)" xfId="224" xr:uid="{00000000-0005-0000-0000-00006F010000}"/>
    <cellStyle name="R_Anexo 6.1 y 6.2 - Suministro LP RP RS_Resumen Gastos Generale E.R. GRUPO 2_001_VREF_33 Proyectos (Grupo N°10)" xfId="225" xr:uid="{00000000-0005-0000-0000-000070010000}"/>
    <cellStyle name="R_Anexo 6.1 y 6.2 - Suministro LP RP RS_Resumen Gastos Generale E.R. GRUPO 2_03_Valor Referencial_Grupo 8" xfId="226" xr:uid="{00000000-0005-0000-0000-000071010000}"/>
    <cellStyle name="R_Anexo 6.1 y 6.2 - Suministro LP RP RS_Resumen Gastos Generale E.R. GRUPO 2_Oferta" xfId="227" xr:uid="{00000000-0005-0000-0000-000072010000}"/>
    <cellStyle name="R_criterios" xfId="228" xr:uid="{00000000-0005-0000-0000-000073010000}"/>
    <cellStyle name="R_Datos de Entrada Evaluacion" xfId="229" xr:uid="{00000000-0005-0000-0000-000074010000}"/>
    <cellStyle name="R_Datos de Entrada Evaluacion_00_VREF_33 Proy (Item 2)" xfId="230" xr:uid="{00000000-0005-0000-0000-000075010000}"/>
    <cellStyle name="R_Datos de Entrada Evaluacion_001_VREF_33 Proyectos (Grupo N°10)" xfId="231" xr:uid="{00000000-0005-0000-0000-000076010000}"/>
    <cellStyle name="R_Datos de Entrada Evaluacion_03_Valor Referencial_Grupo 8" xfId="232" xr:uid="{00000000-0005-0000-0000-000077010000}"/>
    <cellStyle name="R_Datos de Entrada Evaluacion_Oferta" xfId="233" xr:uid="{00000000-0005-0000-0000-000078010000}"/>
    <cellStyle name="R_Marco Logico" xfId="234" xr:uid="{00000000-0005-0000-0000-000079010000}"/>
    <cellStyle name="R_Marco Logico_00_VREF_33 Proy (Item 2)" xfId="235" xr:uid="{00000000-0005-0000-0000-00007A010000}"/>
    <cellStyle name="R_Marco Logico_001_VREF_33 Proyectos (Grupo N°10)" xfId="236" xr:uid="{00000000-0005-0000-0000-00007B010000}"/>
    <cellStyle name="R_Marco Logico_03_Valor Referencial_Grupo 8" xfId="237" xr:uid="{00000000-0005-0000-0000-00007C010000}"/>
    <cellStyle name="R_Marco Logico_Oferta" xfId="238" xr:uid="{00000000-0005-0000-0000-00007D010000}"/>
    <cellStyle name="R_MeTRADO POR LOCALIDAD" xfId="239" xr:uid="{00000000-0005-0000-0000-00007E010000}"/>
    <cellStyle name="R_MeTRADO POR LOCALIDAD_00_VREF_33 Proy (Item 2)" xfId="240" xr:uid="{00000000-0005-0000-0000-00007F010000}"/>
    <cellStyle name="R_MeTRADO POR LOCALIDAD_001_VREF_33 Proyectos (Grupo N°10)" xfId="241" xr:uid="{00000000-0005-0000-0000-000080010000}"/>
    <cellStyle name="R_MeTRADO POR LOCALIDAD_03_Valor Referencial_Grupo 8" xfId="242" xr:uid="{00000000-0005-0000-0000-000081010000}"/>
    <cellStyle name="R_MeTRADO POR LOCALIDAD_Oferta" xfId="243" xr:uid="{00000000-0005-0000-0000-000082010000}"/>
    <cellStyle name="R_Metrado Presupuesto TM C II-II Etapa" xfId="244" xr:uid="{00000000-0005-0000-0000-000083010000}"/>
    <cellStyle name="R_Metrado Presupuesto TM C II-II Etapa_00_VREF_33 Proy (Item 2)" xfId="245" xr:uid="{00000000-0005-0000-0000-000084010000}"/>
    <cellStyle name="R_Metrado Presupuesto TM C II-II Etapa_001_VREF_33 Proyectos (Grupo N°10)" xfId="246" xr:uid="{00000000-0005-0000-0000-000085010000}"/>
    <cellStyle name="R_Metrado Presupuesto TM C II-II Etapa_03_Valor Referencial_Grupo 8" xfId="247" xr:uid="{00000000-0005-0000-0000-000086010000}"/>
    <cellStyle name="R_Metrado Presupuesto TM C II-II Etapa_Oferta" xfId="248" xr:uid="{00000000-0005-0000-0000-000087010000}"/>
    <cellStyle name="R_METRADO_TOTAL_RS-med prep mono cod  OK impreso" xfId="249" xr:uid="{00000000-0005-0000-0000-000088010000}"/>
    <cellStyle name="R_METRADO_TOTAL_RS-med prep mono cod  OK impreso_00_VREF_33 Proy (Item 2)" xfId="250" xr:uid="{00000000-0005-0000-0000-000089010000}"/>
    <cellStyle name="R_METRADO_TOTAL_RS-med prep mono cod  OK impreso_001_VREF_33 Proyectos (Grupo N°10)" xfId="251" xr:uid="{00000000-0005-0000-0000-00008A010000}"/>
    <cellStyle name="R_METRADO_TOTAL_RS-med prep mono cod  OK impreso_03_Valor Referencial_Grupo 8" xfId="252" xr:uid="{00000000-0005-0000-0000-00008B010000}"/>
    <cellStyle name="R_METRADO_TOTAL_RS-med prep mono cod  OK impreso_Oferta" xfId="253" xr:uid="{00000000-0005-0000-0000-00008C010000}"/>
    <cellStyle name="R_Metrados RRPP por localid" xfId="254" xr:uid="{00000000-0005-0000-0000-00008D010000}"/>
    <cellStyle name="R_Metrados RRPP por localid_00_VREF_33 Proy (Item 2)" xfId="255" xr:uid="{00000000-0005-0000-0000-00008E010000}"/>
    <cellStyle name="R_Metrados RRPP por localid_001_VREF_33 Proyectos (Grupo N°10)" xfId="256" xr:uid="{00000000-0005-0000-0000-00008F010000}"/>
    <cellStyle name="R_Metrados RRPP por localid_03_Valor Referencial_Grupo 8" xfId="257" xr:uid="{00000000-0005-0000-0000-000090010000}"/>
    <cellStyle name="R_Metrados RRPP por localid_Oferta" xfId="258" xr:uid="{00000000-0005-0000-0000-000091010000}"/>
    <cellStyle name="R_METRADOS -V2SySA_RP" xfId="259" xr:uid="{00000000-0005-0000-0000-000092010000}"/>
    <cellStyle name="R_METRADOS -V2SySA_RP_00_VREF_33 Proy (Item 2)" xfId="260" xr:uid="{00000000-0005-0000-0000-000093010000}"/>
    <cellStyle name="R_METRADOS -V2SySA_RP_001_VREF_33 Proyectos (Grupo N°10)" xfId="261" xr:uid="{00000000-0005-0000-0000-000094010000}"/>
    <cellStyle name="R_METRADOS -V2SySA_RP_03_Valor Referencial_Grupo 8" xfId="262" xr:uid="{00000000-0005-0000-0000-000095010000}"/>
    <cellStyle name="R_METRADOS -V2SySA_RP_Oferta" xfId="263" xr:uid="{00000000-0005-0000-0000-000096010000}"/>
    <cellStyle name="R_Ppto Hotel" xfId="541" xr:uid="{B10CE71F-4491-4BF2-BF97-87280A038EF4}"/>
    <cellStyle name="R_PRESUP METRADOS TOTAL" xfId="264" xr:uid="{00000000-0005-0000-0000-000097010000}"/>
    <cellStyle name="R_PRESUP METRADOS TOTAL_00_VREF_33 Proy (Item 2)" xfId="265" xr:uid="{00000000-0005-0000-0000-000098010000}"/>
    <cellStyle name="R_PRESUP METRADOS TOTAL_001_VREF_33 Proyectos (Grupo N°10)" xfId="266" xr:uid="{00000000-0005-0000-0000-000099010000}"/>
    <cellStyle name="R_PRESUP METRADOS TOTAL_03_Valor Referencial_Grupo 8" xfId="267" xr:uid="{00000000-0005-0000-0000-00009A010000}"/>
    <cellStyle name="R_PRESUP METRADOS TOTAL_Oferta" xfId="268" xr:uid="{00000000-0005-0000-0000-00009B010000}"/>
    <cellStyle name="R_-Presupuesto RS  Proy  1" xfId="269" xr:uid="{00000000-0005-0000-0000-00009C010000}"/>
    <cellStyle name="R_-Presupuesto RS  Proy  1_00_VREF_33 Proy (Item 2)" xfId="270" xr:uid="{00000000-0005-0000-0000-00009D010000}"/>
    <cellStyle name="R_-Presupuesto RS  Proy  1_001_VREF_33 Proyectos (Grupo N°10)" xfId="271" xr:uid="{00000000-0005-0000-0000-00009E010000}"/>
    <cellStyle name="R_-Presupuesto RS  Proy  1_03_Valor Referencial_Grupo 8" xfId="272" xr:uid="{00000000-0005-0000-0000-00009F010000}"/>
    <cellStyle name="R_-Presupuesto RS  Proy  1_1" xfId="273" xr:uid="{00000000-0005-0000-0000-0000A0010000}"/>
    <cellStyle name="R_-Presupuesto RS  Proy  1_1_00_VREF_33 Proy (Item 2)" xfId="274" xr:uid="{00000000-0005-0000-0000-0000A1010000}"/>
    <cellStyle name="R_-Presupuesto RS  Proy  1_1_001_VREF_33 Proyectos (Grupo N°10)" xfId="275" xr:uid="{00000000-0005-0000-0000-0000A2010000}"/>
    <cellStyle name="R_-Presupuesto RS  Proy  1_1_03_Valor Referencial_Grupo 8" xfId="276" xr:uid="{00000000-0005-0000-0000-0000A3010000}"/>
    <cellStyle name="R_-Presupuesto RS  Proy  1_1_Oferta" xfId="277" xr:uid="{00000000-0005-0000-0000-0000A4010000}"/>
    <cellStyle name="R_-Presupuesto RS  Proy  1_Oferta" xfId="278" xr:uid="{00000000-0005-0000-0000-0000A5010000}"/>
    <cellStyle name="R_-Presupuesto RS  Proy  1_Plantilla Valor Referencial" xfId="279" xr:uid="{00000000-0005-0000-0000-0000A6010000}"/>
    <cellStyle name="R_-Presupuesto RS  Proy  1_Plantilla Valor Referencial_00_VREF_33 Proy (Item 2)" xfId="280" xr:uid="{00000000-0005-0000-0000-0000A7010000}"/>
    <cellStyle name="R_-Presupuesto RS  Proy  1_Plantilla Valor Referencial_001_VREF_33 Proyectos (Grupo N°10)" xfId="281" xr:uid="{00000000-0005-0000-0000-0000A8010000}"/>
    <cellStyle name="R_-Presupuesto RS  Proy  1_Plantilla Valor Referencial_03_Valor Referencial_Grupo 8" xfId="282" xr:uid="{00000000-0005-0000-0000-0000A9010000}"/>
    <cellStyle name="R_-Presupuesto RS  Proy  1_Plantilla Valor Referencial_Oferta" xfId="283" xr:uid="{00000000-0005-0000-0000-0000AA010000}"/>
    <cellStyle name="R_-Presupuesto RS  Proy  Fuente" xfId="284" xr:uid="{00000000-0005-0000-0000-0000AB010000}"/>
    <cellStyle name="R_-Presupuesto RS  Proy  Fuente_00_VREF_33 Proy (Item 2)" xfId="285" xr:uid="{00000000-0005-0000-0000-0000AC010000}"/>
    <cellStyle name="R_-Presupuesto RS  Proy  Fuente_001_VREF_33 Proyectos (Grupo N°10)" xfId="286" xr:uid="{00000000-0005-0000-0000-0000AD010000}"/>
    <cellStyle name="R_-Presupuesto RS  Proy  Fuente_03_Valor Referencial_Grupo 8" xfId="287" xr:uid="{00000000-0005-0000-0000-0000AE010000}"/>
    <cellStyle name="R_-Presupuesto RS  Proy  Fuente_Oferta" xfId="288" xr:uid="{00000000-0005-0000-0000-0000AF010000}"/>
    <cellStyle name="R_-Presupuesto-RS Villa Rica" xfId="289" xr:uid="{00000000-0005-0000-0000-0000B0010000}"/>
    <cellStyle name="R_-Presupuesto-RS Villa Rica_00_VREF_33 Proy (Item 2)" xfId="290" xr:uid="{00000000-0005-0000-0000-0000B1010000}"/>
    <cellStyle name="R_-Presupuesto-RS Villa Rica_001_VREF_33 Proyectos (Grupo N°10)" xfId="291" xr:uid="{00000000-0005-0000-0000-0000B2010000}"/>
    <cellStyle name="R_-Presupuesto-RS Villa Rica_03_Valor Referencial_Grupo 8" xfId="292" xr:uid="{00000000-0005-0000-0000-0000B3010000}"/>
    <cellStyle name="R_-Presupuesto-RS Villa Rica_Oferta" xfId="293" xr:uid="{00000000-0005-0000-0000-0000B4010000}"/>
    <cellStyle name="R_REPCOSTO" xfId="294" xr:uid="{00000000-0005-0000-0000-0000B5010000}"/>
    <cellStyle name="R_REPCOSTO_00_VREF_33 Proy (Item 2)" xfId="295" xr:uid="{00000000-0005-0000-0000-0000B6010000}"/>
    <cellStyle name="R_REPCOSTO_001_VREF_33 Proyectos (Grupo N°10)" xfId="296" xr:uid="{00000000-0005-0000-0000-0000B7010000}"/>
    <cellStyle name="R_REPCOSTO_03_Valor Referencial_Grupo 8" xfId="297" xr:uid="{00000000-0005-0000-0000-0000B8010000}"/>
    <cellStyle name="R_REPCOSTO_Anex. 1.1 al 2.18-prefact" xfId="298" xr:uid="{00000000-0005-0000-0000-0000B9010000}"/>
    <cellStyle name="R_REPCOSTO_Anex. 1.1 al 2.18-prefact_00_VREF_33 Proy (Item 2)" xfId="299" xr:uid="{00000000-0005-0000-0000-0000BA010000}"/>
    <cellStyle name="R_REPCOSTO_Anex. 1.1 al 2.18-prefact_001_VREF_33 Proyectos (Grupo N°10)" xfId="300" xr:uid="{00000000-0005-0000-0000-0000BB010000}"/>
    <cellStyle name="R_REPCOSTO_Anex. 1.1 al 2.18-prefact_03_Valor Referencial_Grupo 8" xfId="301" xr:uid="{00000000-0005-0000-0000-0000BC010000}"/>
    <cellStyle name="R_REPCOSTO_Anex. 1.1 al 2.18-prefact_Oferta" xfId="302" xr:uid="{00000000-0005-0000-0000-0000BD010000}"/>
    <cellStyle name="R_REPCOSTO_criterios" xfId="303" xr:uid="{00000000-0005-0000-0000-0000BE010000}"/>
    <cellStyle name="R_REPCOSTO_D2.01-D2.06-D2.07 Res Gen -Gastos Gen-Estd Ing Proy 2" xfId="304" xr:uid="{00000000-0005-0000-0000-0000BF010000}"/>
    <cellStyle name="R_REPCOSTO_D2.01-D2.06-D2.07 Res Gen -Gastos Gen-Estd Ing Proy 2_00_VREF_33 Proy (Item 2)" xfId="305" xr:uid="{00000000-0005-0000-0000-0000C0010000}"/>
    <cellStyle name="R_REPCOSTO_D2.01-D2.06-D2.07 Res Gen -Gastos Gen-Estd Ing Proy 2_001_VREF_33 Proyectos (Grupo N°10)" xfId="306" xr:uid="{00000000-0005-0000-0000-0000C1010000}"/>
    <cellStyle name="R_REPCOSTO_D2.01-D2.06-D2.07 Res Gen -Gastos Gen-Estd Ing Proy 2_03_Valor Referencial_Grupo 8" xfId="307" xr:uid="{00000000-0005-0000-0000-0000C2010000}"/>
    <cellStyle name="R_REPCOSTO_D2.01-D2.06-D2.07 Res Gen -Gastos Gen-Estd Ing Proy 2_Oferta" xfId="308" xr:uid="{00000000-0005-0000-0000-0000C3010000}"/>
    <cellStyle name="R_REPCOSTO_Datos de Entrada Evaluacion" xfId="309" xr:uid="{00000000-0005-0000-0000-0000C4010000}"/>
    <cellStyle name="R_REPCOSTO_Datos de Entrada Evaluacion_00_VREF_33 Proy (Item 2)" xfId="310" xr:uid="{00000000-0005-0000-0000-0000C5010000}"/>
    <cellStyle name="R_REPCOSTO_Datos de Entrada Evaluacion_001_VREF_33 Proyectos (Grupo N°10)" xfId="311" xr:uid="{00000000-0005-0000-0000-0000C6010000}"/>
    <cellStyle name="R_REPCOSTO_Datos de Entrada Evaluacion_03_Valor Referencial_Grupo 8" xfId="312" xr:uid="{00000000-0005-0000-0000-0000C7010000}"/>
    <cellStyle name="R_REPCOSTO_Datos de Entrada Evaluacion_Oferta" xfId="313" xr:uid="{00000000-0005-0000-0000-0000C8010000}"/>
    <cellStyle name="R_REPCOSTO_Datos Generales-ok" xfId="314" xr:uid="{00000000-0005-0000-0000-0000C9010000}"/>
    <cellStyle name="R_REPCOSTO_Datos Generales-ok_00_VREF_33 Proy (Item 2)" xfId="315" xr:uid="{00000000-0005-0000-0000-0000CA010000}"/>
    <cellStyle name="R_REPCOSTO_Datos Generales-ok_001_VREF_33 Proyectos (Grupo N°10)" xfId="316" xr:uid="{00000000-0005-0000-0000-0000CB010000}"/>
    <cellStyle name="R_REPCOSTO_Datos Generales-ok_03_Valor Referencial_Grupo 8" xfId="317" xr:uid="{00000000-0005-0000-0000-0000CC010000}"/>
    <cellStyle name="R_REPCOSTO_Datos Generales-ok_Oferta" xfId="318" xr:uid="{00000000-0005-0000-0000-0000CD010000}"/>
    <cellStyle name="R_REPCOSTO_Indicadores Mercado-ok-Amazonas" xfId="319" xr:uid="{00000000-0005-0000-0000-0000CE010000}"/>
    <cellStyle name="R_REPCOSTO_Indicadores Mercado-ok-Amazonas_00_VREF_33 Proy (Item 2)" xfId="320" xr:uid="{00000000-0005-0000-0000-0000CF010000}"/>
    <cellStyle name="R_REPCOSTO_Indicadores Mercado-ok-Amazonas_001_VREF_33 Proyectos (Grupo N°10)" xfId="321" xr:uid="{00000000-0005-0000-0000-0000D0010000}"/>
    <cellStyle name="R_REPCOSTO_Indicadores Mercado-ok-Amazonas_03_Valor Referencial_Grupo 8" xfId="322" xr:uid="{00000000-0005-0000-0000-0000D1010000}"/>
    <cellStyle name="R_REPCOSTO_Indicadores Mercado-ok-Amazonas_Oferta" xfId="323" xr:uid="{00000000-0005-0000-0000-0000D2010000}"/>
    <cellStyle name="R_REPCOSTO_Libro2" xfId="324" xr:uid="{00000000-0005-0000-0000-0000D3010000}"/>
    <cellStyle name="R_REPCOSTO_Libro2_00_VREF_33 Proy (Item 2)" xfId="325" xr:uid="{00000000-0005-0000-0000-0000D4010000}"/>
    <cellStyle name="R_REPCOSTO_Libro2_001_VREF_33 Proyectos (Grupo N°10)" xfId="326" xr:uid="{00000000-0005-0000-0000-0000D5010000}"/>
    <cellStyle name="R_REPCOSTO_Libro2_03_Valor Referencial_Grupo 8" xfId="327" xr:uid="{00000000-0005-0000-0000-0000D6010000}"/>
    <cellStyle name="R_REPCOSTO_Libro2_Oferta" xfId="328" xr:uid="{00000000-0005-0000-0000-0000D7010000}"/>
    <cellStyle name="R_REPCOSTO_Marco Logico" xfId="329" xr:uid="{00000000-0005-0000-0000-0000D8010000}"/>
    <cellStyle name="R_REPCOSTO_Marco Logico_00_VREF_33 Proy (Item 2)" xfId="330" xr:uid="{00000000-0005-0000-0000-0000D9010000}"/>
    <cellStyle name="R_REPCOSTO_Marco Logico_001_VREF_33 Proyectos (Grupo N°10)" xfId="331" xr:uid="{00000000-0005-0000-0000-0000DA010000}"/>
    <cellStyle name="R_REPCOSTO_Marco Logico_03_Valor Referencial_Grupo 8" xfId="332" xr:uid="{00000000-0005-0000-0000-0000DB010000}"/>
    <cellStyle name="R_REPCOSTO_Marco Logico_Oferta" xfId="333" xr:uid="{00000000-0005-0000-0000-0000DC010000}"/>
    <cellStyle name="R_REPCOSTO_Oferta" xfId="334" xr:uid="{00000000-0005-0000-0000-0000DD010000}"/>
    <cellStyle name="R_REPCOSTO_Resumen de Gastos Generales" xfId="335" xr:uid="{00000000-0005-0000-0000-0000DE010000}"/>
    <cellStyle name="R_REPCOSTO_Resumen de Gastos Generales_00_VREF_33 Proy (Item 2)" xfId="336" xr:uid="{00000000-0005-0000-0000-0000DF010000}"/>
    <cellStyle name="R_REPCOSTO_Resumen de Gastos Generales_001_VREF_33 Proyectos (Grupo N°10)" xfId="337" xr:uid="{00000000-0005-0000-0000-0000E0010000}"/>
    <cellStyle name="R_REPCOSTO_Resumen de Gastos Generales_03_Valor Referencial_Grupo 8" xfId="338" xr:uid="{00000000-0005-0000-0000-0000E1010000}"/>
    <cellStyle name="R_REPCOSTO_Resumen de Gastos Generales_Oferta" xfId="339" xr:uid="{00000000-0005-0000-0000-0000E2010000}"/>
    <cellStyle name="R_REPCOSTO_Resumen Gastos Generale E.R. GRUPO 2" xfId="340" xr:uid="{00000000-0005-0000-0000-0000E3010000}"/>
    <cellStyle name="R_REPCOSTO_Resumen Gastos Generale E.R. GRUPO 2_00_VREF_33 Proy (Item 2)" xfId="341" xr:uid="{00000000-0005-0000-0000-0000E4010000}"/>
    <cellStyle name="R_REPCOSTO_Resumen Gastos Generale E.R. GRUPO 2_001_VREF_33 Proyectos (Grupo N°10)" xfId="342" xr:uid="{00000000-0005-0000-0000-0000E5010000}"/>
    <cellStyle name="R_REPCOSTO_Resumen Gastos Generale E.R. GRUPO 2_03_Valor Referencial_Grupo 8" xfId="343" xr:uid="{00000000-0005-0000-0000-0000E6010000}"/>
    <cellStyle name="R_REPCOSTO_Resumen Gastos Generale E.R. GRUPO 2_Oferta" xfId="344" xr:uid="{00000000-0005-0000-0000-0000E7010000}"/>
    <cellStyle name="R_Resumen Gastos Generale E.R. GRUPO 2" xfId="345" xr:uid="{00000000-0005-0000-0000-0000E8010000}"/>
    <cellStyle name="R_Resumen Gastos Generale E.R. GRUPO 2_00_VREF_33 Proy (Item 2)" xfId="346" xr:uid="{00000000-0005-0000-0000-0000E9010000}"/>
    <cellStyle name="R_Resumen Gastos Generale E.R. GRUPO 2_001_VREF_33 Proyectos (Grupo N°10)" xfId="347" xr:uid="{00000000-0005-0000-0000-0000EA010000}"/>
    <cellStyle name="R_Resumen Gastos Generale E.R. GRUPO 2_03_Valor Referencial_Grupo 8" xfId="348" xr:uid="{00000000-0005-0000-0000-0000EB010000}"/>
    <cellStyle name="R_Resumen Gastos Generale E.R. GRUPO 2_Oferta" xfId="349" xr:uid="{00000000-0005-0000-0000-0000EC010000}"/>
    <cellStyle name="R_Resumen RS Grupo 3" xfId="350" xr:uid="{00000000-0005-0000-0000-0000ED010000}"/>
    <cellStyle name="R_Resumen RS Grupo 3_00_VREF_33 Proy (Item 2)" xfId="351" xr:uid="{00000000-0005-0000-0000-0000EE010000}"/>
    <cellStyle name="R_Resumen RS Grupo 3_001_VREF_33 Proyectos (Grupo N°10)" xfId="352" xr:uid="{00000000-0005-0000-0000-0000EF010000}"/>
    <cellStyle name="R_Resumen RS Grupo 3_03_Valor Referencial_Grupo 8" xfId="353" xr:uid="{00000000-0005-0000-0000-0000F0010000}"/>
    <cellStyle name="R_Resumen RS Grupo 3_Oferta" xfId="354" xr:uid="{00000000-0005-0000-0000-0000F1010000}"/>
    <cellStyle name="R_VALOR REFER. ELET_RURAL GRUPO 2" xfId="355" xr:uid="{00000000-0005-0000-0000-0000F2010000}"/>
    <cellStyle name="RevList" xfId="356" xr:uid="{00000000-0005-0000-0000-0000F3010000}"/>
    <cellStyle name="RevList 2" xfId="392" xr:uid="{00000000-0005-0000-0000-0000F4010000}"/>
    <cellStyle name="RM" xfId="357" xr:uid="{00000000-0005-0000-0000-0000F5010000}"/>
    <cellStyle name="Salida" xfId="358" builtinId="21" customBuiltin="1"/>
    <cellStyle name="Subtotal" xfId="359" xr:uid="{00000000-0005-0000-0000-0000F7010000}"/>
    <cellStyle name="Texto de advertencia" xfId="360" builtinId="11" customBuiltin="1"/>
    <cellStyle name="Texto explicativo" xfId="361" builtinId="53" customBuiltin="1"/>
    <cellStyle name="Título" xfId="362" builtinId="15" customBuiltin="1"/>
    <cellStyle name="Título 2" xfId="364" builtinId="17" customBuiltin="1"/>
    <cellStyle name="Título 3" xfId="365" builtinId="18" customBuiltin="1"/>
    <cellStyle name="Título 4" xfId="444" xr:uid="{00000000-0005-0000-0000-0000FD010000}"/>
    <cellStyle name="Total" xfId="366" builtinId="25" customBuiltin="1"/>
    <cellStyle name="Total 2" xfId="678" xr:uid="{4EDCDE89-B342-440B-A332-00BFD194EA1E}"/>
    <cellStyle name="Total 2 2" xfId="777" xr:uid="{A5D25ECC-3439-44A9-A252-9D43BAEA6A42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FFFFFF"/>
      <color rgb="FF3333CC"/>
      <color rgb="FF3366FF"/>
      <color rgb="FF6666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47625</xdr:rowOff>
    </xdr:from>
    <xdr:to>
      <xdr:col>2</xdr:col>
      <xdr:colOff>661369</xdr:colOff>
      <xdr:row>6</xdr:row>
      <xdr:rowOff>15875</xdr:rowOff>
    </xdr:to>
    <xdr:pic>
      <xdr:nvPicPr>
        <xdr:cNvPr id="2" name="9 Imagen" descr="tarjeta1.jpg">
          <a:extLst>
            <a:ext uri="{FF2B5EF4-FFF2-40B4-BE49-F238E27FC236}">
              <a16:creationId xmlns:a16="http://schemas.microsoft.com/office/drawing/2014/main" id="{43934FF9-3AD0-4A19-A97A-75E2A261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lum bright="10000"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812" y="47625"/>
          <a:ext cx="5453397" cy="1134110"/>
        </a:xfrm>
        <a:prstGeom prst="rect">
          <a:avLst/>
        </a:prstGeom>
        <a:solidFill>
          <a:srgbClr val="B9CDE5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40820</xdr:colOff>
      <xdr:row>4</xdr:row>
      <xdr:rowOff>149678</xdr:rowOff>
    </xdr:from>
    <xdr:to>
      <xdr:col>7</xdr:col>
      <xdr:colOff>0</xdr:colOff>
      <xdr:row>6</xdr:row>
      <xdr:rowOff>40821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E2AD937F-9737-4A24-956B-C03224C9ACC5}"/>
            </a:ext>
          </a:extLst>
        </xdr:cNvPr>
        <xdr:cNvSpPr/>
      </xdr:nvSpPr>
      <xdr:spPr>
        <a:xfrm>
          <a:off x="5725340" y="919298"/>
          <a:ext cx="5498920" cy="287383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u="none">
              <a:solidFill>
                <a:schemeClr val="tx2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N°</a:t>
          </a:r>
          <a:r>
            <a:rPr lang="es-ES" sz="1100" b="1" u="none" baseline="0">
              <a:solidFill>
                <a:schemeClr val="tx2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 DE COTIZACION : MIMSA-745-SET-BC-25</a:t>
          </a:r>
          <a:endParaRPr lang="es-PE" sz="1100" b="1" u="none" baseline="0">
            <a:solidFill>
              <a:schemeClr val="tx2">
                <a:lumMod val="75000"/>
              </a:schemeClr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>
    <xdr:from>
      <xdr:col>0</xdr:col>
      <xdr:colOff>0</xdr:colOff>
      <xdr:row>7</xdr:row>
      <xdr:rowOff>46504</xdr:rowOff>
    </xdr:from>
    <xdr:to>
      <xdr:col>2</xdr:col>
      <xdr:colOff>0</xdr:colOff>
      <xdr:row>15</xdr:row>
      <xdr:rowOff>77921</xdr:rowOff>
    </xdr:to>
    <xdr:sp macro="" textlink="">
      <xdr:nvSpPr>
        <xdr:cNvPr id="4" name="2 Rectángulo">
          <a:extLst>
            <a:ext uri="{FF2B5EF4-FFF2-40B4-BE49-F238E27FC236}">
              <a16:creationId xmlns:a16="http://schemas.microsoft.com/office/drawing/2014/main" id="{477447E0-0A24-46AA-B88A-9B15EA27518B}"/>
            </a:ext>
          </a:extLst>
        </xdr:cNvPr>
        <xdr:cNvSpPr/>
      </xdr:nvSpPr>
      <xdr:spPr>
        <a:xfrm>
          <a:off x="0" y="1273324"/>
          <a:ext cx="4815840" cy="1784017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eaLnBrk="1" fontAlgn="auto" latinLnBrk="0" hangingPunct="1"/>
          <a:r>
            <a:rPr lang="es-ES" sz="10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DATOS DEL CLIENTE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9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OBRA	:  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LP-SM-8-2023-MINEM/DGER-1 </a:t>
          </a:r>
          <a:r>
            <a:rPr lang="es-PE" sz="900" b="1">
              <a:effectLst/>
            </a:rPr>
            <a:t>- 1 - ELABORACIÓN DEL EXPEDIENTE TÉCNICO A NIVEL DE ESTUDIO DEFINITIVO Y LA EJECUCIÓN DE OBRA DEL PROYECTO: AMPLIACION DEL SERVICIO DE ENERGIA ELECTRICA EN LA PROVINCIA DEL SANTA Y EN EL DISTRITO DE PAMPAROMAS, DEPARTAMENTO DE ANCASH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ENTIDAD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900">
              <a:effectLst/>
            </a:rPr>
            <a:t>DIRECCION GENERAL DE ELECTRIFICACION RURAL DEL MINISTERIO DE ENERGÍA Y MINAS</a:t>
          </a:r>
          <a:br>
            <a:rPr lang="es-PE" sz="900"/>
          </a:br>
          <a:r>
            <a:rPr lang="es-PE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	:  </a:t>
          </a:r>
          <a:r>
            <a:rPr lang="es-PE" sz="900" b="1">
              <a:effectLst/>
            </a:rPr>
            <a:t>CONSORCIO - CONSORCIO PACIFICO </a:t>
          </a:r>
          <a:r>
            <a:rPr lang="es-PE" sz="900" b="0">
              <a:effectLst/>
            </a:rPr>
            <a:t>20486941287 - CONSULTORES Y CONSTRUCTORES KEVIN S.A.C. 20491657902 - C &amp; D NOR PERU E.I.R.L 20524597536 - CEJAF CONSULTORES &amp; EJECUTORES S.A.C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9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25347</xdr:colOff>
      <xdr:row>7</xdr:row>
      <xdr:rowOff>56028</xdr:rowOff>
    </xdr:from>
    <xdr:to>
      <xdr:col>9</xdr:col>
      <xdr:colOff>0</xdr:colOff>
      <xdr:row>15</xdr:row>
      <xdr:rowOff>89646</xdr:rowOff>
    </xdr:to>
    <xdr:sp macro="" textlink="">
      <xdr:nvSpPr>
        <xdr:cNvPr id="5" name="3 Rectángulo">
          <a:extLst>
            <a:ext uri="{FF2B5EF4-FFF2-40B4-BE49-F238E27FC236}">
              <a16:creationId xmlns:a16="http://schemas.microsoft.com/office/drawing/2014/main" id="{A3C53ADF-FC7B-43F4-8BDE-AF3EF487EA23}"/>
            </a:ext>
          </a:extLst>
        </xdr:cNvPr>
        <xdr:cNvSpPr/>
      </xdr:nvSpPr>
      <xdr:spPr>
        <a:xfrm>
          <a:off x="5709867" y="1282848"/>
          <a:ext cx="7236513" cy="1786218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indent="0" algn="l">
            <a:lnSpc>
              <a:spcPts val="1100"/>
            </a:lnSpc>
          </a:pPr>
          <a:r>
            <a:rPr lang="es-ES" sz="1000" b="1" u="sng">
              <a:solidFill>
                <a:schemeClr val="tx2">
                  <a:lumMod val="75000"/>
                </a:schemeClr>
              </a:solidFill>
              <a:latin typeface="+mn-lt"/>
              <a:ea typeface="Verdana" pitchFamily="34" charset="0"/>
              <a:cs typeface="Verdana" pitchFamily="34" charset="0"/>
            </a:rPr>
            <a:t>CONDICIONES COMERCIALES</a:t>
          </a:r>
        </a:p>
        <a:p>
          <a:pPr marL="0" indent="0" algn="l">
            <a:lnSpc>
              <a:spcPts val="1100"/>
            </a:lnSpc>
          </a:pPr>
          <a:endParaRPr lang="es-ES" sz="1000" b="0" u="none">
            <a:solidFill>
              <a:schemeClr val="dk1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FORMA DE PAGO	: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A TRATAR</a:t>
          </a: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PLAZO DE ENTREGA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POR ITEM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DESPUÉS DE RECIBIDA LA OC  </a:t>
          </a: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LUGAR</a:t>
          </a: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DE ENTREGA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EN NUESTROS ALMACENES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- </a:t>
          </a:r>
          <a:r>
            <a:rPr lang="es-P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Av. Carlos Eyzaguirre Sección 5, Lote 02 Ex Fundo Oquendo  </a:t>
          </a:r>
          <a:endParaRPr lang="es-ES" sz="1000" b="0" u="none">
            <a:solidFill>
              <a:schemeClr val="dk1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3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PRECIOS UNITARIOS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EXPRESADOS EN SOLES</a:t>
          </a:r>
        </a:p>
        <a:p>
          <a:pPr marL="0" indent="0" algn="l">
            <a:lnSpc>
              <a:spcPts val="1000"/>
            </a:lnSpc>
          </a:pP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VALIDEZ DE OFERTA	: 10 DIAS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OBS</a:t>
          </a:r>
          <a:r>
            <a:rPr lang="es-ES" sz="10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: </a:t>
          </a:r>
          <a:r>
            <a:rPr lang="es-ES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PRUEBAS SE REALIZARAN EN NUESTROS LABORATORIOS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		: </a:t>
          </a:r>
          <a:r>
            <a:rPr lang="es-ES" sz="1000" b="1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10/09/2025</a:t>
          </a:r>
          <a:endParaRPr lang="es-PE" sz="1000" b="1" u="none">
            <a:solidFill>
              <a:srgbClr val="FF0000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0" u="none" baseline="0">
              <a:solidFill>
                <a:schemeClr val="dk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	</a:t>
          </a:r>
          <a:endParaRPr lang="es-PE" sz="1000" b="0" u="none" baseline="0">
            <a:solidFill>
              <a:schemeClr val="dk1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100"/>
            </a:lnSpc>
          </a:pPr>
          <a:endParaRPr lang="es-ES" sz="1050" b="0" u="none">
            <a:solidFill>
              <a:schemeClr val="dk1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oneCell">
    <xdr:from>
      <xdr:col>7</xdr:col>
      <xdr:colOff>123265</xdr:colOff>
      <xdr:row>0</xdr:row>
      <xdr:rowOff>30258</xdr:rowOff>
    </xdr:from>
    <xdr:to>
      <xdr:col>9</xdr:col>
      <xdr:colOff>102033</xdr:colOff>
      <xdr:row>7</xdr:row>
      <xdr:rowOff>39423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3039A428-A04F-4067-8216-8A91DF666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347525" y="30258"/>
          <a:ext cx="1700888" cy="1235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61072</xdr:colOff>
      <xdr:row>27</xdr:row>
      <xdr:rowOff>142875</xdr:rowOff>
    </xdr:from>
    <xdr:to>
      <xdr:col>1</xdr:col>
      <xdr:colOff>2873748</xdr:colOff>
      <xdr:row>37</xdr:row>
      <xdr:rowOff>158126</xdr:rowOff>
    </xdr:to>
    <xdr:pic>
      <xdr:nvPicPr>
        <xdr:cNvPr id="7" name="a88b8308-c37c-411a-be88-28c4c363f3bd" descr="cid:C66C62A8-2EA3-4AE6-B7DE-A5578E9D398C@wimax">
          <a:extLst>
            <a:ext uri="{FF2B5EF4-FFF2-40B4-BE49-F238E27FC236}">
              <a16:creationId xmlns:a16="http://schemas.microsoft.com/office/drawing/2014/main" id="{FA2C3B1E-C2CA-40C0-BD6C-818032C5C34A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72" y="69035295"/>
          <a:ext cx="3528956" cy="134684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</xdr:colOff>
      <xdr:row>0</xdr:row>
      <xdr:rowOff>47625</xdr:rowOff>
    </xdr:from>
    <xdr:to>
      <xdr:col>3</xdr:col>
      <xdr:colOff>661369</xdr:colOff>
      <xdr:row>6</xdr:row>
      <xdr:rowOff>15875</xdr:rowOff>
    </xdr:to>
    <xdr:pic>
      <xdr:nvPicPr>
        <xdr:cNvPr id="2" name="9 Imagen" descr="tarjeta1.jpg">
          <a:extLst>
            <a:ext uri="{FF2B5EF4-FFF2-40B4-BE49-F238E27FC236}">
              <a16:creationId xmlns:a16="http://schemas.microsoft.com/office/drawing/2014/main" id="{53205CA8-4246-4C1B-A727-E45247140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>
          <a:lum bright="10000"/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3812" y="47625"/>
          <a:ext cx="5444320" cy="1134110"/>
        </a:xfrm>
        <a:prstGeom prst="rect">
          <a:avLst/>
        </a:prstGeom>
        <a:solidFill>
          <a:srgbClr val="B9CDE5"/>
        </a:solidFill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40820</xdr:colOff>
      <xdr:row>4</xdr:row>
      <xdr:rowOff>149678</xdr:rowOff>
    </xdr:from>
    <xdr:to>
      <xdr:col>7</xdr:col>
      <xdr:colOff>0</xdr:colOff>
      <xdr:row>6</xdr:row>
      <xdr:rowOff>40821</xdr:rowOff>
    </xdr:to>
    <xdr:sp macro="" textlink="">
      <xdr:nvSpPr>
        <xdr:cNvPr id="3" name="5 Rectángulo">
          <a:extLst>
            <a:ext uri="{FF2B5EF4-FFF2-40B4-BE49-F238E27FC236}">
              <a16:creationId xmlns:a16="http://schemas.microsoft.com/office/drawing/2014/main" id="{902444BC-EAC2-44DA-A8DE-7F392753C748}"/>
            </a:ext>
          </a:extLst>
        </xdr:cNvPr>
        <xdr:cNvSpPr/>
      </xdr:nvSpPr>
      <xdr:spPr>
        <a:xfrm>
          <a:off x="4993820" y="919298"/>
          <a:ext cx="7548700" cy="287383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100" b="1" u="none">
              <a:solidFill>
                <a:schemeClr val="tx2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N°</a:t>
          </a:r>
          <a:r>
            <a:rPr lang="es-ES" sz="1100" b="1" u="none" baseline="0">
              <a:solidFill>
                <a:schemeClr val="tx2">
                  <a:lumMod val="75000"/>
                </a:schemeClr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 DE COTIZACION : MIMSA-745-SET-BC-25</a:t>
          </a:r>
          <a:endParaRPr lang="es-PE" sz="1100" b="1" u="none" baseline="0">
            <a:solidFill>
              <a:schemeClr val="tx2">
                <a:lumMod val="75000"/>
              </a:schemeClr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>
    <xdr:from>
      <xdr:col>0</xdr:col>
      <xdr:colOff>0</xdr:colOff>
      <xdr:row>7</xdr:row>
      <xdr:rowOff>46504</xdr:rowOff>
    </xdr:from>
    <xdr:to>
      <xdr:col>2</xdr:col>
      <xdr:colOff>0</xdr:colOff>
      <xdr:row>15</xdr:row>
      <xdr:rowOff>77921</xdr:rowOff>
    </xdr:to>
    <xdr:sp macro="" textlink="">
      <xdr:nvSpPr>
        <xdr:cNvPr id="4" name="2 Rectángulo">
          <a:extLst>
            <a:ext uri="{FF2B5EF4-FFF2-40B4-BE49-F238E27FC236}">
              <a16:creationId xmlns:a16="http://schemas.microsoft.com/office/drawing/2014/main" id="{62745000-9CA2-43C5-A685-DD6CDE3988CE}"/>
            </a:ext>
          </a:extLst>
        </xdr:cNvPr>
        <xdr:cNvSpPr/>
      </xdr:nvSpPr>
      <xdr:spPr>
        <a:xfrm>
          <a:off x="0" y="1273324"/>
          <a:ext cx="4229100" cy="1784017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eaLnBrk="1" fontAlgn="auto" latinLnBrk="0" hangingPunct="1"/>
          <a:r>
            <a:rPr lang="es-ES" sz="10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DATOS DEL CLIENTE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900" b="1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OBRA	:  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LP-SM-8-2023-MINEM/DGER-1 </a:t>
          </a:r>
          <a:r>
            <a:rPr lang="es-PE" sz="900" b="1">
              <a:effectLst/>
            </a:rPr>
            <a:t>- 1 - ELABORACIÓN DEL EXPEDIENTE TÉCNICO A NIVEL DE ESTUDIO DEFINITIVO Y LA EJECUCIÓN DE OBRA DEL PROYECTO: AMPLIACION DEL SERVICIO DE ENERGIA ELECTRICA EN LA PROVINCIA DEL SANTA Y EN EL DISTRITO DE PAMPAROMAS, DEPARTAMENTO DE ANCASH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ENTIDAD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s-ES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r>
            <a:rPr lang="es-ES" sz="9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PE" sz="900">
              <a:effectLst/>
            </a:rPr>
            <a:t>DIRECCION GENERAL DE ELECTRIFICACION RURAL DEL MINISTERIO DE ENERGÍA Y MINAS</a:t>
          </a:r>
          <a:br>
            <a:rPr lang="es-PE" sz="900"/>
          </a:br>
          <a:r>
            <a:rPr lang="es-PE" sz="9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	:  </a:t>
          </a:r>
          <a:r>
            <a:rPr lang="es-PE" sz="900" b="1">
              <a:effectLst/>
            </a:rPr>
            <a:t>CONSORCIO - CONSORCIO PACIFICO </a:t>
          </a:r>
          <a:r>
            <a:rPr lang="es-PE" sz="900" b="0">
              <a:effectLst/>
            </a:rPr>
            <a:t>20486941287 - CONSULTORES Y CONSTRUCTORES KEVIN S.A.C. 20491657902 - C &amp; D NOR PERU E.I.R.L 20524597536 - CEJAF CONSULTORES &amp; EJECUTORES S.A.C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s-ES" sz="9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25347</xdr:colOff>
      <xdr:row>7</xdr:row>
      <xdr:rowOff>56028</xdr:rowOff>
    </xdr:from>
    <xdr:to>
      <xdr:col>9</xdr:col>
      <xdr:colOff>0</xdr:colOff>
      <xdr:row>15</xdr:row>
      <xdr:rowOff>89646</xdr:rowOff>
    </xdr:to>
    <xdr:sp macro="" textlink="">
      <xdr:nvSpPr>
        <xdr:cNvPr id="5" name="3 Rectángulo">
          <a:extLst>
            <a:ext uri="{FF2B5EF4-FFF2-40B4-BE49-F238E27FC236}">
              <a16:creationId xmlns:a16="http://schemas.microsoft.com/office/drawing/2014/main" id="{A9BBF349-5F57-4DFE-8C25-DC8C8816CF30}"/>
            </a:ext>
          </a:extLst>
        </xdr:cNvPr>
        <xdr:cNvSpPr/>
      </xdr:nvSpPr>
      <xdr:spPr>
        <a:xfrm>
          <a:off x="4978347" y="1282848"/>
          <a:ext cx="9484413" cy="1786218"/>
        </a:xfrm>
        <a:prstGeom prst="rect">
          <a:avLst/>
        </a:prstGeom>
        <a:solidFill>
          <a:sysClr val="window" lastClr="FFFFFF"/>
        </a:solidFill>
        <a:ln w="12700"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marL="0" indent="0" algn="l">
            <a:lnSpc>
              <a:spcPts val="1100"/>
            </a:lnSpc>
          </a:pPr>
          <a:r>
            <a:rPr lang="es-ES" sz="1000" b="1" u="sng">
              <a:solidFill>
                <a:schemeClr val="tx2">
                  <a:lumMod val="75000"/>
                </a:schemeClr>
              </a:solidFill>
              <a:latin typeface="+mn-lt"/>
              <a:ea typeface="Verdana" pitchFamily="34" charset="0"/>
              <a:cs typeface="Verdana" pitchFamily="34" charset="0"/>
            </a:rPr>
            <a:t>CONDICIONES COMERCIALES</a:t>
          </a:r>
        </a:p>
        <a:p>
          <a:pPr marL="0" indent="0" algn="l">
            <a:lnSpc>
              <a:spcPts val="1100"/>
            </a:lnSpc>
          </a:pPr>
          <a:endParaRPr lang="es-ES" sz="1000" b="0" u="none">
            <a:solidFill>
              <a:schemeClr val="dk1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FORMA DE PAGO	: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A TRATAR</a:t>
          </a: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PLAZO DE ENTREGA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POR ITEM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DESPUÉS DE RECIBIDA LA OC  </a:t>
          </a:r>
        </a:p>
        <a:p>
          <a:pPr marL="0" indent="0" algn="l">
            <a:lnSpc>
              <a:spcPts val="11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LUGAR</a:t>
          </a: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DE ENTREGA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EN NUESTROS ALMACENES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- </a:t>
          </a:r>
          <a:r>
            <a:rPr lang="es-PE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Av. Carlos Eyzaguirre Sección 5, Lote 02 Ex Fundo Oquendo  </a:t>
          </a:r>
          <a:endParaRPr lang="es-ES" sz="1000" b="0" u="none">
            <a:solidFill>
              <a:schemeClr val="dk1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300"/>
            </a:lnSpc>
          </a:pP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PRECIOS UNITARIOS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:</a:t>
          </a:r>
          <a:r>
            <a:rPr lang="es-ES" sz="1000" b="0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 </a:t>
          </a:r>
          <a:r>
            <a:rPr lang="es-ES" sz="1000" b="1" u="none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EXPRESADOS EN SOLES</a:t>
          </a:r>
        </a:p>
        <a:p>
          <a:pPr marL="0" indent="0" algn="l">
            <a:lnSpc>
              <a:spcPts val="1000"/>
            </a:lnSpc>
          </a:pP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VALIDEZ DE OFERTA	: 10 DIAS</a:t>
          </a:r>
          <a:r>
            <a:rPr lang="es-ES" sz="1000" b="0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1" u="none" baseline="0">
              <a:solidFill>
                <a:schemeClr val="dk1"/>
              </a:solidFill>
              <a:latin typeface="+mn-lt"/>
              <a:ea typeface="Verdana" pitchFamily="34" charset="0"/>
              <a:cs typeface="Verdana" pitchFamily="34" charset="0"/>
            </a:rPr>
            <a:t>OBS</a:t>
          </a:r>
          <a:r>
            <a:rPr lang="es-ES" sz="10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: </a:t>
          </a:r>
          <a:r>
            <a:rPr lang="es-ES" sz="10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LAS PRUEBAS SE REALIZARAN EN NUESTROS LABORATORIOS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FECHA		: </a:t>
          </a:r>
          <a:r>
            <a:rPr lang="es-ES" sz="1000" b="1" u="none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10/09/2025</a:t>
          </a:r>
          <a:endParaRPr lang="es-PE" sz="1000" b="1" u="none">
            <a:solidFill>
              <a:srgbClr val="FF0000"/>
            </a:solidFill>
            <a:latin typeface="+mn-lt"/>
            <a:ea typeface="Verdana" pitchFamily="34" charset="0"/>
            <a:cs typeface="Verdana" pitchFamily="34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000" b="0" u="none" baseline="0">
              <a:solidFill>
                <a:schemeClr val="dk1"/>
              </a:solidFill>
              <a:latin typeface="Verdana" pitchFamily="34" charset="0"/>
              <a:ea typeface="Verdana" pitchFamily="34" charset="0"/>
              <a:cs typeface="Verdana" pitchFamily="34" charset="0"/>
            </a:rPr>
            <a:t>	</a:t>
          </a:r>
          <a:endParaRPr lang="es-PE" sz="1000" b="0" u="none" baseline="0">
            <a:solidFill>
              <a:schemeClr val="dk1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  <a:p>
          <a:pPr marL="0" indent="0" algn="l">
            <a:lnSpc>
              <a:spcPts val="1100"/>
            </a:lnSpc>
          </a:pPr>
          <a:endParaRPr lang="es-ES" sz="1050" b="0" u="none">
            <a:solidFill>
              <a:schemeClr val="dk1"/>
            </a:solidFill>
            <a:latin typeface="Verdana" pitchFamily="34" charset="0"/>
            <a:ea typeface="Verdana" pitchFamily="34" charset="0"/>
            <a:cs typeface="Verdana" pitchFamily="34" charset="0"/>
          </a:endParaRPr>
        </a:p>
      </xdr:txBody>
    </xdr:sp>
    <xdr:clientData/>
  </xdr:twoCellAnchor>
  <xdr:twoCellAnchor editAs="oneCell">
    <xdr:from>
      <xdr:col>7</xdr:col>
      <xdr:colOff>123265</xdr:colOff>
      <xdr:row>0</xdr:row>
      <xdr:rowOff>30258</xdr:rowOff>
    </xdr:from>
    <xdr:to>
      <xdr:col>9</xdr:col>
      <xdr:colOff>102033</xdr:colOff>
      <xdr:row>7</xdr:row>
      <xdr:rowOff>39423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DC7663DC-EB9C-4AB9-983A-AFFAC107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1000815" y="30258"/>
          <a:ext cx="1702793" cy="1237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61072</xdr:colOff>
      <xdr:row>270</xdr:row>
      <xdr:rowOff>142875</xdr:rowOff>
    </xdr:from>
    <xdr:to>
      <xdr:col>1</xdr:col>
      <xdr:colOff>2873748</xdr:colOff>
      <xdr:row>276</xdr:row>
      <xdr:rowOff>148601</xdr:rowOff>
    </xdr:to>
    <xdr:pic>
      <xdr:nvPicPr>
        <xdr:cNvPr id="7" name="a88b8308-c37c-411a-be88-28c4c363f3bd" descr="cid:C66C62A8-2EA3-4AE6-B7DE-A5578E9D398C@wimax">
          <a:extLst>
            <a:ext uri="{FF2B5EF4-FFF2-40B4-BE49-F238E27FC236}">
              <a16:creationId xmlns:a16="http://schemas.microsoft.com/office/drawing/2014/main" id="{060D045D-5302-4130-AA9D-B40F9054BDBD}"/>
            </a:ext>
          </a:extLst>
        </xdr:cNvPr>
        <xdr:cNvPicPr/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72" y="21646515"/>
          <a:ext cx="3528956" cy="13380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439616</xdr:colOff>
      <xdr:row>15</xdr:row>
      <xdr:rowOff>36635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FB359F-5218-4627-A147-2111F5E077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0"/>
          <a:ext cx="11107616" cy="28941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98844</xdr:colOff>
      <xdr:row>0</xdr:row>
      <xdr:rowOff>170731</xdr:rowOff>
    </xdr:from>
    <xdr:to>
      <xdr:col>12</xdr:col>
      <xdr:colOff>98844</xdr:colOff>
      <xdr:row>25</xdr:row>
      <xdr:rowOff>62902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FDC456D-9E03-4928-BF46-894081E0A9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8844" y="170731"/>
          <a:ext cx="9144000" cy="465467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8</xdr:col>
      <xdr:colOff>100263</xdr:colOff>
      <xdr:row>22</xdr:row>
      <xdr:rowOff>91105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5396AC-07AF-4981-B2D0-E4212ED0AC35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0" y="1"/>
          <a:ext cx="6196263" cy="4282104"/>
        </a:xfrm>
        <a:prstGeom prst="rect">
          <a:avLst/>
        </a:prstGeom>
      </xdr:spPr>
    </xdr:pic>
    <xdr:clientData/>
  </xdr:twoCellAnchor>
  <xdr:twoCellAnchor editAs="oneCell">
    <xdr:from>
      <xdr:col>8</xdr:col>
      <xdr:colOff>130343</xdr:colOff>
      <xdr:row>0</xdr:row>
      <xdr:rowOff>0</xdr:rowOff>
    </xdr:from>
    <xdr:to>
      <xdr:col>16</xdr:col>
      <xdr:colOff>213349</xdr:colOff>
      <xdr:row>22</xdr:row>
      <xdr:rowOff>120316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15125F-F0D7-4CC2-92E7-6FC606794AAB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6226343" y="0"/>
          <a:ext cx="6179006" cy="43113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827B-A5A4-446D-BF2E-9ADF1D0A1E10}">
  <sheetPr filterMode="1">
    <pageSetUpPr fitToPage="1"/>
  </sheetPr>
  <dimension ref="A1:L33"/>
  <sheetViews>
    <sheetView showGridLines="0" topLeftCell="A7" zoomScale="80" zoomScaleNormal="80" zoomScaleSheetLayoutView="80" workbookViewId="0">
      <selection activeCell="D21" sqref="A21:D21"/>
    </sheetView>
  </sheetViews>
  <sheetFormatPr baseColWidth="10" defaultColWidth="11.42578125" defaultRowHeight="15.75"/>
  <cols>
    <col min="1" max="1" width="10.42578125" style="9" bestFit="1" customWidth="1"/>
    <col min="2" max="2" width="59.7109375" style="39" customWidth="1"/>
    <col min="3" max="3" width="12.7109375" style="40" bestFit="1" customWidth="1"/>
    <col min="4" max="4" width="49.42578125" style="46" customWidth="1"/>
    <col min="5" max="5" width="15.7109375" style="3" customWidth="1"/>
    <col min="6" max="6" width="6" style="3" customWidth="1"/>
    <col min="7" max="8" width="9.5703125" style="16" customWidth="1"/>
    <col min="9" max="9" width="15.5703125" style="16" customWidth="1"/>
    <col min="10" max="10" width="19.5703125" style="52" bestFit="1" customWidth="1"/>
    <col min="11" max="16384" width="11.42578125" style="2"/>
  </cols>
  <sheetData>
    <row r="1" spans="1:10" s="1" customFormat="1">
      <c r="A1" s="7"/>
      <c r="B1" s="36"/>
      <c r="C1" s="37"/>
      <c r="D1" s="38"/>
      <c r="E1" s="29"/>
      <c r="F1" s="4"/>
      <c r="G1" s="12"/>
      <c r="H1" s="12"/>
      <c r="I1" s="12"/>
      <c r="J1" s="50"/>
    </row>
    <row r="2" spans="1:10" s="1" customFormat="1">
      <c r="A2" s="7"/>
      <c r="B2" s="36"/>
      <c r="C2" s="37"/>
      <c r="D2" s="38"/>
      <c r="E2" s="30"/>
      <c r="F2" s="5"/>
      <c r="G2" s="13"/>
      <c r="H2" s="13"/>
      <c r="I2" s="13"/>
      <c r="J2" s="50"/>
    </row>
    <row r="3" spans="1:10" s="1" customFormat="1" ht="14.25" customHeight="1">
      <c r="A3" s="7"/>
      <c r="B3" s="36"/>
      <c r="C3" s="37"/>
      <c r="D3" s="38"/>
      <c r="E3" s="29"/>
      <c r="F3" s="4"/>
      <c r="G3" s="12"/>
      <c r="H3" s="12"/>
      <c r="I3" s="12"/>
      <c r="J3" s="50"/>
    </row>
    <row r="4" spans="1:10" s="1" customFormat="1">
      <c r="A4" s="7"/>
      <c r="B4" s="36"/>
      <c r="C4" s="37"/>
      <c r="D4" s="38"/>
      <c r="E4" s="29"/>
      <c r="F4" s="4"/>
      <c r="G4" s="12"/>
      <c r="H4" s="12"/>
      <c r="I4" s="12"/>
      <c r="J4" s="50"/>
    </row>
    <row r="5" spans="1:10" s="1" customFormat="1">
      <c r="A5" s="7"/>
      <c r="B5" s="36"/>
      <c r="C5" s="37"/>
      <c r="D5" s="38"/>
      <c r="E5" s="29"/>
      <c r="F5" s="4"/>
      <c r="G5" s="12"/>
      <c r="H5" s="12"/>
      <c r="I5" s="12"/>
      <c r="J5" s="50"/>
    </row>
    <row r="6" spans="1:10" s="1" customFormat="1">
      <c r="A6" s="7"/>
      <c r="B6" s="36"/>
      <c r="C6" s="37"/>
      <c r="D6" s="38"/>
      <c r="E6" s="29"/>
      <c r="F6" s="4"/>
      <c r="G6" s="12"/>
      <c r="H6" s="12"/>
      <c r="I6" s="12"/>
      <c r="J6" s="50"/>
    </row>
    <row r="7" spans="1:10" s="1" customFormat="1" ht="5.25" customHeight="1">
      <c r="A7" s="8" t="s">
        <v>4</v>
      </c>
      <c r="B7" s="39"/>
      <c r="C7" s="40"/>
      <c r="D7" s="41"/>
      <c r="E7" s="31"/>
      <c r="F7" s="6"/>
      <c r="G7" s="14"/>
      <c r="H7" s="14"/>
      <c r="I7" s="14"/>
      <c r="J7" s="50"/>
    </row>
    <row r="8" spans="1:10" s="1" customFormat="1">
      <c r="A8" s="8" t="s">
        <v>4</v>
      </c>
      <c r="B8" s="39"/>
      <c r="C8" s="40"/>
      <c r="D8" s="41"/>
      <c r="E8" s="31"/>
      <c r="F8" s="6"/>
      <c r="G8" s="14"/>
      <c r="H8" s="14"/>
      <c r="I8" s="14"/>
      <c r="J8" s="50"/>
    </row>
    <row r="9" spans="1:10" s="1" customFormat="1">
      <c r="A9" s="7"/>
      <c r="B9" s="36"/>
      <c r="C9" s="37"/>
      <c r="D9" s="38"/>
      <c r="E9" s="29"/>
      <c r="F9" s="4"/>
      <c r="G9" s="12"/>
      <c r="H9" s="12"/>
      <c r="I9" s="12"/>
      <c r="J9" s="50"/>
    </row>
    <row r="10" spans="1:10" s="1" customFormat="1">
      <c r="A10" s="7"/>
      <c r="B10" s="36"/>
      <c r="C10" s="37"/>
      <c r="D10" s="38"/>
      <c r="E10" s="29"/>
      <c r="F10" s="4"/>
      <c r="G10" s="12"/>
      <c r="H10" s="12"/>
      <c r="I10" s="12"/>
      <c r="J10" s="50"/>
    </row>
    <row r="11" spans="1:10" s="1" customFormat="1">
      <c r="A11" s="7"/>
      <c r="B11" s="36"/>
      <c r="C11" s="37"/>
      <c r="D11" s="38"/>
      <c r="E11" s="29"/>
      <c r="F11" s="4"/>
      <c r="G11" s="12"/>
      <c r="H11" s="12"/>
      <c r="I11" s="12"/>
      <c r="J11" s="50"/>
    </row>
    <row r="12" spans="1:10" s="1" customFormat="1">
      <c r="A12" s="7"/>
      <c r="B12" s="36"/>
      <c r="C12" s="37"/>
      <c r="D12" s="38"/>
      <c r="E12" s="29"/>
      <c r="F12" s="4"/>
      <c r="G12" s="12"/>
      <c r="H12" s="12"/>
      <c r="I12" s="12"/>
      <c r="J12" s="50"/>
    </row>
    <row r="13" spans="1:10" s="1" customFormat="1">
      <c r="A13" s="7"/>
      <c r="B13" s="36"/>
      <c r="C13" s="37"/>
      <c r="D13" s="38"/>
      <c r="E13" s="29"/>
      <c r="F13" s="4"/>
      <c r="G13" s="12"/>
      <c r="H13" s="12"/>
      <c r="I13" s="12"/>
      <c r="J13" s="50"/>
    </row>
    <row r="14" spans="1:10" s="1" customFormat="1">
      <c r="A14" s="7"/>
      <c r="B14" s="36"/>
      <c r="C14" s="37"/>
      <c r="D14" s="38"/>
      <c r="E14" s="29"/>
      <c r="F14" s="4"/>
      <c r="G14" s="12"/>
      <c r="H14" s="12"/>
      <c r="I14" s="12"/>
      <c r="J14" s="50"/>
    </row>
    <row r="15" spans="1:10" s="1" customFormat="1" ht="29.25" customHeight="1">
      <c r="A15" s="7"/>
      <c r="B15" s="36"/>
      <c r="C15" s="37"/>
      <c r="D15" s="38"/>
      <c r="E15" s="29"/>
      <c r="F15" s="4"/>
      <c r="G15" s="12"/>
      <c r="H15" s="12"/>
      <c r="I15" s="12"/>
      <c r="J15" s="50"/>
    </row>
    <row r="16" spans="1:10" s="1" customFormat="1" ht="13.5" customHeight="1">
      <c r="A16" s="7"/>
      <c r="B16" s="36"/>
      <c r="C16" s="37"/>
      <c r="D16" s="38"/>
      <c r="E16" s="29"/>
      <c r="F16" s="4"/>
      <c r="G16" s="12"/>
      <c r="H16" s="12"/>
      <c r="I16" s="12"/>
      <c r="J16" s="50"/>
    </row>
    <row r="17" spans="1:12" s="1" customFormat="1" ht="39" customHeight="1">
      <c r="A17" s="24" t="s">
        <v>0</v>
      </c>
      <c r="B17" s="67" t="s">
        <v>74</v>
      </c>
      <c r="C17" s="68" t="s">
        <v>10</v>
      </c>
      <c r="D17" s="25" t="s">
        <v>1</v>
      </c>
      <c r="E17" s="25" t="s">
        <v>2</v>
      </c>
      <c r="F17" s="25" t="s">
        <v>11</v>
      </c>
      <c r="G17" s="26" t="s">
        <v>9</v>
      </c>
      <c r="H17" s="27" t="s">
        <v>8</v>
      </c>
      <c r="I17" s="28" t="s">
        <v>3</v>
      </c>
      <c r="J17" s="51" t="s">
        <v>14</v>
      </c>
    </row>
    <row r="18" spans="1:12" hidden="1">
      <c r="A18" s="23"/>
      <c r="B18" s="61"/>
      <c r="C18" s="47"/>
      <c r="D18" s="48"/>
      <c r="E18" s="49"/>
      <c r="F18" s="17"/>
      <c r="G18" s="15"/>
      <c r="H18" s="57"/>
      <c r="I18" s="57"/>
      <c r="J18" s="53"/>
    </row>
    <row r="19" spans="1:12" ht="25.5">
      <c r="A19" s="65">
        <v>10.069999999999999</v>
      </c>
      <c r="B19" s="60" t="s">
        <v>126</v>
      </c>
      <c r="C19" s="66">
        <v>60104131</v>
      </c>
      <c r="D19" s="43" t="s">
        <v>227</v>
      </c>
      <c r="E19" s="10" t="s">
        <v>78</v>
      </c>
      <c r="F19" s="17" t="s">
        <v>12</v>
      </c>
      <c r="G19" s="15">
        <v>104</v>
      </c>
      <c r="H19" s="58">
        <v>12.16</v>
      </c>
      <c r="I19" s="32">
        <f t="shared" ref="I19:I20" si="0">+G19*H19</f>
        <v>1264.6400000000001</v>
      </c>
      <c r="J19" s="58">
        <v>12.54</v>
      </c>
      <c r="K19" s="32">
        <f t="shared" ref="K19:K20" si="1">+G19*J19</f>
        <v>1304.1599999999999</v>
      </c>
      <c r="L19" s="64"/>
    </row>
    <row r="20" spans="1:12" ht="25.5">
      <c r="A20" s="65">
        <v>10.079999999999998</v>
      </c>
      <c r="B20" s="60" t="s">
        <v>127</v>
      </c>
      <c r="C20" s="66">
        <v>60102066</v>
      </c>
      <c r="D20" s="43" t="s">
        <v>16</v>
      </c>
      <c r="E20" s="10" t="s">
        <v>78</v>
      </c>
      <c r="F20" s="17" t="s">
        <v>12</v>
      </c>
      <c r="G20" s="15">
        <v>107</v>
      </c>
      <c r="H20" s="58">
        <v>7</v>
      </c>
      <c r="I20" s="32">
        <f t="shared" si="0"/>
        <v>749</v>
      </c>
      <c r="J20" s="58">
        <v>18.18</v>
      </c>
      <c r="K20" s="32">
        <f t="shared" si="1"/>
        <v>1945.26</v>
      </c>
      <c r="L20" s="64"/>
    </row>
    <row r="21" spans="1:12" ht="25.5">
      <c r="A21" s="65">
        <v>10.159999999999997</v>
      </c>
      <c r="B21" s="60" t="s">
        <v>165</v>
      </c>
      <c r="C21" s="66">
        <v>60104130</v>
      </c>
      <c r="D21" s="43" t="s">
        <v>75</v>
      </c>
      <c r="E21" s="10" t="s">
        <v>78</v>
      </c>
      <c r="F21" s="17" t="s">
        <v>12</v>
      </c>
      <c r="G21" s="15">
        <v>6</v>
      </c>
      <c r="H21" s="58">
        <v>11.7</v>
      </c>
      <c r="I21" s="32">
        <f>+G21*H21</f>
        <v>70.199999999999989</v>
      </c>
      <c r="J21" s="58"/>
      <c r="K21" s="32"/>
      <c r="L21" s="64"/>
    </row>
    <row r="22" spans="1:12" hidden="1">
      <c r="A22" s="65"/>
      <c r="B22" s="60"/>
      <c r="C22" s="66"/>
      <c r="D22" s="43"/>
      <c r="E22" s="10"/>
      <c r="F22" s="17"/>
      <c r="G22" s="15"/>
      <c r="H22" s="58"/>
      <c r="I22" s="32"/>
      <c r="J22" s="64"/>
    </row>
    <row r="23" spans="1:12" hidden="1">
      <c r="A23" s="65">
        <v>11</v>
      </c>
      <c r="B23" s="60" t="s">
        <v>94</v>
      </c>
      <c r="C23" s="66"/>
      <c r="D23" s="43"/>
      <c r="E23" s="10"/>
      <c r="F23" s="17"/>
      <c r="G23" s="15"/>
      <c r="H23" s="58"/>
      <c r="I23" s="32"/>
      <c r="J23" s="64"/>
    </row>
    <row r="24" spans="1:12" hidden="1">
      <c r="A24" s="65">
        <v>11.01</v>
      </c>
      <c r="B24" s="60" t="s">
        <v>86</v>
      </c>
      <c r="C24" s="66"/>
      <c r="D24" s="43"/>
      <c r="E24" s="10"/>
      <c r="F24" s="17"/>
      <c r="G24" s="15"/>
      <c r="H24" s="58"/>
      <c r="I24" s="32"/>
      <c r="J24" s="64"/>
    </row>
    <row r="25" spans="1:12" ht="25.5">
      <c r="A25" s="65">
        <v>11.02</v>
      </c>
      <c r="B25" s="60" t="s">
        <v>87</v>
      </c>
      <c r="C25" s="66">
        <v>70301023</v>
      </c>
      <c r="D25" s="43" t="s">
        <v>44</v>
      </c>
      <c r="E25" s="10" t="s">
        <v>78</v>
      </c>
      <c r="F25" s="17" t="s">
        <v>12</v>
      </c>
      <c r="G25" s="15">
        <v>83</v>
      </c>
      <c r="H25" s="58">
        <v>33</v>
      </c>
      <c r="I25" s="32">
        <f>+G25*H25</f>
        <v>2739</v>
      </c>
      <c r="J25" s="64"/>
    </row>
    <row r="26" spans="1:12" ht="28.15" customHeight="1">
      <c r="A26" s="65">
        <v>11.049999999999999</v>
      </c>
      <c r="B26" s="60" t="s">
        <v>89</v>
      </c>
      <c r="C26" s="66">
        <v>60202016</v>
      </c>
      <c r="D26" s="43" t="s">
        <v>29</v>
      </c>
      <c r="E26" s="10" t="s">
        <v>78</v>
      </c>
      <c r="F26" s="17" t="s">
        <v>12</v>
      </c>
      <c r="G26" s="15">
        <v>83</v>
      </c>
      <c r="H26" s="58">
        <v>4.5599999999999996</v>
      </c>
      <c r="I26" s="32">
        <f>+G26*H26</f>
        <v>378.47999999999996</v>
      </c>
      <c r="J26" s="64"/>
    </row>
    <row r="27" spans="1:12" hidden="1">
      <c r="A27" s="19"/>
      <c r="B27" s="62"/>
      <c r="C27" s="44"/>
      <c r="D27" s="45"/>
      <c r="E27" s="11"/>
      <c r="F27" s="20"/>
      <c r="G27" s="21"/>
      <c r="H27" s="58"/>
      <c r="I27" s="32"/>
      <c r="J27" s="55"/>
    </row>
    <row r="28" spans="1:12" s="52" customFormat="1" ht="25.5" hidden="1">
      <c r="A28" s="9"/>
      <c r="B28" s="39"/>
      <c r="C28" s="40"/>
      <c r="D28" s="46"/>
      <c r="E28" s="3"/>
      <c r="F28" s="3"/>
      <c r="G28" s="16"/>
      <c r="H28" s="18" t="s">
        <v>5</v>
      </c>
      <c r="I28" s="33">
        <f>SUM(I19:I27)</f>
        <v>5201.32</v>
      </c>
    </row>
    <row r="29" spans="1:12" s="52" customFormat="1" hidden="1">
      <c r="A29" s="9"/>
      <c r="B29" s="39"/>
      <c r="C29" s="40"/>
      <c r="D29" s="46"/>
      <c r="E29" s="3"/>
      <c r="F29" s="3"/>
      <c r="G29" s="16"/>
      <c r="H29" s="78" t="s">
        <v>237</v>
      </c>
      <c r="I29" s="79">
        <f>+I28*0.96</f>
        <v>4993.2671999999993</v>
      </c>
    </row>
    <row r="30" spans="1:12" s="52" customFormat="1" hidden="1">
      <c r="A30" s="9"/>
      <c r="B30" s="39"/>
      <c r="C30" s="40"/>
      <c r="D30" s="46"/>
      <c r="E30" s="3"/>
      <c r="F30" s="3"/>
      <c r="G30" s="16"/>
      <c r="H30" s="56" t="s">
        <v>6</v>
      </c>
      <c r="I30" s="32">
        <f>I28*18%</f>
        <v>936.23759999999993</v>
      </c>
    </row>
    <row r="31" spans="1:12" s="52" customFormat="1" hidden="1">
      <c r="A31" s="9"/>
      <c r="B31" s="39"/>
      <c r="C31" s="40"/>
      <c r="D31" s="46"/>
      <c r="E31" s="3"/>
      <c r="F31" s="3"/>
      <c r="G31" s="16"/>
      <c r="H31" s="34" t="s">
        <v>7</v>
      </c>
      <c r="I31" s="35">
        <f>+I28+I30</f>
        <v>6137.5576000000001</v>
      </c>
    </row>
    <row r="32" spans="1:12" s="52" customFormat="1">
      <c r="A32" s="9"/>
      <c r="B32" s="39"/>
      <c r="C32" s="59"/>
      <c r="D32" s="69"/>
      <c r="E32" s="3"/>
      <c r="F32" s="3"/>
      <c r="G32" s="16"/>
      <c r="H32" s="16"/>
      <c r="I32" s="22"/>
    </row>
    <row r="33" spans="1:9" s="52" customFormat="1">
      <c r="A33" s="9"/>
      <c r="B33" s="39"/>
      <c r="C33" s="40"/>
      <c r="D33" s="46"/>
      <c r="E33" s="3"/>
      <c r="F33" s="3"/>
      <c r="G33" s="16"/>
      <c r="H33" s="16"/>
      <c r="I33" s="16"/>
    </row>
  </sheetData>
  <autoFilter ref="A17:J31" xr:uid="{3DA4CB8C-0B4D-4DF6-8C54-4DCB804EF331}">
    <filterColumn colId="2">
      <customFilters>
        <customFilter operator="notEqual" val=" "/>
      </customFilters>
    </filterColumn>
  </autoFilter>
  <conditionalFormatting sqref="B27:D27">
    <cfRule type="cellIs" dxfId="2" priority="4" stopIfTrue="1" operator="equal">
      <formula>0</formula>
    </cfRule>
  </conditionalFormatting>
  <conditionalFormatting sqref="C19:D26">
    <cfRule type="cellIs" dxfId="1" priority="1" stopIfTrue="1" operator="equal">
      <formula>0</formula>
    </cfRule>
  </conditionalFormatting>
  <pageMargins left="0.25" right="0.25" top="0.75" bottom="0.75" header="0.3" footer="0.3"/>
  <pageSetup paperSize="9" scale="47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CB178-66A6-401A-B9B4-3569AA91C6A3}">
  <sheetPr>
    <pageSetUpPr fitToPage="1"/>
  </sheetPr>
  <dimension ref="A1:L276"/>
  <sheetViews>
    <sheetView showGridLines="0" tabSelected="1" view="pageBreakPreview" topLeftCell="A256" zoomScale="80" zoomScaleNormal="80" zoomScaleSheetLayoutView="80" workbookViewId="0">
      <selection activeCell="D271" sqref="D271"/>
    </sheetView>
  </sheetViews>
  <sheetFormatPr baseColWidth="10" defaultColWidth="11.42578125" defaultRowHeight="15.75"/>
  <cols>
    <col min="1" max="1" width="10.42578125" style="9" bestFit="1" customWidth="1"/>
    <col min="2" max="2" width="59.7109375" style="39" customWidth="1"/>
    <col min="3" max="3" width="12.7109375" style="40" hidden="1" customWidth="1"/>
    <col min="4" max="4" width="49.42578125" style="46" customWidth="1"/>
    <col min="5" max="5" width="15.7109375" style="3" customWidth="1"/>
    <col min="6" max="6" width="6" style="3" customWidth="1"/>
    <col min="7" max="8" width="9.5703125" style="16" customWidth="1"/>
    <col min="9" max="9" width="15.5703125" style="16" customWidth="1"/>
    <col min="10" max="10" width="14.140625" style="16" bestFit="1" customWidth="1"/>
    <col min="11" max="11" width="15.85546875" style="16" customWidth="1"/>
    <col min="12" max="12" width="19.5703125" style="52" bestFit="1" customWidth="1"/>
    <col min="13" max="16384" width="11.42578125" style="2"/>
  </cols>
  <sheetData>
    <row r="1" spans="1:12" s="1" customFormat="1">
      <c r="A1" s="7"/>
      <c r="B1" s="36"/>
      <c r="C1" s="37"/>
      <c r="D1" s="38"/>
      <c r="E1" s="29"/>
      <c r="F1" s="4"/>
      <c r="G1" s="12"/>
      <c r="H1" s="12"/>
      <c r="I1" s="12"/>
      <c r="J1" s="12"/>
      <c r="K1" s="12"/>
      <c r="L1" s="50"/>
    </row>
    <row r="2" spans="1:12" s="1" customFormat="1">
      <c r="A2" s="7"/>
      <c r="B2" s="36"/>
      <c r="C2" s="37"/>
      <c r="D2" s="38"/>
      <c r="E2" s="30"/>
      <c r="F2" s="5"/>
      <c r="G2" s="13"/>
      <c r="H2" s="13"/>
      <c r="I2" s="13"/>
      <c r="J2" s="13"/>
      <c r="K2" s="13"/>
      <c r="L2" s="50"/>
    </row>
    <row r="3" spans="1:12" s="1" customFormat="1" ht="14.25" customHeight="1">
      <c r="A3" s="7"/>
      <c r="B3" s="36"/>
      <c r="C3" s="37"/>
      <c r="D3" s="38"/>
      <c r="E3" s="29"/>
      <c r="F3" s="4"/>
      <c r="G3" s="12"/>
      <c r="H3" s="12"/>
      <c r="I3" s="12"/>
      <c r="J3" s="12"/>
      <c r="K3" s="12"/>
      <c r="L3" s="50"/>
    </row>
    <row r="4" spans="1:12" s="1" customFormat="1">
      <c r="A4" s="7"/>
      <c r="B4" s="36"/>
      <c r="C4" s="37"/>
      <c r="D4" s="38"/>
      <c r="E4" s="29"/>
      <c r="F4" s="4"/>
      <c r="G4" s="12"/>
      <c r="H4" s="12"/>
      <c r="I4" s="12"/>
      <c r="J4" s="12"/>
      <c r="K4" s="12"/>
      <c r="L4" s="50"/>
    </row>
    <row r="5" spans="1:12" s="1" customFormat="1">
      <c r="A5" s="7"/>
      <c r="B5" s="36"/>
      <c r="C5" s="37"/>
      <c r="D5" s="38"/>
      <c r="E5" s="29"/>
      <c r="F5" s="4"/>
      <c r="G5" s="12"/>
      <c r="H5" s="12"/>
      <c r="I5" s="12"/>
      <c r="J5" s="12"/>
      <c r="K5" s="12"/>
      <c r="L5" s="50"/>
    </row>
    <row r="6" spans="1:12" s="1" customFormat="1">
      <c r="A6" s="7"/>
      <c r="B6" s="36"/>
      <c r="C6" s="37"/>
      <c r="D6" s="38"/>
      <c r="E6" s="29"/>
      <c r="F6" s="4"/>
      <c r="G6" s="12"/>
      <c r="H6" s="12"/>
      <c r="I6" s="12"/>
      <c r="J6" s="12"/>
      <c r="K6" s="12"/>
      <c r="L6" s="50"/>
    </row>
    <row r="7" spans="1:12" s="1" customFormat="1" ht="5.25" customHeight="1">
      <c r="A7" s="8" t="s">
        <v>4</v>
      </c>
      <c r="B7" s="39"/>
      <c r="C7" s="40"/>
      <c r="D7" s="41"/>
      <c r="E7" s="31"/>
      <c r="F7" s="6"/>
      <c r="G7" s="14"/>
      <c r="H7" s="14"/>
      <c r="I7" s="14"/>
      <c r="J7" s="14"/>
      <c r="K7" s="14"/>
      <c r="L7" s="50"/>
    </row>
    <row r="8" spans="1:12" s="1" customFormat="1">
      <c r="A8" s="8" t="s">
        <v>4</v>
      </c>
      <c r="B8" s="39"/>
      <c r="C8" s="40"/>
      <c r="D8" s="41"/>
      <c r="E8" s="31"/>
      <c r="F8" s="6"/>
      <c r="G8" s="14"/>
      <c r="H8" s="14"/>
      <c r="I8" s="14"/>
      <c r="J8" s="14"/>
      <c r="K8" s="14"/>
      <c r="L8" s="50"/>
    </row>
    <row r="9" spans="1:12" s="1" customFormat="1">
      <c r="A9" s="7"/>
      <c r="B9" s="36"/>
      <c r="C9" s="37"/>
      <c r="D9" s="38"/>
      <c r="E9" s="29"/>
      <c r="F9" s="4"/>
      <c r="G9" s="12"/>
      <c r="H9" s="12"/>
      <c r="I9" s="12"/>
      <c r="J9" s="12"/>
      <c r="K9" s="12"/>
      <c r="L9" s="50"/>
    </row>
    <row r="10" spans="1:12" s="1" customFormat="1">
      <c r="A10" s="7"/>
      <c r="B10" s="36"/>
      <c r="C10" s="37"/>
      <c r="D10" s="38"/>
      <c r="E10" s="29"/>
      <c r="F10" s="4"/>
      <c r="G10" s="12"/>
      <c r="H10" s="12"/>
      <c r="I10" s="12"/>
      <c r="J10" s="12"/>
      <c r="K10" s="12"/>
      <c r="L10" s="50"/>
    </row>
    <row r="11" spans="1:12" s="1" customFormat="1">
      <c r="A11" s="7"/>
      <c r="B11" s="36"/>
      <c r="C11" s="37"/>
      <c r="D11" s="38"/>
      <c r="E11" s="29"/>
      <c r="F11" s="4"/>
      <c r="G11" s="12"/>
      <c r="H11" s="12"/>
      <c r="I11" s="12"/>
      <c r="J11" s="12"/>
      <c r="K11" s="12"/>
      <c r="L11" s="50"/>
    </row>
    <row r="12" spans="1:12" s="1" customFormat="1">
      <c r="A12" s="7"/>
      <c r="B12" s="36"/>
      <c r="C12" s="37"/>
      <c r="D12" s="38"/>
      <c r="E12" s="29"/>
      <c r="F12" s="4"/>
      <c r="G12" s="12"/>
      <c r="H12" s="12"/>
      <c r="I12" s="12"/>
      <c r="J12" s="12"/>
      <c r="K12" s="12"/>
      <c r="L12" s="50"/>
    </row>
    <row r="13" spans="1:12" s="1" customFormat="1">
      <c r="A13" s="7"/>
      <c r="B13" s="36"/>
      <c r="C13" s="37"/>
      <c r="D13" s="38"/>
      <c r="E13" s="29"/>
      <c r="F13" s="4"/>
      <c r="G13" s="12"/>
      <c r="H13" s="12"/>
      <c r="I13" s="12"/>
      <c r="J13" s="12"/>
      <c r="K13" s="12"/>
      <c r="L13" s="50"/>
    </row>
    <row r="14" spans="1:12" s="1" customFormat="1">
      <c r="A14" s="7"/>
      <c r="B14" s="36"/>
      <c r="C14" s="37"/>
      <c r="D14" s="38"/>
      <c r="E14" s="29"/>
      <c r="F14" s="4"/>
      <c r="G14" s="12"/>
      <c r="H14" s="12"/>
      <c r="I14" s="12"/>
      <c r="J14" s="12"/>
      <c r="K14" s="12"/>
      <c r="L14" s="50"/>
    </row>
    <row r="15" spans="1:12" s="1" customFormat="1" ht="29.25" customHeight="1">
      <c r="A15" s="7"/>
      <c r="B15" s="36"/>
      <c r="C15" s="37"/>
      <c r="D15" s="38"/>
      <c r="E15" s="29"/>
      <c r="F15" s="4"/>
      <c r="G15" s="12"/>
      <c r="H15" s="12"/>
      <c r="I15" s="12"/>
      <c r="J15" s="12"/>
      <c r="K15" s="12"/>
      <c r="L15" s="50"/>
    </row>
    <row r="16" spans="1:12" s="1" customFormat="1" ht="13.5" customHeight="1">
      <c r="A16" s="7"/>
      <c r="B16" s="36"/>
      <c r="C16" s="37"/>
      <c r="D16" s="38"/>
      <c r="E16" s="29"/>
      <c r="F16" s="4"/>
      <c r="G16" s="12"/>
      <c r="H16" s="12"/>
      <c r="I16" s="12"/>
      <c r="J16" s="12"/>
      <c r="K16" s="12"/>
      <c r="L16" s="50"/>
    </row>
    <row r="17" spans="1:12" s="1" customFormat="1" ht="39" customHeight="1">
      <c r="A17" s="24" t="s">
        <v>0</v>
      </c>
      <c r="B17" s="67" t="s">
        <v>74</v>
      </c>
      <c r="C17" s="68" t="s">
        <v>10</v>
      </c>
      <c r="D17" s="25" t="s">
        <v>1</v>
      </c>
      <c r="E17" s="25" t="s">
        <v>2</v>
      </c>
      <c r="F17" s="25" t="s">
        <v>11</v>
      </c>
      <c r="G17" s="26" t="s">
        <v>9</v>
      </c>
      <c r="H17" s="27" t="s">
        <v>8</v>
      </c>
      <c r="I17" s="28" t="s">
        <v>3</v>
      </c>
      <c r="J17" s="80" t="s">
        <v>236</v>
      </c>
      <c r="K17" s="81" t="s">
        <v>3</v>
      </c>
      <c r="L17" s="51" t="s">
        <v>14</v>
      </c>
    </row>
    <row r="18" spans="1:12">
      <c r="A18" s="23"/>
      <c r="B18" s="61"/>
      <c r="C18" s="47"/>
      <c r="D18" s="48"/>
      <c r="E18" s="49"/>
      <c r="F18" s="17"/>
      <c r="G18" s="15"/>
      <c r="H18" s="57"/>
      <c r="I18" s="57"/>
      <c r="J18" s="57"/>
      <c r="K18" s="57"/>
      <c r="L18" s="53"/>
    </row>
    <row r="19" spans="1:12">
      <c r="A19" s="23"/>
      <c r="B19" s="72" t="s">
        <v>79</v>
      </c>
      <c r="C19" s="63"/>
      <c r="D19" s="70"/>
      <c r="E19" s="10"/>
      <c r="F19" s="17"/>
      <c r="G19" s="15"/>
      <c r="H19" s="71"/>
      <c r="I19" s="71"/>
      <c r="J19" s="71"/>
      <c r="K19" s="71"/>
      <c r="L19" s="54"/>
    </row>
    <row r="20" spans="1:12">
      <c r="A20" s="65"/>
      <c r="B20" s="60"/>
      <c r="C20" s="66"/>
      <c r="D20" s="43"/>
      <c r="E20" s="10"/>
      <c r="F20" s="17"/>
      <c r="G20" s="15"/>
      <c r="H20" s="58"/>
      <c r="I20" s="32"/>
      <c r="J20" s="58"/>
      <c r="K20" s="32"/>
      <c r="L20" s="64"/>
    </row>
    <row r="21" spans="1:12">
      <c r="A21" s="65">
        <v>5</v>
      </c>
      <c r="B21" s="60" t="s">
        <v>98</v>
      </c>
      <c r="C21" s="42"/>
      <c r="D21" s="43"/>
      <c r="E21" s="10"/>
      <c r="F21" s="17"/>
      <c r="G21" s="15"/>
      <c r="H21" s="58"/>
      <c r="I21" s="32"/>
      <c r="J21" s="58"/>
      <c r="K21" s="32"/>
      <c r="L21" s="64"/>
    </row>
    <row r="22" spans="1:12" ht="25.5">
      <c r="A22" s="65">
        <v>5.0199999999999996</v>
      </c>
      <c r="B22" s="60" t="s">
        <v>99</v>
      </c>
      <c r="C22" s="66">
        <v>40202002</v>
      </c>
      <c r="D22" s="43" t="s">
        <v>51</v>
      </c>
      <c r="E22" s="10" t="s">
        <v>78</v>
      </c>
      <c r="F22" s="17" t="s">
        <v>12</v>
      </c>
      <c r="G22" s="15">
        <v>24</v>
      </c>
      <c r="H22" s="58">
        <v>29.85</v>
      </c>
      <c r="I22" s="32">
        <f>+G22*H22</f>
        <v>716.40000000000009</v>
      </c>
      <c r="J22" s="58">
        <v>35.96</v>
      </c>
      <c r="K22" s="32">
        <f>+G22*J22</f>
        <v>863.04</v>
      </c>
      <c r="L22" s="64"/>
    </row>
    <row r="23" spans="1:12">
      <c r="A23" s="65">
        <v>6</v>
      </c>
      <c r="B23" s="60" t="s">
        <v>100</v>
      </c>
      <c r="C23" s="66"/>
      <c r="D23" s="43"/>
      <c r="E23" s="10"/>
      <c r="F23" s="17"/>
      <c r="G23" s="15"/>
      <c r="H23" s="58"/>
      <c r="I23" s="32"/>
      <c r="J23" s="58"/>
      <c r="K23" s="32"/>
      <c r="L23" s="64"/>
    </row>
    <row r="24" spans="1:12" ht="25.5">
      <c r="A24" s="65">
        <v>6.01</v>
      </c>
      <c r="B24" s="60" t="s">
        <v>101</v>
      </c>
      <c r="C24" s="66">
        <v>40104001</v>
      </c>
      <c r="D24" s="43" t="s">
        <v>49</v>
      </c>
      <c r="E24" s="10" t="s">
        <v>78</v>
      </c>
      <c r="F24" s="17" t="s">
        <v>12</v>
      </c>
      <c r="G24" s="15">
        <v>283</v>
      </c>
      <c r="H24" s="58">
        <v>10.64</v>
      </c>
      <c r="I24" s="32">
        <f>+G24*H24</f>
        <v>3011.1200000000003</v>
      </c>
      <c r="J24" s="58">
        <v>17.760000000000002</v>
      </c>
      <c r="K24" s="32">
        <f>+G24*J24</f>
        <v>5026.0800000000008</v>
      </c>
      <c r="L24" s="64"/>
    </row>
    <row r="25" spans="1:12">
      <c r="A25" s="65"/>
      <c r="B25" s="60"/>
      <c r="C25" s="66"/>
      <c r="D25" s="43"/>
      <c r="E25" s="10"/>
      <c r="F25" s="17"/>
      <c r="G25" s="15"/>
      <c r="H25" s="58"/>
      <c r="I25" s="32"/>
      <c r="J25" s="58"/>
      <c r="K25" s="32"/>
      <c r="L25" s="64"/>
    </row>
    <row r="26" spans="1:12">
      <c r="A26" s="65">
        <v>7</v>
      </c>
      <c r="B26" s="60" t="s">
        <v>102</v>
      </c>
      <c r="C26" s="66"/>
      <c r="D26" s="43"/>
      <c r="E26" s="10"/>
      <c r="F26" s="17"/>
      <c r="G26" s="15"/>
      <c r="H26" s="58"/>
      <c r="I26" s="32"/>
      <c r="J26" s="58"/>
      <c r="K26" s="32"/>
      <c r="L26" s="64"/>
    </row>
    <row r="27" spans="1:12">
      <c r="A27" s="65"/>
      <c r="B27" s="60"/>
      <c r="C27" s="66"/>
      <c r="D27" s="43"/>
      <c r="E27" s="10"/>
      <c r="F27" s="17"/>
      <c r="G27" s="15"/>
      <c r="H27" s="58"/>
      <c r="I27" s="32"/>
      <c r="J27" s="58"/>
      <c r="K27" s="32"/>
      <c r="L27" s="64"/>
    </row>
    <row r="28" spans="1:12">
      <c r="A28" s="65">
        <v>8</v>
      </c>
      <c r="B28" s="60" t="s">
        <v>103</v>
      </c>
      <c r="C28" s="66"/>
      <c r="D28" s="43"/>
      <c r="E28" s="10"/>
      <c r="F28" s="17"/>
      <c r="G28" s="15"/>
      <c r="H28" s="58"/>
      <c r="I28" s="32"/>
      <c r="J28" s="58"/>
      <c r="K28" s="32"/>
      <c r="L28" s="64"/>
    </row>
    <row r="29" spans="1:12" ht="25.5">
      <c r="A29" s="65">
        <v>8.01</v>
      </c>
      <c r="B29" s="60" t="s">
        <v>82</v>
      </c>
      <c r="C29" s="66">
        <v>50401003</v>
      </c>
      <c r="D29" s="43" t="s">
        <v>52</v>
      </c>
      <c r="E29" s="10" t="s">
        <v>78</v>
      </c>
      <c r="F29" s="17" t="s">
        <v>12</v>
      </c>
      <c r="G29" s="15">
        <v>275</v>
      </c>
      <c r="H29" s="58">
        <v>6.3</v>
      </c>
      <c r="I29" s="32">
        <f>+G29*H29</f>
        <v>1732.5</v>
      </c>
      <c r="J29" s="58">
        <v>10.19</v>
      </c>
      <c r="K29" s="32">
        <f t="shared" ref="K29:K41" si="0">+G29*J29</f>
        <v>2802.25</v>
      </c>
      <c r="L29" s="64"/>
    </row>
    <row r="30" spans="1:12" ht="25.5">
      <c r="A30" s="65">
        <v>8.02</v>
      </c>
      <c r="B30" s="60" t="s">
        <v>104</v>
      </c>
      <c r="C30" s="66">
        <v>50401005</v>
      </c>
      <c r="D30" s="43" t="s">
        <v>62</v>
      </c>
      <c r="E30" s="10" t="s">
        <v>78</v>
      </c>
      <c r="F30" s="17" t="s">
        <v>12</v>
      </c>
      <c r="G30" s="15">
        <v>2</v>
      </c>
      <c r="H30" s="58">
        <v>10.46</v>
      </c>
      <c r="I30" s="32">
        <f>+G30*H30</f>
        <v>20.92</v>
      </c>
      <c r="J30" s="58">
        <v>17.38</v>
      </c>
      <c r="K30" s="32">
        <f t="shared" si="0"/>
        <v>34.76</v>
      </c>
      <c r="L30" s="64"/>
    </row>
    <row r="31" spans="1:12">
      <c r="A31" s="65">
        <v>8.0299999999999994</v>
      </c>
      <c r="B31" s="60" t="s">
        <v>105</v>
      </c>
      <c r="C31" s="66"/>
      <c r="D31" s="43"/>
      <c r="E31" s="10"/>
      <c r="F31" s="17"/>
      <c r="G31" s="15"/>
      <c r="H31" s="58"/>
      <c r="I31" s="32"/>
      <c r="J31" s="58">
        <v>12.11</v>
      </c>
      <c r="K31" s="32">
        <f t="shared" si="0"/>
        <v>0</v>
      </c>
      <c r="L31" s="64"/>
    </row>
    <row r="32" spans="1:12">
      <c r="A32" s="65">
        <v>8.0399999999999991</v>
      </c>
      <c r="B32" s="60" t="s">
        <v>106</v>
      </c>
      <c r="C32" s="66"/>
      <c r="D32" s="43"/>
      <c r="E32" s="10"/>
      <c r="F32" s="17"/>
      <c r="G32" s="15"/>
      <c r="H32" s="58"/>
      <c r="I32" s="32"/>
      <c r="J32" s="58">
        <v>11.59</v>
      </c>
      <c r="K32" s="32">
        <f t="shared" si="0"/>
        <v>0</v>
      </c>
      <c r="L32" s="64"/>
    </row>
    <row r="33" spans="1:12" ht="25.5">
      <c r="A33" s="65">
        <v>8.0499999999999989</v>
      </c>
      <c r="B33" s="60" t="s">
        <v>107</v>
      </c>
      <c r="C33" s="66">
        <v>80102002</v>
      </c>
      <c r="D33" s="43" t="s">
        <v>23</v>
      </c>
      <c r="E33" s="10" t="s">
        <v>78</v>
      </c>
      <c r="F33" s="17" t="s">
        <v>12</v>
      </c>
      <c r="G33" s="15">
        <v>190</v>
      </c>
      <c r="H33" s="58">
        <v>3.8</v>
      </c>
      <c r="I33" s="32">
        <f t="shared" ref="I33:I38" si="1">+G33*H33</f>
        <v>722</v>
      </c>
      <c r="J33" s="58">
        <v>7.77</v>
      </c>
      <c r="K33" s="32">
        <f t="shared" si="0"/>
        <v>1476.3</v>
      </c>
      <c r="L33" s="64"/>
    </row>
    <row r="34" spans="1:12" ht="25.5">
      <c r="A34" s="65">
        <v>8.0599999999999987</v>
      </c>
      <c r="B34" s="60" t="s">
        <v>108</v>
      </c>
      <c r="C34" s="66">
        <v>80102003</v>
      </c>
      <c r="D34" s="43" t="s">
        <v>53</v>
      </c>
      <c r="E34" s="10" t="s">
        <v>78</v>
      </c>
      <c r="F34" s="17" t="s">
        <v>12</v>
      </c>
      <c r="G34" s="15">
        <v>6</v>
      </c>
      <c r="H34" s="58">
        <v>5.32</v>
      </c>
      <c r="I34" s="32">
        <f t="shared" si="1"/>
        <v>31.92</v>
      </c>
      <c r="J34" s="58">
        <v>10.36</v>
      </c>
      <c r="K34" s="32">
        <f t="shared" si="0"/>
        <v>62.16</v>
      </c>
      <c r="L34" s="64"/>
    </row>
    <row r="35" spans="1:12">
      <c r="A35" s="65">
        <v>8.0699999999999985</v>
      </c>
      <c r="B35" s="60" t="s">
        <v>83</v>
      </c>
      <c r="C35" s="66">
        <v>50801004</v>
      </c>
      <c r="D35" s="43" t="s">
        <v>42</v>
      </c>
      <c r="E35" s="10" t="s">
        <v>78</v>
      </c>
      <c r="F35" s="17" t="s">
        <v>13</v>
      </c>
      <c r="G35" s="15">
        <v>905</v>
      </c>
      <c r="H35" s="58">
        <v>1.06</v>
      </c>
      <c r="I35" s="32">
        <f t="shared" si="1"/>
        <v>959.30000000000007</v>
      </c>
      <c r="J35" s="58">
        <v>1.41</v>
      </c>
      <c r="K35" s="32">
        <f t="shared" si="0"/>
        <v>1276.05</v>
      </c>
      <c r="L35" s="64"/>
    </row>
    <row r="36" spans="1:12" ht="25.5">
      <c r="A36" s="65">
        <v>8.0799999999999983</v>
      </c>
      <c r="B36" s="60" t="s">
        <v>109</v>
      </c>
      <c r="C36" s="66">
        <v>50501002</v>
      </c>
      <c r="D36" s="43" t="s">
        <v>20</v>
      </c>
      <c r="E36" s="10" t="s">
        <v>78</v>
      </c>
      <c r="F36" s="17" t="s">
        <v>12</v>
      </c>
      <c r="G36" s="15">
        <v>2</v>
      </c>
      <c r="H36" s="58">
        <v>31.49</v>
      </c>
      <c r="I36" s="32">
        <f t="shared" si="1"/>
        <v>62.98</v>
      </c>
      <c r="J36" s="58">
        <v>36.01</v>
      </c>
      <c r="K36" s="32">
        <f t="shared" si="0"/>
        <v>72.02</v>
      </c>
      <c r="L36" s="64"/>
    </row>
    <row r="37" spans="1:12" ht="25.5">
      <c r="A37" s="65">
        <v>8.0899999999999981</v>
      </c>
      <c r="B37" s="60" t="s">
        <v>110</v>
      </c>
      <c r="C37" s="66">
        <v>50501002</v>
      </c>
      <c r="D37" s="43" t="s">
        <v>20</v>
      </c>
      <c r="E37" s="10" t="s">
        <v>231</v>
      </c>
      <c r="F37" s="17" t="s">
        <v>12</v>
      </c>
      <c r="G37" s="15">
        <v>6</v>
      </c>
      <c r="H37" s="58">
        <v>31.49</v>
      </c>
      <c r="I37" s="32">
        <f t="shared" si="1"/>
        <v>188.94</v>
      </c>
      <c r="J37" s="58">
        <v>44.34</v>
      </c>
      <c r="K37" s="32">
        <f t="shared" si="0"/>
        <v>266.04000000000002</v>
      </c>
      <c r="L37" s="64"/>
    </row>
    <row r="38" spans="1:12" ht="25.5">
      <c r="A38" s="65">
        <v>8.0999999999999979</v>
      </c>
      <c r="B38" s="60" t="s">
        <v>111</v>
      </c>
      <c r="C38" s="66">
        <v>50612001</v>
      </c>
      <c r="D38" s="43" t="s">
        <v>54</v>
      </c>
      <c r="E38" s="10" t="s">
        <v>78</v>
      </c>
      <c r="F38" s="17" t="s">
        <v>12</v>
      </c>
      <c r="G38" s="15">
        <v>2</v>
      </c>
      <c r="H38" s="58">
        <v>20.79</v>
      </c>
      <c r="I38" s="32">
        <f t="shared" si="1"/>
        <v>41.58</v>
      </c>
      <c r="J38" s="58">
        <v>29.37</v>
      </c>
      <c r="K38" s="32">
        <f t="shared" si="0"/>
        <v>58.74</v>
      </c>
      <c r="L38" s="64"/>
    </row>
    <row r="39" spans="1:12">
      <c r="A39" s="65">
        <v>8.1099999999999977</v>
      </c>
      <c r="B39" s="60" t="s">
        <v>112</v>
      </c>
      <c r="C39" s="66"/>
      <c r="D39" s="43"/>
      <c r="E39" s="10"/>
      <c r="F39" s="17"/>
      <c r="G39" s="15"/>
      <c r="H39" s="58"/>
      <c r="I39" s="32"/>
      <c r="J39" s="58">
        <v>47.48</v>
      </c>
      <c r="K39" s="32">
        <f t="shared" si="0"/>
        <v>0</v>
      </c>
      <c r="L39" s="64"/>
    </row>
    <row r="40" spans="1:12">
      <c r="A40" s="65">
        <v>8.1199999999999974</v>
      </c>
      <c r="B40" s="60" t="s">
        <v>113</v>
      </c>
      <c r="C40" s="66">
        <v>50602003</v>
      </c>
      <c r="D40" s="43" t="s">
        <v>32</v>
      </c>
      <c r="E40" s="10" t="s">
        <v>78</v>
      </c>
      <c r="F40" s="17" t="s">
        <v>12</v>
      </c>
      <c r="G40" s="15">
        <v>273</v>
      </c>
      <c r="H40" s="58">
        <v>15</v>
      </c>
      <c r="I40" s="32">
        <f>+G40*H40</f>
        <v>4095</v>
      </c>
      <c r="J40" s="58">
        <v>25.34</v>
      </c>
      <c r="K40" s="32">
        <f t="shared" si="0"/>
        <v>6917.82</v>
      </c>
      <c r="L40" s="64"/>
    </row>
    <row r="41" spans="1:12">
      <c r="A41" s="65">
        <v>8.1299999999999972</v>
      </c>
      <c r="B41" s="60" t="s">
        <v>114</v>
      </c>
      <c r="C41" s="66">
        <v>50602017</v>
      </c>
      <c r="D41" s="43" t="s">
        <v>76</v>
      </c>
      <c r="E41" s="10" t="s">
        <v>78</v>
      </c>
      <c r="F41" s="17" t="s">
        <v>12</v>
      </c>
      <c r="G41" s="15">
        <v>8</v>
      </c>
      <c r="H41" s="58">
        <v>25.2</v>
      </c>
      <c r="I41" s="32">
        <f>+G41*H41</f>
        <v>201.6</v>
      </c>
      <c r="J41" s="58">
        <v>49.03</v>
      </c>
      <c r="K41" s="32">
        <f t="shared" si="0"/>
        <v>392.24</v>
      </c>
      <c r="L41" s="64"/>
    </row>
    <row r="42" spans="1:12">
      <c r="A42" s="65">
        <v>8.14</v>
      </c>
      <c r="B42" s="60" t="s">
        <v>115</v>
      </c>
      <c r="C42" s="66">
        <v>131001003</v>
      </c>
      <c r="D42" s="43" t="s">
        <v>72</v>
      </c>
      <c r="E42" s="10" t="s">
        <v>78</v>
      </c>
      <c r="F42" s="17" t="s">
        <v>13</v>
      </c>
      <c r="G42" s="15">
        <v>281</v>
      </c>
      <c r="H42" s="58">
        <v>1.06</v>
      </c>
      <c r="I42" s="32">
        <f>+G42*H42</f>
        <v>297.86</v>
      </c>
      <c r="J42" s="58"/>
      <c r="K42" s="32"/>
      <c r="L42" s="64"/>
    </row>
    <row r="43" spans="1:12" ht="25.5">
      <c r="A43" s="65">
        <v>8.15</v>
      </c>
      <c r="B43" s="60" t="s">
        <v>116</v>
      </c>
      <c r="C43" s="66">
        <v>50402003</v>
      </c>
      <c r="D43" s="43" t="s">
        <v>47</v>
      </c>
      <c r="E43" s="10" t="s">
        <v>78</v>
      </c>
      <c r="F43" s="17" t="s">
        <v>12</v>
      </c>
      <c r="G43" s="15">
        <v>2</v>
      </c>
      <c r="H43" s="58">
        <v>7.87</v>
      </c>
      <c r="I43" s="32">
        <f>+G43*H43</f>
        <v>15.74</v>
      </c>
      <c r="J43" s="58"/>
      <c r="K43" s="32"/>
      <c r="L43" s="64"/>
    </row>
    <row r="44" spans="1:12">
      <c r="A44" s="65"/>
      <c r="B44" s="60"/>
      <c r="C44" s="66"/>
      <c r="D44" s="43"/>
      <c r="E44" s="10"/>
      <c r="F44" s="17"/>
      <c r="G44" s="15"/>
      <c r="H44" s="58"/>
      <c r="I44" s="32"/>
      <c r="J44" s="58"/>
      <c r="K44" s="32"/>
      <c r="L44" s="64"/>
    </row>
    <row r="45" spans="1:12">
      <c r="A45" s="65">
        <v>9</v>
      </c>
      <c r="B45" s="60" t="s">
        <v>117</v>
      </c>
      <c r="C45" s="66"/>
      <c r="D45" s="43"/>
      <c r="E45" s="10"/>
      <c r="F45" s="17"/>
      <c r="G45" s="15"/>
      <c r="H45" s="58"/>
      <c r="I45" s="32"/>
      <c r="J45" s="58"/>
      <c r="K45" s="32"/>
      <c r="L45" s="64"/>
    </row>
    <row r="46" spans="1:12" ht="25.5">
      <c r="A46" s="65">
        <v>9.01</v>
      </c>
      <c r="B46" s="60" t="s">
        <v>118</v>
      </c>
      <c r="C46" s="66">
        <v>70602129</v>
      </c>
      <c r="D46" s="43" t="s">
        <v>223</v>
      </c>
      <c r="E46" s="10" t="s">
        <v>250</v>
      </c>
      <c r="F46" s="17" t="s">
        <v>13</v>
      </c>
      <c r="G46" s="15">
        <v>3162.9</v>
      </c>
      <c r="H46" s="58">
        <v>5.9</v>
      </c>
      <c r="I46" s="32">
        <f>+G46*H46</f>
        <v>18661.11</v>
      </c>
      <c r="J46" s="58">
        <v>12.8</v>
      </c>
      <c r="K46" s="32">
        <f>+G46*J46</f>
        <v>40485.120000000003</v>
      </c>
      <c r="L46" s="64"/>
    </row>
    <row r="47" spans="1:12">
      <c r="A47" s="65"/>
      <c r="B47" s="60"/>
      <c r="C47" s="66"/>
      <c r="D47" s="43"/>
      <c r="E47" s="10"/>
      <c r="F47" s="17"/>
      <c r="G47" s="15"/>
      <c r="H47" s="58"/>
      <c r="I47" s="32"/>
      <c r="J47" s="58"/>
      <c r="K47" s="32"/>
      <c r="L47" s="64"/>
    </row>
    <row r="48" spans="1:12">
      <c r="A48" s="65">
        <v>10</v>
      </c>
      <c r="B48" s="60" t="s">
        <v>119</v>
      </c>
      <c r="C48" s="66"/>
      <c r="D48" s="43"/>
      <c r="E48" s="10"/>
      <c r="F48" s="17"/>
      <c r="G48" s="15"/>
      <c r="H48" s="58"/>
      <c r="I48" s="32"/>
      <c r="J48" s="58"/>
      <c r="K48" s="32"/>
      <c r="L48" s="64"/>
    </row>
    <row r="49" spans="1:12" ht="25.5">
      <c r="A49" s="65">
        <v>10.01</v>
      </c>
      <c r="B49" s="60" t="s">
        <v>120</v>
      </c>
      <c r="C49" s="66">
        <v>60101015</v>
      </c>
      <c r="D49" s="43" t="s">
        <v>18</v>
      </c>
      <c r="E49" s="10" t="s">
        <v>78</v>
      </c>
      <c r="F49" s="17" t="s">
        <v>12</v>
      </c>
      <c r="G49" s="15">
        <v>33</v>
      </c>
      <c r="H49" s="58">
        <v>3.34</v>
      </c>
      <c r="I49" s="32">
        <f>+G49*H49</f>
        <v>110.22</v>
      </c>
      <c r="J49" s="58">
        <v>3.86</v>
      </c>
      <c r="K49" s="32">
        <f t="shared" ref="K49:K67" si="2">+G49*J49</f>
        <v>127.38</v>
      </c>
      <c r="L49" s="64"/>
    </row>
    <row r="50" spans="1:12">
      <c r="A50" s="65">
        <v>10.02</v>
      </c>
      <c r="B50" s="60" t="s">
        <v>121</v>
      </c>
      <c r="C50" s="66"/>
      <c r="D50" s="43"/>
      <c r="E50" s="10"/>
      <c r="F50" s="17"/>
      <c r="G50" s="15"/>
      <c r="H50" s="58"/>
      <c r="I50" s="32"/>
      <c r="J50" s="58">
        <v>5.57</v>
      </c>
      <c r="K50" s="32">
        <f t="shared" si="2"/>
        <v>0</v>
      </c>
      <c r="L50" s="64"/>
    </row>
    <row r="51" spans="1:12" ht="25.5">
      <c r="A51" s="65">
        <v>10.029999999999999</v>
      </c>
      <c r="B51" s="60" t="s">
        <v>122</v>
      </c>
      <c r="C51" s="66">
        <v>60104124</v>
      </c>
      <c r="D51" s="43" t="s">
        <v>69</v>
      </c>
      <c r="E51" s="10" t="s">
        <v>78</v>
      </c>
      <c r="F51" s="17" t="s">
        <v>12</v>
      </c>
      <c r="G51" s="15">
        <v>21</v>
      </c>
      <c r="H51" s="58">
        <v>6.38</v>
      </c>
      <c r="I51" s="32">
        <f t="shared" ref="I51:I58" si="3">+G51*H51</f>
        <v>133.97999999999999</v>
      </c>
      <c r="J51" s="58">
        <v>6.25</v>
      </c>
      <c r="K51" s="32">
        <f t="shared" si="2"/>
        <v>131.25</v>
      </c>
      <c r="L51" s="64"/>
    </row>
    <row r="52" spans="1:12" ht="25.5">
      <c r="A52" s="65">
        <v>10.039999999999999</v>
      </c>
      <c r="B52" s="60" t="s">
        <v>123</v>
      </c>
      <c r="C52" s="66">
        <v>60104126</v>
      </c>
      <c r="D52" s="43" t="s">
        <v>56</v>
      </c>
      <c r="E52" s="10" t="s">
        <v>78</v>
      </c>
      <c r="F52" s="17" t="s">
        <v>12</v>
      </c>
      <c r="G52" s="15">
        <v>172</v>
      </c>
      <c r="H52" s="58">
        <v>6.9</v>
      </c>
      <c r="I52" s="32">
        <f t="shared" si="3"/>
        <v>1186.8</v>
      </c>
      <c r="J52" s="58">
        <v>8.61</v>
      </c>
      <c r="K52" s="32">
        <f t="shared" si="2"/>
        <v>1480.9199999999998</v>
      </c>
      <c r="L52" s="64"/>
    </row>
    <row r="53" spans="1:12" ht="25.5">
      <c r="A53" s="65">
        <v>10.049999999999999</v>
      </c>
      <c r="B53" s="60" t="s">
        <v>124</v>
      </c>
      <c r="C53" s="66">
        <v>60104128</v>
      </c>
      <c r="D53" s="43" t="s">
        <v>38</v>
      </c>
      <c r="E53" s="10" t="s">
        <v>78</v>
      </c>
      <c r="F53" s="17" t="s">
        <v>12</v>
      </c>
      <c r="G53" s="15">
        <v>14</v>
      </c>
      <c r="H53" s="58">
        <v>7.39</v>
      </c>
      <c r="I53" s="32">
        <f t="shared" si="3"/>
        <v>103.46</v>
      </c>
      <c r="J53" s="58">
        <v>9.14</v>
      </c>
      <c r="K53" s="32">
        <f t="shared" si="2"/>
        <v>127.96000000000001</v>
      </c>
      <c r="L53" s="64"/>
    </row>
    <row r="54" spans="1:12" ht="25.5">
      <c r="A54" s="65">
        <v>10.059999999999999</v>
      </c>
      <c r="B54" s="60" t="s">
        <v>125</v>
      </c>
      <c r="C54" s="66">
        <v>60104129</v>
      </c>
      <c r="D54" s="43" t="s">
        <v>37</v>
      </c>
      <c r="E54" s="10" t="s">
        <v>78</v>
      </c>
      <c r="F54" s="17" t="s">
        <v>12</v>
      </c>
      <c r="G54" s="15">
        <v>5</v>
      </c>
      <c r="H54" s="58">
        <v>8.9700000000000006</v>
      </c>
      <c r="I54" s="32">
        <f t="shared" si="3"/>
        <v>44.85</v>
      </c>
      <c r="J54" s="58">
        <v>9.82</v>
      </c>
      <c r="K54" s="32">
        <f t="shared" si="2"/>
        <v>49.1</v>
      </c>
      <c r="L54" s="64"/>
    </row>
    <row r="55" spans="1:12" ht="25.5">
      <c r="A55" s="65">
        <v>10.069999999999999</v>
      </c>
      <c r="B55" s="60" t="s">
        <v>126</v>
      </c>
      <c r="C55" s="66">
        <v>60104131</v>
      </c>
      <c r="D55" s="43" t="s">
        <v>227</v>
      </c>
      <c r="E55" s="10" t="s">
        <v>78</v>
      </c>
      <c r="F55" s="17" t="s">
        <v>12</v>
      </c>
      <c r="G55" s="15">
        <v>104</v>
      </c>
      <c r="H55" s="58">
        <v>12.16</v>
      </c>
      <c r="I55" s="32">
        <f t="shared" si="3"/>
        <v>1264.6400000000001</v>
      </c>
      <c r="J55" s="58">
        <v>12.54</v>
      </c>
      <c r="K55" s="32">
        <f t="shared" si="2"/>
        <v>1304.1599999999999</v>
      </c>
      <c r="L55" s="64"/>
    </row>
    <row r="56" spans="1:12" ht="25.5">
      <c r="A56" s="65">
        <v>10.079999999999998</v>
      </c>
      <c r="B56" s="60" t="s">
        <v>127</v>
      </c>
      <c r="C56" s="66">
        <v>60102066</v>
      </c>
      <c r="D56" s="43" t="s">
        <v>16</v>
      </c>
      <c r="E56" s="10" t="s">
        <v>78</v>
      </c>
      <c r="F56" s="17" t="s">
        <v>12</v>
      </c>
      <c r="G56" s="15">
        <v>107</v>
      </c>
      <c r="H56" s="58">
        <v>7</v>
      </c>
      <c r="I56" s="32">
        <f t="shared" si="3"/>
        <v>749</v>
      </c>
      <c r="J56" s="58">
        <v>18.18</v>
      </c>
      <c r="K56" s="32">
        <f t="shared" si="2"/>
        <v>1945.26</v>
      </c>
      <c r="L56" s="64"/>
    </row>
    <row r="57" spans="1:12" ht="25.5">
      <c r="A57" s="65">
        <v>10.089999999999998</v>
      </c>
      <c r="B57" s="60" t="s">
        <v>128</v>
      </c>
      <c r="C57" s="66">
        <v>60106051</v>
      </c>
      <c r="D57" s="43" t="s">
        <v>57</v>
      </c>
      <c r="E57" s="10" t="s">
        <v>78</v>
      </c>
      <c r="F57" s="17" t="s">
        <v>12</v>
      </c>
      <c r="G57" s="15">
        <v>70</v>
      </c>
      <c r="H57" s="58">
        <v>8.36</v>
      </c>
      <c r="I57" s="32">
        <f t="shared" si="3"/>
        <v>585.19999999999993</v>
      </c>
      <c r="J57" s="58">
        <v>13.11</v>
      </c>
      <c r="K57" s="32">
        <f t="shared" si="2"/>
        <v>917.69999999999993</v>
      </c>
      <c r="L57" s="64"/>
    </row>
    <row r="58" spans="1:12" ht="25.5">
      <c r="A58" s="65">
        <v>10.099999999999998</v>
      </c>
      <c r="B58" s="60" t="s">
        <v>129</v>
      </c>
      <c r="C58" s="66">
        <v>60106052</v>
      </c>
      <c r="D58" s="43" t="s">
        <v>17</v>
      </c>
      <c r="E58" s="10" t="s">
        <v>78</v>
      </c>
      <c r="F58" s="17" t="s">
        <v>12</v>
      </c>
      <c r="G58" s="15">
        <v>21</v>
      </c>
      <c r="H58" s="58">
        <v>9.1199999999999992</v>
      </c>
      <c r="I58" s="32">
        <f t="shared" si="3"/>
        <v>191.51999999999998</v>
      </c>
      <c r="J58" s="58">
        <v>14.35</v>
      </c>
      <c r="K58" s="32">
        <f t="shared" si="2"/>
        <v>301.34999999999997</v>
      </c>
      <c r="L58" s="64"/>
    </row>
    <row r="59" spans="1:12" ht="25.5">
      <c r="A59" s="65">
        <v>10.109999999999998</v>
      </c>
      <c r="B59" s="60" t="s">
        <v>130</v>
      </c>
      <c r="C59" s="66"/>
      <c r="D59" s="43"/>
      <c r="E59" s="10"/>
      <c r="F59" s="17"/>
      <c r="G59" s="15"/>
      <c r="H59" s="58"/>
      <c r="I59" s="32"/>
      <c r="J59" s="58">
        <v>14.6</v>
      </c>
      <c r="K59" s="32">
        <f t="shared" si="2"/>
        <v>0</v>
      </c>
      <c r="L59" s="64"/>
    </row>
    <row r="60" spans="1:12">
      <c r="A60" s="65">
        <v>10.119999999999997</v>
      </c>
      <c r="B60" s="60" t="s">
        <v>84</v>
      </c>
      <c r="C60" s="66">
        <v>61201001</v>
      </c>
      <c r="D60" s="43" t="s">
        <v>33</v>
      </c>
      <c r="E60" s="10" t="s">
        <v>78</v>
      </c>
      <c r="F60" s="17" t="s">
        <v>12</v>
      </c>
      <c r="G60" s="15">
        <v>112</v>
      </c>
      <c r="H60" s="58">
        <v>6</v>
      </c>
      <c r="I60" s="32">
        <f>+G60*H60</f>
        <v>672</v>
      </c>
      <c r="J60" s="58">
        <v>11.17</v>
      </c>
      <c r="K60" s="32">
        <f t="shared" si="2"/>
        <v>1251.04</v>
      </c>
      <c r="L60" s="64"/>
    </row>
    <row r="61" spans="1:12">
      <c r="A61" s="65">
        <v>10.129999999999997</v>
      </c>
      <c r="B61" s="60" t="s">
        <v>131</v>
      </c>
      <c r="C61" s="66"/>
      <c r="D61" s="43"/>
      <c r="E61" s="10"/>
      <c r="F61" s="17"/>
      <c r="G61" s="15"/>
      <c r="H61" s="58"/>
      <c r="I61" s="32"/>
      <c r="J61" s="58">
        <v>2.74</v>
      </c>
      <c r="K61" s="32">
        <f t="shared" si="2"/>
        <v>0</v>
      </c>
      <c r="L61" s="64"/>
    </row>
    <row r="62" spans="1:12" ht="25.5">
      <c r="A62" s="65">
        <v>10.139999999999997</v>
      </c>
      <c r="B62" s="60" t="s">
        <v>132</v>
      </c>
      <c r="C62" s="66">
        <v>60401003</v>
      </c>
      <c r="D62" s="43" t="s">
        <v>58</v>
      </c>
      <c r="E62" s="10" t="s">
        <v>78</v>
      </c>
      <c r="F62" s="17" t="s">
        <v>12</v>
      </c>
      <c r="G62" s="15">
        <v>33</v>
      </c>
      <c r="H62" s="58">
        <v>14.93</v>
      </c>
      <c r="I62" s="32">
        <f t="shared" ref="I62:I67" si="4">+G62*H62</f>
        <v>492.69</v>
      </c>
      <c r="J62" s="58">
        <v>22.46</v>
      </c>
      <c r="K62" s="32">
        <f t="shared" si="2"/>
        <v>741.18000000000006</v>
      </c>
      <c r="L62" s="64"/>
    </row>
    <row r="63" spans="1:12" ht="25.5">
      <c r="A63" s="65">
        <v>10.149999999999997</v>
      </c>
      <c r="B63" s="60" t="s">
        <v>133</v>
      </c>
      <c r="C63" s="66">
        <v>60202002</v>
      </c>
      <c r="D63" s="43" t="s">
        <v>35</v>
      </c>
      <c r="E63" s="10" t="s">
        <v>78</v>
      </c>
      <c r="F63" s="17" t="s">
        <v>12</v>
      </c>
      <c r="G63" s="15">
        <v>518</v>
      </c>
      <c r="H63" s="58">
        <v>1.28</v>
      </c>
      <c r="I63" s="32">
        <f t="shared" si="4"/>
        <v>663.04</v>
      </c>
      <c r="J63" s="58">
        <v>1.67</v>
      </c>
      <c r="K63" s="32">
        <f t="shared" si="2"/>
        <v>865.06</v>
      </c>
      <c r="L63" s="64"/>
    </row>
    <row r="64" spans="1:12" ht="25.5">
      <c r="A64" s="65">
        <v>10.159999999999997</v>
      </c>
      <c r="B64" s="60" t="s">
        <v>134</v>
      </c>
      <c r="C64" s="66">
        <v>60201006</v>
      </c>
      <c r="D64" s="43" t="s">
        <v>40</v>
      </c>
      <c r="E64" s="10" t="s">
        <v>78</v>
      </c>
      <c r="F64" s="17" t="s">
        <v>12</v>
      </c>
      <c r="G64" s="15">
        <v>772</v>
      </c>
      <c r="H64" s="58">
        <v>1.22</v>
      </c>
      <c r="I64" s="32">
        <f t="shared" si="4"/>
        <v>941.84</v>
      </c>
      <c r="J64" s="58">
        <v>1.67</v>
      </c>
      <c r="K64" s="32">
        <f t="shared" si="2"/>
        <v>1289.24</v>
      </c>
      <c r="L64" s="64"/>
    </row>
    <row r="65" spans="1:12" ht="25.5">
      <c r="A65" s="65">
        <v>10.209999999999996</v>
      </c>
      <c r="B65" s="60" t="s">
        <v>138</v>
      </c>
      <c r="C65" s="66">
        <v>60106050</v>
      </c>
      <c r="D65" s="43" t="s">
        <v>39</v>
      </c>
      <c r="E65" s="10" t="s">
        <v>78</v>
      </c>
      <c r="F65" s="17" t="s">
        <v>12</v>
      </c>
      <c r="G65" s="15">
        <v>24</v>
      </c>
      <c r="H65" s="58">
        <v>7.45</v>
      </c>
      <c r="I65" s="32">
        <f t="shared" si="4"/>
        <v>178.8</v>
      </c>
      <c r="J65" s="58">
        <v>7.45</v>
      </c>
      <c r="K65" s="32">
        <f t="shared" si="2"/>
        <v>178.8</v>
      </c>
      <c r="L65" s="64"/>
    </row>
    <row r="66" spans="1:12" ht="25.5">
      <c r="A66" s="65">
        <v>10.219999999999995</v>
      </c>
      <c r="B66" s="60" t="s">
        <v>139</v>
      </c>
      <c r="C66" s="66">
        <v>61601001</v>
      </c>
      <c r="D66" s="43" t="s">
        <v>222</v>
      </c>
      <c r="E66" s="10" t="s">
        <v>78</v>
      </c>
      <c r="F66" s="17" t="s">
        <v>12</v>
      </c>
      <c r="G66" s="15">
        <v>2</v>
      </c>
      <c r="H66" s="58">
        <v>20.190000000000001</v>
      </c>
      <c r="I66" s="32">
        <f t="shared" si="4"/>
        <v>40.380000000000003</v>
      </c>
      <c r="J66" s="58">
        <v>20.190000000000001</v>
      </c>
      <c r="K66" s="32">
        <f t="shared" si="2"/>
        <v>40.380000000000003</v>
      </c>
      <c r="L66" s="64"/>
    </row>
    <row r="67" spans="1:12" ht="25.5">
      <c r="A67" s="65">
        <v>10.229999999999995</v>
      </c>
      <c r="B67" s="60" t="s">
        <v>140</v>
      </c>
      <c r="C67" s="66">
        <v>910101012</v>
      </c>
      <c r="D67" s="73" t="s">
        <v>230</v>
      </c>
      <c r="E67" s="10" t="s">
        <v>231</v>
      </c>
      <c r="F67" s="17" t="s">
        <v>12</v>
      </c>
      <c r="G67" s="15">
        <v>75</v>
      </c>
      <c r="H67" s="58">
        <v>55</v>
      </c>
      <c r="I67" s="32">
        <f t="shared" si="4"/>
        <v>4125</v>
      </c>
      <c r="J67" s="58">
        <v>55</v>
      </c>
      <c r="K67" s="32">
        <f t="shared" si="2"/>
        <v>4125</v>
      </c>
      <c r="L67" s="64"/>
    </row>
    <row r="68" spans="1:12">
      <c r="A68" s="65"/>
      <c r="B68" s="60"/>
      <c r="C68" s="66"/>
      <c r="D68" s="43"/>
      <c r="E68" s="10"/>
      <c r="F68" s="17"/>
      <c r="G68" s="15"/>
      <c r="H68" s="58"/>
      <c r="I68" s="32"/>
      <c r="J68" s="58"/>
      <c r="K68" s="32"/>
      <c r="L68" s="64"/>
    </row>
    <row r="69" spans="1:12">
      <c r="A69" s="65">
        <v>11</v>
      </c>
      <c r="B69" s="60" t="s">
        <v>94</v>
      </c>
      <c r="C69" s="66"/>
      <c r="D69" s="43"/>
      <c r="E69" s="10"/>
      <c r="F69" s="17"/>
      <c r="G69" s="15"/>
      <c r="H69" s="58"/>
      <c r="I69" s="32"/>
      <c r="J69" s="58"/>
      <c r="K69" s="32"/>
      <c r="L69" s="64"/>
    </row>
    <row r="70" spans="1:12">
      <c r="A70" s="65">
        <v>11.01</v>
      </c>
      <c r="B70" s="60" t="s">
        <v>86</v>
      </c>
      <c r="C70" s="66"/>
      <c r="D70" s="43"/>
      <c r="E70" s="10"/>
      <c r="F70" s="17"/>
      <c r="G70" s="15"/>
      <c r="H70" s="58"/>
      <c r="I70" s="32"/>
      <c r="J70" s="58"/>
      <c r="K70" s="32"/>
      <c r="L70" s="64"/>
    </row>
    <row r="71" spans="1:12" ht="25.5">
      <c r="A71" s="65">
        <v>11.02</v>
      </c>
      <c r="B71" s="60" t="s">
        <v>87</v>
      </c>
      <c r="C71" s="66">
        <v>70301023</v>
      </c>
      <c r="D71" s="43" t="s">
        <v>44</v>
      </c>
      <c r="E71" s="10" t="s">
        <v>78</v>
      </c>
      <c r="F71" s="17" t="s">
        <v>12</v>
      </c>
      <c r="G71" s="15">
        <v>83</v>
      </c>
      <c r="H71" s="58">
        <v>33</v>
      </c>
      <c r="I71" s="32">
        <f>+G71*H71</f>
        <v>2739</v>
      </c>
      <c r="J71" s="58">
        <v>46.85</v>
      </c>
      <c r="K71" s="32">
        <f t="shared" ref="K71:K81" si="5">+G71*J71</f>
        <v>3888.55</v>
      </c>
      <c r="L71" s="64"/>
    </row>
    <row r="72" spans="1:12" ht="25.5">
      <c r="A72" s="65">
        <v>11.03</v>
      </c>
      <c r="B72" s="60" t="s">
        <v>141</v>
      </c>
      <c r="C72" s="66">
        <v>71002007</v>
      </c>
      <c r="D72" s="43" t="s">
        <v>59</v>
      </c>
      <c r="E72" s="10" t="s">
        <v>78</v>
      </c>
      <c r="F72" s="17" t="s">
        <v>12</v>
      </c>
      <c r="G72" s="15">
        <v>166</v>
      </c>
      <c r="H72" s="58">
        <v>8</v>
      </c>
      <c r="I72" s="32">
        <f>+G72*H72</f>
        <v>1328</v>
      </c>
      <c r="J72" s="58">
        <v>11.69</v>
      </c>
      <c r="K72" s="32">
        <f t="shared" si="5"/>
        <v>1940.54</v>
      </c>
      <c r="L72" s="64"/>
    </row>
    <row r="73" spans="1:12">
      <c r="A73" s="65">
        <v>11.04</v>
      </c>
      <c r="B73" s="60" t="s">
        <v>142</v>
      </c>
      <c r="C73" s="66">
        <v>70401004</v>
      </c>
      <c r="D73" s="43" t="s">
        <v>60</v>
      </c>
      <c r="E73" s="10" t="s">
        <v>78</v>
      </c>
      <c r="F73" s="17" t="s">
        <v>13</v>
      </c>
      <c r="G73" s="15">
        <v>124.5</v>
      </c>
      <c r="H73" s="58">
        <v>0.4</v>
      </c>
      <c r="I73" s="32">
        <f>+G73*H73</f>
        <v>49.800000000000004</v>
      </c>
      <c r="J73" s="58">
        <v>0.71</v>
      </c>
      <c r="K73" s="32">
        <f t="shared" si="5"/>
        <v>88.394999999999996</v>
      </c>
      <c r="L73" s="64"/>
    </row>
    <row r="74" spans="1:12">
      <c r="A74" s="65">
        <v>11.049999999999999</v>
      </c>
      <c r="B74" s="60" t="s">
        <v>89</v>
      </c>
      <c r="C74" s="66">
        <v>60202016</v>
      </c>
      <c r="D74" s="43" t="s">
        <v>29</v>
      </c>
      <c r="E74" s="10" t="s">
        <v>78</v>
      </c>
      <c r="F74" s="17" t="s">
        <v>12</v>
      </c>
      <c r="G74" s="15">
        <v>83</v>
      </c>
      <c r="H74" s="58">
        <v>4.5599999999999996</v>
      </c>
      <c r="I74" s="32">
        <f>+G74*H74</f>
        <v>378.47999999999996</v>
      </c>
      <c r="J74" s="58">
        <v>5.46</v>
      </c>
      <c r="K74" s="32">
        <f t="shared" si="5"/>
        <v>453.18</v>
      </c>
      <c r="L74" s="64"/>
    </row>
    <row r="75" spans="1:12" ht="38.25">
      <c r="A75" s="65">
        <v>11.059999999999999</v>
      </c>
      <c r="B75" s="60" t="s">
        <v>143</v>
      </c>
      <c r="C75" s="66"/>
      <c r="D75" s="43"/>
      <c r="E75" s="10"/>
      <c r="F75" s="17"/>
      <c r="G75" s="15"/>
      <c r="H75" s="58"/>
      <c r="I75" s="32"/>
      <c r="J75" s="58">
        <v>112.06</v>
      </c>
      <c r="K75" s="32">
        <f t="shared" si="5"/>
        <v>0</v>
      </c>
      <c r="L75" s="64"/>
    </row>
    <row r="76" spans="1:12" ht="38.25">
      <c r="A76" s="65">
        <v>11.069999999999999</v>
      </c>
      <c r="B76" s="60" t="s">
        <v>144</v>
      </c>
      <c r="C76" s="66">
        <v>910101012</v>
      </c>
      <c r="D76" s="73" t="s">
        <v>230</v>
      </c>
      <c r="E76" s="10" t="s">
        <v>231</v>
      </c>
      <c r="F76" s="17" t="s">
        <v>12</v>
      </c>
      <c r="G76" s="15">
        <v>83</v>
      </c>
      <c r="H76" s="58">
        <v>48</v>
      </c>
      <c r="I76" s="32">
        <f>+G76*H76</f>
        <v>3984</v>
      </c>
      <c r="J76" s="58">
        <v>81.849999999999994</v>
      </c>
      <c r="K76" s="32">
        <f t="shared" si="5"/>
        <v>6793.5499999999993</v>
      </c>
      <c r="L76" s="64"/>
    </row>
    <row r="77" spans="1:12" ht="25.5">
      <c r="A77" s="65">
        <v>11.079999999999998</v>
      </c>
      <c r="B77" s="60" t="s">
        <v>145</v>
      </c>
      <c r="C77" s="66">
        <v>61301053</v>
      </c>
      <c r="D77" s="43" t="s">
        <v>61</v>
      </c>
      <c r="E77" s="10" t="s">
        <v>78</v>
      </c>
      <c r="F77" s="17" t="s">
        <v>12</v>
      </c>
      <c r="G77" s="15">
        <v>83</v>
      </c>
      <c r="H77" s="58">
        <v>17.63</v>
      </c>
      <c r="I77" s="32">
        <f>+G77*H77</f>
        <v>1463.29</v>
      </c>
      <c r="J77" s="58">
        <v>28.99</v>
      </c>
      <c r="K77" s="32">
        <f t="shared" si="5"/>
        <v>2406.17</v>
      </c>
      <c r="L77" s="64"/>
    </row>
    <row r="78" spans="1:12" ht="25.5">
      <c r="A78" s="65">
        <v>11.099999999999998</v>
      </c>
      <c r="B78" s="60" t="s">
        <v>146</v>
      </c>
      <c r="C78" s="66">
        <v>40107002</v>
      </c>
      <c r="D78" s="43" t="s">
        <v>34</v>
      </c>
      <c r="E78" s="10" t="s">
        <v>78</v>
      </c>
      <c r="F78" s="17" t="s">
        <v>12</v>
      </c>
      <c r="G78" s="15">
        <v>83</v>
      </c>
      <c r="H78" s="58">
        <v>9.5</v>
      </c>
      <c r="I78" s="32">
        <f>+G78*H78</f>
        <v>788.5</v>
      </c>
      <c r="J78" s="58">
        <v>15.01</v>
      </c>
      <c r="K78" s="32">
        <f t="shared" si="5"/>
        <v>1245.83</v>
      </c>
      <c r="L78" s="64"/>
    </row>
    <row r="79" spans="1:12">
      <c r="A79" s="65">
        <v>11.119999999999997</v>
      </c>
      <c r="B79" s="60" t="s">
        <v>84</v>
      </c>
      <c r="C79" s="66"/>
      <c r="D79" s="43"/>
      <c r="E79" s="10"/>
      <c r="F79" s="17"/>
      <c r="G79" s="15"/>
      <c r="H79" s="58"/>
      <c r="I79" s="32"/>
      <c r="J79" s="58">
        <v>11.17</v>
      </c>
      <c r="K79" s="32">
        <f t="shared" si="5"/>
        <v>0</v>
      </c>
      <c r="L79" s="64"/>
    </row>
    <row r="80" spans="1:12">
      <c r="A80" s="65">
        <v>11.129999999999997</v>
      </c>
      <c r="B80" s="60" t="s">
        <v>133</v>
      </c>
      <c r="C80" s="66"/>
      <c r="D80" s="43"/>
      <c r="E80" s="10"/>
      <c r="F80" s="17"/>
      <c r="G80" s="15"/>
      <c r="H80" s="58"/>
      <c r="I80" s="32"/>
      <c r="J80" s="58">
        <v>1.69</v>
      </c>
      <c r="K80" s="32">
        <f t="shared" si="5"/>
        <v>0</v>
      </c>
      <c r="L80" s="64"/>
    </row>
    <row r="81" spans="1:12">
      <c r="A81" s="65">
        <v>11.14</v>
      </c>
      <c r="B81" s="60" t="s">
        <v>147</v>
      </c>
      <c r="C81" s="66">
        <v>70601003</v>
      </c>
      <c r="D81" s="43" t="s">
        <v>21</v>
      </c>
      <c r="E81" s="10" t="s">
        <v>225</v>
      </c>
      <c r="F81" s="17" t="s">
        <v>13</v>
      </c>
      <c r="G81" s="15">
        <v>1162</v>
      </c>
      <c r="H81" s="58">
        <v>2.4</v>
      </c>
      <c r="I81" s="32">
        <f>+G81*H81</f>
        <v>2788.7999999999997</v>
      </c>
      <c r="J81" s="58">
        <v>4.3099999999999996</v>
      </c>
      <c r="K81" s="32">
        <f t="shared" si="5"/>
        <v>5008.2199999999993</v>
      </c>
      <c r="L81" s="64"/>
    </row>
    <row r="82" spans="1:12">
      <c r="A82" s="65"/>
      <c r="B82" s="60"/>
      <c r="C82" s="66"/>
      <c r="D82" s="43"/>
      <c r="E82" s="10"/>
      <c r="F82" s="17"/>
      <c r="G82" s="15"/>
      <c r="H82" s="58"/>
      <c r="I82" s="32"/>
      <c r="J82" s="58"/>
      <c r="K82" s="32"/>
      <c r="L82" s="64"/>
    </row>
    <row r="83" spans="1:12">
      <c r="A83" s="65">
        <v>12</v>
      </c>
      <c r="B83" s="60" t="s">
        <v>148</v>
      </c>
      <c r="C83" s="66"/>
      <c r="D83" s="43"/>
      <c r="E83" s="10"/>
      <c r="F83" s="17"/>
      <c r="G83" s="15"/>
      <c r="H83" s="58"/>
      <c r="I83" s="32"/>
      <c r="J83" s="58"/>
      <c r="K83" s="32"/>
      <c r="L83" s="64"/>
    </row>
    <row r="84" spans="1:12" ht="25.5">
      <c r="A84" s="65">
        <v>12.01</v>
      </c>
      <c r="B84" s="60" t="s">
        <v>149</v>
      </c>
      <c r="C84" s="66">
        <v>80301017</v>
      </c>
      <c r="D84" s="43" t="s">
        <v>27</v>
      </c>
      <c r="E84" s="10" t="s">
        <v>78</v>
      </c>
      <c r="F84" s="17" t="s">
        <v>12</v>
      </c>
      <c r="G84" s="15">
        <v>16</v>
      </c>
      <c r="H84" s="58">
        <v>49</v>
      </c>
      <c r="I84" s="32">
        <f>+G84*H84</f>
        <v>784</v>
      </c>
      <c r="J84" s="58">
        <v>66.7</v>
      </c>
      <c r="K84" s="32">
        <f t="shared" ref="K84:K88" si="6">+G84*J84</f>
        <v>1067.2</v>
      </c>
      <c r="L84" s="64"/>
    </row>
    <row r="85" spans="1:12">
      <c r="A85" s="65">
        <v>12.02</v>
      </c>
      <c r="B85" s="60" t="s">
        <v>150</v>
      </c>
      <c r="C85" s="66">
        <v>61301001</v>
      </c>
      <c r="D85" s="43" t="s">
        <v>46</v>
      </c>
      <c r="E85" s="10" t="s">
        <v>78</v>
      </c>
      <c r="F85" s="17" t="s">
        <v>12</v>
      </c>
      <c r="G85" s="15">
        <v>450</v>
      </c>
      <c r="H85" s="58">
        <v>9.27</v>
      </c>
      <c r="I85" s="32">
        <f>+G85*H85</f>
        <v>4171.5</v>
      </c>
      <c r="J85" s="58">
        <v>10.54</v>
      </c>
      <c r="K85" s="32">
        <f t="shared" si="6"/>
        <v>4743</v>
      </c>
      <c r="L85" s="64"/>
    </row>
    <row r="86" spans="1:12" ht="25.5">
      <c r="A86" s="65">
        <v>12.03</v>
      </c>
      <c r="B86" s="60" t="s">
        <v>151</v>
      </c>
      <c r="C86" s="66">
        <v>80106001</v>
      </c>
      <c r="D86" s="43" t="s">
        <v>15</v>
      </c>
      <c r="E86" s="10" t="s">
        <v>78</v>
      </c>
      <c r="F86" s="17" t="s">
        <v>12</v>
      </c>
      <c r="G86" s="15">
        <v>100</v>
      </c>
      <c r="H86" s="58">
        <v>4.5599999999999996</v>
      </c>
      <c r="I86" s="32">
        <f>+G86*H86</f>
        <v>455.99999999999994</v>
      </c>
      <c r="J86" s="58">
        <v>6.94</v>
      </c>
      <c r="K86" s="32">
        <f t="shared" si="6"/>
        <v>694</v>
      </c>
      <c r="L86" s="64"/>
    </row>
    <row r="87" spans="1:12" ht="25.5">
      <c r="A87" s="65">
        <v>12.04</v>
      </c>
      <c r="B87" s="60" t="s">
        <v>152</v>
      </c>
      <c r="C87" s="66">
        <v>80107008</v>
      </c>
      <c r="D87" s="43" t="s">
        <v>36</v>
      </c>
      <c r="E87" s="10" t="s">
        <v>234</v>
      </c>
      <c r="F87" s="17" t="s">
        <v>12</v>
      </c>
      <c r="G87" s="15">
        <v>262</v>
      </c>
      <c r="H87" s="58">
        <v>5.2</v>
      </c>
      <c r="I87" s="32">
        <f>+G87*H87</f>
        <v>1362.4</v>
      </c>
      <c r="J87" s="58">
        <v>7.4</v>
      </c>
      <c r="K87" s="32">
        <f t="shared" si="6"/>
        <v>1938.8000000000002</v>
      </c>
      <c r="L87" s="64"/>
    </row>
    <row r="88" spans="1:12">
      <c r="A88" s="65">
        <v>12.059999999999999</v>
      </c>
      <c r="B88" s="60" t="s">
        <v>153</v>
      </c>
      <c r="C88" s="66">
        <v>50610001</v>
      </c>
      <c r="D88" s="43" t="s">
        <v>22</v>
      </c>
      <c r="E88" s="10" t="s">
        <v>78</v>
      </c>
      <c r="F88" s="17" t="s">
        <v>12</v>
      </c>
      <c r="G88" s="15">
        <v>171</v>
      </c>
      <c r="H88" s="58">
        <v>0.12</v>
      </c>
      <c r="I88" s="32">
        <f>+G88*H88</f>
        <v>20.52</v>
      </c>
      <c r="J88" s="58">
        <v>0.47</v>
      </c>
      <c r="K88" s="32">
        <f t="shared" si="6"/>
        <v>80.36999999999999</v>
      </c>
      <c r="L88" s="64"/>
    </row>
    <row r="89" spans="1:12">
      <c r="A89" s="65">
        <v>12.069999999999999</v>
      </c>
      <c r="B89" s="60" t="s">
        <v>154</v>
      </c>
      <c r="C89" s="66"/>
      <c r="D89" s="43"/>
      <c r="E89" s="10"/>
      <c r="F89" s="17"/>
      <c r="G89" s="15"/>
      <c r="H89" s="58"/>
      <c r="I89" s="32"/>
      <c r="J89" s="58"/>
      <c r="K89" s="32"/>
      <c r="L89" s="64"/>
    </row>
    <row r="90" spans="1:12" ht="25.5">
      <c r="A90" s="65">
        <v>12.089999999999998</v>
      </c>
      <c r="B90" s="60" t="s">
        <v>209</v>
      </c>
      <c r="C90" s="66">
        <v>130202001</v>
      </c>
      <c r="D90" s="74" t="s">
        <v>28</v>
      </c>
      <c r="E90" s="75" t="s">
        <v>78</v>
      </c>
      <c r="F90" s="76" t="s">
        <v>12</v>
      </c>
      <c r="G90" s="77">
        <v>52</v>
      </c>
      <c r="H90" s="58">
        <v>5</v>
      </c>
      <c r="I90" s="32">
        <f>+G90*H90</f>
        <v>260</v>
      </c>
      <c r="J90" s="58">
        <v>2.39</v>
      </c>
      <c r="K90" s="32">
        <f>+G90*J90</f>
        <v>124.28</v>
      </c>
      <c r="L90" s="64" t="s">
        <v>238</v>
      </c>
    </row>
    <row r="91" spans="1:12">
      <c r="A91" s="65">
        <v>12.089999999999998</v>
      </c>
      <c r="B91" s="60" t="s">
        <v>208</v>
      </c>
      <c r="C91" s="66">
        <v>130202016</v>
      </c>
      <c r="D91" s="43" t="s">
        <v>219</v>
      </c>
      <c r="E91" s="10" t="s">
        <v>78</v>
      </c>
      <c r="F91" s="17" t="s">
        <v>12</v>
      </c>
      <c r="G91" s="15">
        <v>156</v>
      </c>
      <c r="H91" s="58">
        <v>0.8</v>
      </c>
      <c r="I91" s="32">
        <f>+G91*H91</f>
        <v>124.80000000000001</v>
      </c>
      <c r="J91" s="58">
        <v>0</v>
      </c>
      <c r="K91" s="32"/>
      <c r="L91" s="64"/>
    </row>
    <row r="92" spans="1:12">
      <c r="A92" s="65">
        <v>12.1</v>
      </c>
      <c r="B92" s="60" t="s">
        <v>155</v>
      </c>
      <c r="C92" s="66">
        <v>80201002</v>
      </c>
      <c r="D92" s="43" t="s">
        <v>218</v>
      </c>
      <c r="E92" s="10" t="s">
        <v>78</v>
      </c>
      <c r="F92" s="17" t="s">
        <v>12</v>
      </c>
      <c r="G92" s="15">
        <v>48</v>
      </c>
      <c r="H92" s="58">
        <v>14.2</v>
      </c>
      <c r="I92" s="32">
        <f>+G92*H92</f>
        <v>681.59999999999991</v>
      </c>
      <c r="J92" s="58"/>
      <c r="K92" s="32"/>
      <c r="L92" s="64"/>
    </row>
    <row r="93" spans="1:12">
      <c r="A93" s="65"/>
      <c r="B93" s="60"/>
      <c r="C93" s="66"/>
      <c r="D93" s="43"/>
      <c r="E93" s="10"/>
      <c r="F93" s="17"/>
      <c r="G93" s="15"/>
      <c r="H93" s="58"/>
      <c r="I93" s="32"/>
      <c r="J93" s="58"/>
      <c r="K93" s="32"/>
      <c r="L93" s="64"/>
    </row>
    <row r="94" spans="1:12">
      <c r="A94" s="65">
        <v>13</v>
      </c>
      <c r="B94" s="60" t="s">
        <v>156</v>
      </c>
      <c r="C94" s="66"/>
      <c r="D94" s="43"/>
      <c r="E94" s="10"/>
      <c r="F94" s="17"/>
      <c r="G94" s="15"/>
      <c r="H94" s="58"/>
      <c r="I94" s="32"/>
      <c r="J94" s="58"/>
      <c r="K94" s="32"/>
      <c r="L94" s="64"/>
    </row>
    <row r="95" spans="1:12">
      <c r="A95" s="65"/>
      <c r="B95" s="60"/>
      <c r="C95" s="66"/>
      <c r="D95" s="43"/>
      <c r="E95" s="10"/>
      <c r="F95" s="17"/>
      <c r="G95" s="15"/>
      <c r="H95" s="58"/>
      <c r="I95" s="32"/>
      <c r="J95" s="58"/>
      <c r="K95" s="32"/>
      <c r="L95" s="64"/>
    </row>
    <row r="96" spans="1:12">
      <c r="A96" s="65">
        <v>14</v>
      </c>
      <c r="B96" s="60" t="s">
        <v>157</v>
      </c>
      <c r="C96" s="66"/>
      <c r="D96" s="43"/>
      <c r="E96" s="10"/>
      <c r="F96" s="17"/>
      <c r="G96" s="15"/>
      <c r="H96" s="58"/>
      <c r="I96" s="32"/>
      <c r="J96" s="58"/>
      <c r="K96" s="32"/>
      <c r="L96" s="64"/>
    </row>
    <row r="97" spans="1:12">
      <c r="A97" s="65">
        <v>14.079999999999998</v>
      </c>
      <c r="B97" s="60" t="s">
        <v>210</v>
      </c>
      <c r="C97" s="66">
        <v>50615004</v>
      </c>
      <c r="D97" s="43" t="s">
        <v>43</v>
      </c>
      <c r="E97" s="10" t="s">
        <v>224</v>
      </c>
      <c r="F97" s="17" t="s">
        <v>13</v>
      </c>
      <c r="G97" s="15">
        <v>55</v>
      </c>
      <c r="H97" s="58">
        <v>2.7</v>
      </c>
      <c r="I97" s="32">
        <f>+G97*H97</f>
        <v>148.5</v>
      </c>
      <c r="J97" s="58">
        <v>6.02</v>
      </c>
      <c r="K97" s="32">
        <f>+G97*J97</f>
        <v>331.09999999999997</v>
      </c>
      <c r="L97" s="64"/>
    </row>
    <row r="98" spans="1:12">
      <c r="A98" s="65">
        <v>14.079999999999998</v>
      </c>
      <c r="B98" s="60" t="s">
        <v>211</v>
      </c>
      <c r="C98" s="66">
        <v>72001032</v>
      </c>
      <c r="D98" s="43" t="s">
        <v>48</v>
      </c>
      <c r="E98" s="10" t="s">
        <v>224</v>
      </c>
      <c r="F98" s="17" t="s">
        <v>13</v>
      </c>
      <c r="G98" s="15">
        <v>55</v>
      </c>
      <c r="H98" s="58">
        <v>0.8</v>
      </c>
      <c r="I98" s="32">
        <f>+G98*H98</f>
        <v>44</v>
      </c>
      <c r="J98" s="58"/>
      <c r="K98" s="32"/>
      <c r="L98" s="64"/>
    </row>
    <row r="99" spans="1:12">
      <c r="A99" s="65">
        <v>14.089999999999998</v>
      </c>
      <c r="B99" s="60" t="s">
        <v>158</v>
      </c>
      <c r="C99" s="66">
        <v>910101012</v>
      </c>
      <c r="D99" s="73" t="s">
        <v>230</v>
      </c>
      <c r="E99" s="10" t="s">
        <v>231</v>
      </c>
      <c r="F99" s="17" t="s">
        <v>12</v>
      </c>
      <c r="G99" s="15">
        <v>10</v>
      </c>
      <c r="H99" s="58"/>
      <c r="I99" s="32">
        <f>+G99*H99</f>
        <v>0</v>
      </c>
      <c r="J99" s="58">
        <v>27.44</v>
      </c>
      <c r="K99" s="32">
        <f>+G99*J99</f>
        <v>274.40000000000003</v>
      </c>
      <c r="L99" s="64"/>
    </row>
    <row r="100" spans="1:12">
      <c r="A100" s="65">
        <v>14.099999999999998</v>
      </c>
      <c r="B100" s="60" t="s">
        <v>159</v>
      </c>
      <c r="C100" s="66"/>
      <c r="D100" s="43"/>
      <c r="E100" s="10"/>
      <c r="F100" s="17"/>
      <c r="G100" s="15"/>
      <c r="H100" s="58"/>
      <c r="I100" s="32"/>
      <c r="J100" s="58"/>
      <c r="K100" s="32"/>
      <c r="L100" s="64"/>
    </row>
    <row r="101" spans="1:12">
      <c r="A101" s="65"/>
      <c r="B101" s="60"/>
      <c r="C101" s="66"/>
      <c r="D101" s="43"/>
      <c r="E101" s="10"/>
      <c r="F101" s="17"/>
      <c r="G101" s="15"/>
      <c r="H101" s="58"/>
      <c r="I101" s="32"/>
      <c r="J101" s="58"/>
      <c r="K101" s="32"/>
      <c r="L101" s="64"/>
    </row>
    <row r="102" spans="1:12">
      <c r="A102" s="65"/>
      <c r="B102" s="72" t="s">
        <v>81</v>
      </c>
      <c r="C102" s="66"/>
      <c r="D102" s="43"/>
      <c r="E102" s="10"/>
      <c r="F102" s="17"/>
      <c r="G102" s="15"/>
      <c r="H102" s="58"/>
      <c r="I102" s="32"/>
      <c r="J102" s="58"/>
      <c r="K102" s="32"/>
      <c r="L102" s="64"/>
    </row>
    <row r="103" spans="1:12">
      <c r="A103" s="65" t="s">
        <v>168</v>
      </c>
      <c r="B103" s="60"/>
      <c r="C103" s="66"/>
      <c r="D103" s="43"/>
      <c r="E103" s="10"/>
      <c r="F103" s="17"/>
      <c r="G103" s="15"/>
      <c r="H103" s="58"/>
      <c r="I103" s="32"/>
      <c r="J103" s="58"/>
      <c r="K103" s="32"/>
      <c r="L103" s="64"/>
    </row>
    <row r="104" spans="1:12">
      <c r="A104" s="65">
        <v>5</v>
      </c>
      <c r="B104" s="60" t="s">
        <v>98</v>
      </c>
      <c r="C104" s="66"/>
      <c r="D104" s="43"/>
      <c r="E104" s="10"/>
      <c r="F104" s="17"/>
      <c r="G104" s="15"/>
      <c r="H104" s="58"/>
      <c r="I104" s="32"/>
      <c r="J104" s="58"/>
      <c r="K104" s="32"/>
      <c r="L104" s="64"/>
    </row>
    <row r="105" spans="1:12" ht="25.5">
      <c r="A105" s="65">
        <v>5.0199999999999996</v>
      </c>
      <c r="B105" s="60" t="s">
        <v>99</v>
      </c>
      <c r="C105" s="66">
        <v>40202002</v>
      </c>
      <c r="D105" s="43" t="s">
        <v>51</v>
      </c>
      <c r="E105" s="10" t="s">
        <v>78</v>
      </c>
      <c r="F105" s="17" t="s">
        <v>12</v>
      </c>
      <c r="G105" s="15">
        <v>17</v>
      </c>
      <c r="H105" s="58">
        <v>29.85</v>
      </c>
      <c r="I105" s="32">
        <f>+G105*H105</f>
        <v>507.45000000000005</v>
      </c>
      <c r="J105" s="58">
        <v>35.96</v>
      </c>
      <c r="K105" s="32">
        <f>+G105*J105</f>
        <v>611.32000000000005</v>
      </c>
      <c r="L105" s="64"/>
    </row>
    <row r="106" spans="1:12" ht="25.5">
      <c r="A106" s="65"/>
      <c r="B106" s="60" t="s">
        <v>161</v>
      </c>
      <c r="C106" s="66"/>
      <c r="D106" s="43"/>
      <c r="E106" s="10"/>
      <c r="F106" s="17"/>
      <c r="G106" s="15"/>
      <c r="H106" s="58"/>
      <c r="I106" s="32"/>
      <c r="J106" s="58"/>
      <c r="K106" s="32"/>
      <c r="L106" s="64"/>
    </row>
    <row r="107" spans="1:12" ht="25.5">
      <c r="A107" s="65">
        <v>5.04</v>
      </c>
      <c r="B107" s="60" t="s">
        <v>162</v>
      </c>
      <c r="C107" s="66">
        <v>40201022</v>
      </c>
      <c r="D107" s="43" t="s">
        <v>220</v>
      </c>
      <c r="E107" s="10" t="s">
        <v>78</v>
      </c>
      <c r="F107" s="17" t="s">
        <v>12</v>
      </c>
      <c r="G107" s="15">
        <v>8</v>
      </c>
      <c r="H107" s="58">
        <v>35.869999999999997</v>
      </c>
      <c r="I107" s="32">
        <f>+G107*H107</f>
        <v>286.95999999999998</v>
      </c>
      <c r="J107" s="58"/>
      <c r="K107" s="32"/>
      <c r="L107" s="64"/>
    </row>
    <row r="108" spans="1:12">
      <c r="A108" s="65"/>
      <c r="B108" s="60"/>
      <c r="C108" s="66"/>
      <c r="D108" s="43"/>
      <c r="E108" s="10"/>
      <c r="F108" s="17"/>
      <c r="G108" s="15"/>
      <c r="H108" s="58"/>
      <c r="I108" s="32"/>
      <c r="J108" s="58"/>
      <c r="K108" s="32"/>
      <c r="L108" s="64"/>
    </row>
    <row r="109" spans="1:12">
      <c r="A109" s="65">
        <v>6</v>
      </c>
      <c r="B109" s="60" t="s">
        <v>163</v>
      </c>
      <c r="C109" s="66"/>
      <c r="D109" s="43"/>
      <c r="E109" s="10"/>
      <c r="F109" s="17"/>
      <c r="G109" s="15"/>
      <c r="H109" s="58"/>
      <c r="I109" s="32"/>
      <c r="J109" s="58"/>
      <c r="K109" s="32"/>
      <c r="L109" s="64"/>
    </row>
    <row r="110" spans="1:12" ht="25.5">
      <c r="A110" s="65">
        <v>6.01</v>
      </c>
      <c r="B110" s="60" t="s">
        <v>101</v>
      </c>
      <c r="C110" s="66">
        <v>40104001</v>
      </c>
      <c r="D110" s="43" t="s">
        <v>49</v>
      </c>
      <c r="E110" s="10" t="s">
        <v>78</v>
      </c>
      <c r="F110" s="17" t="s">
        <v>12</v>
      </c>
      <c r="G110" s="15">
        <v>23</v>
      </c>
      <c r="H110" s="58">
        <v>10.64</v>
      </c>
      <c r="I110" s="32">
        <f>+G110*H110</f>
        <v>244.72000000000003</v>
      </c>
      <c r="J110" s="58">
        <v>17.760000000000002</v>
      </c>
      <c r="K110" s="32">
        <f>+G110*J110</f>
        <v>408.48</v>
      </c>
      <c r="L110" s="64"/>
    </row>
    <row r="111" spans="1:12">
      <c r="A111" s="65"/>
      <c r="B111" s="60"/>
      <c r="C111" s="66"/>
      <c r="D111" s="43"/>
      <c r="E111" s="10"/>
      <c r="F111" s="17"/>
      <c r="G111" s="15"/>
      <c r="H111" s="58"/>
      <c r="I111" s="32"/>
      <c r="J111" s="58"/>
      <c r="K111" s="32"/>
      <c r="L111" s="64"/>
    </row>
    <row r="112" spans="1:12">
      <c r="A112" s="65">
        <v>7</v>
      </c>
      <c r="B112" s="60" t="s">
        <v>102</v>
      </c>
      <c r="C112" s="66"/>
      <c r="D112" s="43"/>
      <c r="E112" s="10"/>
      <c r="F112" s="17"/>
      <c r="G112" s="15"/>
      <c r="H112" s="58"/>
      <c r="I112" s="32"/>
      <c r="J112" s="58"/>
      <c r="K112" s="32"/>
      <c r="L112" s="64"/>
    </row>
    <row r="113" spans="1:12">
      <c r="A113" s="65"/>
      <c r="B113" s="60"/>
      <c r="C113" s="66"/>
      <c r="D113" s="43"/>
      <c r="E113" s="10"/>
      <c r="F113" s="17"/>
      <c r="G113" s="15"/>
      <c r="H113" s="58"/>
      <c r="I113" s="32"/>
      <c r="J113" s="58"/>
      <c r="K113" s="32"/>
      <c r="L113" s="64"/>
    </row>
    <row r="114" spans="1:12">
      <c r="A114" s="65">
        <v>8</v>
      </c>
      <c r="B114" s="60" t="s">
        <v>164</v>
      </c>
      <c r="C114" s="66"/>
      <c r="D114" s="43"/>
      <c r="E114" s="10"/>
      <c r="F114" s="17"/>
      <c r="G114" s="15"/>
      <c r="H114" s="58"/>
      <c r="I114" s="32"/>
      <c r="J114" s="58"/>
      <c r="K114" s="32"/>
      <c r="L114" s="64"/>
    </row>
    <row r="115" spans="1:12" ht="25.5">
      <c r="A115" s="65">
        <v>8.01</v>
      </c>
      <c r="B115" s="60" t="s">
        <v>82</v>
      </c>
      <c r="C115" s="66">
        <v>50401003</v>
      </c>
      <c r="D115" s="43" t="s">
        <v>52</v>
      </c>
      <c r="E115" s="10" t="s">
        <v>78</v>
      </c>
      <c r="F115" s="17" t="s">
        <v>12</v>
      </c>
      <c r="G115" s="15">
        <v>47</v>
      </c>
      <c r="H115" s="58">
        <v>6.3</v>
      </c>
      <c r="I115" s="32">
        <f t="shared" ref="I115:I120" si="7">+G115*H115</f>
        <v>296.09999999999997</v>
      </c>
      <c r="J115" s="58">
        <v>10.19</v>
      </c>
      <c r="K115" s="32">
        <f t="shared" ref="K115:K118" si="8">+G115*J115</f>
        <v>478.92999999999995</v>
      </c>
      <c r="L115" s="64"/>
    </row>
    <row r="116" spans="1:12" ht="25.5">
      <c r="A116" s="65">
        <v>8.02</v>
      </c>
      <c r="B116" s="60" t="s">
        <v>107</v>
      </c>
      <c r="C116" s="66">
        <v>80102002</v>
      </c>
      <c r="D116" s="43" t="s">
        <v>23</v>
      </c>
      <c r="E116" s="10" t="s">
        <v>78</v>
      </c>
      <c r="F116" s="17" t="s">
        <v>12</v>
      </c>
      <c r="G116" s="15">
        <v>40</v>
      </c>
      <c r="H116" s="58">
        <v>3.8</v>
      </c>
      <c r="I116" s="32">
        <f t="shared" si="7"/>
        <v>152</v>
      </c>
      <c r="J116" s="58">
        <v>7.77</v>
      </c>
      <c r="K116" s="32">
        <f t="shared" si="8"/>
        <v>310.79999999999995</v>
      </c>
      <c r="L116" s="64"/>
    </row>
    <row r="117" spans="1:12">
      <c r="A117" s="65">
        <v>8.0299999999999994</v>
      </c>
      <c r="B117" s="60" t="s">
        <v>83</v>
      </c>
      <c r="C117" s="66">
        <v>50801004</v>
      </c>
      <c r="D117" s="43" t="s">
        <v>42</v>
      </c>
      <c r="E117" s="10" t="s">
        <v>78</v>
      </c>
      <c r="F117" s="17" t="s">
        <v>13</v>
      </c>
      <c r="G117" s="15">
        <v>227.5</v>
      </c>
      <c r="H117" s="58">
        <v>1.06</v>
      </c>
      <c r="I117" s="32">
        <f t="shared" si="7"/>
        <v>241.15</v>
      </c>
      <c r="J117" s="58">
        <v>1.41</v>
      </c>
      <c r="K117" s="32">
        <f t="shared" si="8"/>
        <v>320.77499999999998</v>
      </c>
      <c r="L117" s="64"/>
    </row>
    <row r="118" spans="1:12">
      <c r="A118" s="65">
        <v>8.0399999999999991</v>
      </c>
      <c r="B118" s="60" t="s">
        <v>113</v>
      </c>
      <c r="C118" s="66">
        <v>50602003</v>
      </c>
      <c r="D118" s="43" t="s">
        <v>32</v>
      </c>
      <c r="E118" s="10" t="s">
        <v>78</v>
      </c>
      <c r="F118" s="17" t="s">
        <v>12</v>
      </c>
      <c r="G118" s="15">
        <v>22</v>
      </c>
      <c r="H118" s="58">
        <v>15</v>
      </c>
      <c r="I118" s="32">
        <f t="shared" si="7"/>
        <v>330</v>
      </c>
      <c r="J118" s="58">
        <v>25.34</v>
      </c>
      <c r="K118" s="32">
        <f t="shared" si="8"/>
        <v>557.48</v>
      </c>
      <c r="L118" s="64"/>
    </row>
    <row r="119" spans="1:12" ht="25.5">
      <c r="A119" s="65">
        <v>8.0499999999999989</v>
      </c>
      <c r="B119" s="60" t="s">
        <v>116</v>
      </c>
      <c r="C119" s="66">
        <v>50402003</v>
      </c>
      <c r="D119" s="43" t="s">
        <v>47</v>
      </c>
      <c r="E119" s="10" t="s">
        <v>78</v>
      </c>
      <c r="F119" s="17" t="s">
        <v>12</v>
      </c>
      <c r="G119" s="15">
        <v>3</v>
      </c>
      <c r="H119" s="58">
        <v>7.87</v>
      </c>
      <c r="I119" s="32">
        <f t="shared" si="7"/>
        <v>23.61</v>
      </c>
      <c r="J119" s="58"/>
      <c r="K119" s="32"/>
      <c r="L119" s="64"/>
    </row>
    <row r="120" spans="1:12">
      <c r="A120" s="65">
        <v>8.0599999999999987</v>
      </c>
      <c r="B120" s="60" t="s">
        <v>115</v>
      </c>
      <c r="C120" s="66">
        <v>131001003</v>
      </c>
      <c r="D120" s="43" t="s">
        <v>72</v>
      </c>
      <c r="E120" s="10" t="s">
        <v>78</v>
      </c>
      <c r="F120" s="17" t="s">
        <v>13</v>
      </c>
      <c r="G120" s="15">
        <v>13.799999999999999</v>
      </c>
      <c r="H120" s="58">
        <v>1.06</v>
      </c>
      <c r="I120" s="32">
        <f t="shared" si="7"/>
        <v>14.628</v>
      </c>
      <c r="J120" s="58"/>
      <c r="K120" s="32"/>
      <c r="L120" s="64"/>
    </row>
    <row r="121" spans="1:12">
      <c r="A121" s="65"/>
      <c r="B121" s="60"/>
      <c r="C121" s="66"/>
      <c r="D121" s="43"/>
      <c r="E121" s="10"/>
      <c r="F121" s="17"/>
      <c r="G121" s="15"/>
      <c r="H121" s="58"/>
      <c r="I121" s="32"/>
      <c r="J121" s="58"/>
      <c r="K121" s="32"/>
      <c r="L121" s="64"/>
    </row>
    <row r="122" spans="1:12">
      <c r="A122" s="65">
        <v>9</v>
      </c>
      <c r="B122" s="60" t="s">
        <v>117</v>
      </c>
      <c r="C122" s="66"/>
      <c r="D122" s="43"/>
      <c r="E122" s="10"/>
      <c r="F122" s="17"/>
      <c r="G122" s="15"/>
      <c r="H122" s="58"/>
      <c r="I122" s="32"/>
      <c r="J122" s="58"/>
      <c r="K122" s="32"/>
      <c r="L122" s="64"/>
    </row>
    <row r="123" spans="1:12" ht="25.5">
      <c r="A123" s="65">
        <v>9.01</v>
      </c>
      <c r="B123" s="60" t="s">
        <v>118</v>
      </c>
      <c r="C123" s="66">
        <v>70602129</v>
      </c>
      <c r="D123" s="43" t="s">
        <v>223</v>
      </c>
      <c r="E123" s="10" t="s">
        <v>233</v>
      </c>
      <c r="F123" s="17" t="s">
        <v>13</v>
      </c>
      <c r="G123" s="15">
        <v>431.5</v>
      </c>
      <c r="H123" s="58">
        <v>5.9</v>
      </c>
      <c r="I123" s="32">
        <f>+G123*H123</f>
        <v>2545.8500000000004</v>
      </c>
      <c r="J123" s="58">
        <v>12.8</v>
      </c>
      <c r="K123" s="32">
        <f>+G123*J123</f>
        <v>5523.2000000000007</v>
      </c>
      <c r="L123" s="64"/>
    </row>
    <row r="124" spans="1:12">
      <c r="A124" s="65"/>
      <c r="B124" s="60"/>
      <c r="C124" s="66"/>
      <c r="D124" s="43"/>
      <c r="E124" s="10"/>
      <c r="F124" s="17"/>
      <c r="G124" s="15"/>
      <c r="H124" s="58"/>
      <c r="I124" s="32"/>
      <c r="J124" s="58"/>
      <c r="K124" s="32"/>
      <c r="L124" s="64"/>
    </row>
    <row r="125" spans="1:12">
      <c r="A125" s="65">
        <v>10</v>
      </c>
      <c r="B125" s="60" t="s">
        <v>119</v>
      </c>
      <c r="C125" s="66"/>
      <c r="D125" s="43"/>
      <c r="E125" s="10"/>
      <c r="F125" s="17"/>
      <c r="G125" s="15"/>
      <c r="H125" s="58"/>
      <c r="I125" s="32"/>
      <c r="J125" s="58"/>
      <c r="K125" s="32"/>
      <c r="L125" s="64"/>
    </row>
    <row r="126" spans="1:12" ht="25.5">
      <c r="A126" s="65">
        <v>10.01</v>
      </c>
      <c r="B126" s="60" t="s">
        <v>120</v>
      </c>
      <c r="C126" s="66">
        <v>60101015</v>
      </c>
      <c r="D126" s="43" t="s">
        <v>18</v>
      </c>
      <c r="E126" s="10" t="s">
        <v>78</v>
      </c>
      <c r="F126" s="17" t="s">
        <v>12</v>
      </c>
      <c r="G126" s="15">
        <v>20</v>
      </c>
      <c r="H126" s="58">
        <v>3.34</v>
      </c>
      <c r="I126" s="32">
        <f t="shared" ref="I126:I132" si="9">+G126*H126</f>
        <v>66.8</v>
      </c>
      <c r="J126" s="58">
        <v>3.86</v>
      </c>
      <c r="K126" s="32">
        <f t="shared" ref="K126:K136" si="10">+G126*J126</f>
        <v>77.2</v>
      </c>
      <c r="L126" s="64"/>
    </row>
    <row r="127" spans="1:12" ht="25.5">
      <c r="A127" s="65">
        <v>10.02</v>
      </c>
      <c r="B127" s="60" t="s">
        <v>122</v>
      </c>
      <c r="C127" s="66">
        <v>60104124</v>
      </c>
      <c r="D127" s="43" t="s">
        <v>69</v>
      </c>
      <c r="E127" s="10" t="s">
        <v>78</v>
      </c>
      <c r="F127" s="17" t="s">
        <v>12</v>
      </c>
      <c r="G127" s="15">
        <v>15</v>
      </c>
      <c r="H127" s="58">
        <v>6.38</v>
      </c>
      <c r="I127" s="32">
        <f t="shared" si="9"/>
        <v>95.7</v>
      </c>
      <c r="J127" s="58">
        <v>6.25</v>
      </c>
      <c r="K127" s="32">
        <f t="shared" si="10"/>
        <v>93.75</v>
      </c>
      <c r="L127" s="64"/>
    </row>
    <row r="128" spans="1:12" ht="25.5">
      <c r="A128" s="65">
        <v>10.029999999999999</v>
      </c>
      <c r="B128" s="60" t="s">
        <v>123</v>
      </c>
      <c r="C128" s="66">
        <v>60104126</v>
      </c>
      <c r="D128" s="43" t="s">
        <v>56</v>
      </c>
      <c r="E128" s="10" t="s">
        <v>78</v>
      </c>
      <c r="F128" s="17" t="s">
        <v>12</v>
      </c>
      <c r="G128" s="15">
        <v>25</v>
      </c>
      <c r="H128" s="58">
        <v>6.9</v>
      </c>
      <c r="I128" s="32">
        <f t="shared" si="9"/>
        <v>172.5</v>
      </c>
      <c r="J128" s="58">
        <v>8.61</v>
      </c>
      <c r="K128" s="32">
        <f t="shared" si="10"/>
        <v>215.25</v>
      </c>
      <c r="L128" s="64"/>
    </row>
    <row r="129" spans="1:12" ht="25.5">
      <c r="A129" s="65">
        <v>10.039999999999999</v>
      </c>
      <c r="B129" s="60" t="s">
        <v>124</v>
      </c>
      <c r="C129" s="66">
        <v>60104128</v>
      </c>
      <c r="D129" s="43" t="s">
        <v>38</v>
      </c>
      <c r="E129" s="10" t="s">
        <v>78</v>
      </c>
      <c r="F129" s="17" t="s">
        <v>12</v>
      </c>
      <c r="G129" s="15">
        <v>30</v>
      </c>
      <c r="H129" s="58">
        <v>7.39</v>
      </c>
      <c r="I129" s="32">
        <f t="shared" si="9"/>
        <v>221.7</v>
      </c>
      <c r="J129" s="58">
        <v>9.14</v>
      </c>
      <c r="K129" s="32">
        <f t="shared" si="10"/>
        <v>274.20000000000005</v>
      </c>
      <c r="L129" s="64"/>
    </row>
    <row r="130" spans="1:12" ht="25.5">
      <c r="A130" s="65">
        <v>10.049999999999999</v>
      </c>
      <c r="B130" s="60" t="s">
        <v>125</v>
      </c>
      <c r="C130" s="66">
        <v>60104129</v>
      </c>
      <c r="D130" s="43" t="s">
        <v>37</v>
      </c>
      <c r="E130" s="10" t="s">
        <v>78</v>
      </c>
      <c r="F130" s="17" t="s">
        <v>12</v>
      </c>
      <c r="G130" s="15">
        <v>15</v>
      </c>
      <c r="H130" s="58">
        <v>8.9700000000000006</v>
      </c>
      <c r="I130" s="32">
        <f t="shared" si="9"/>
        <v>134.55000000000001</v>
      </c>
      <c r="J130" s="58">
        <v>9.82</v>
      </c>
      <c r="K130" s="32">
        <f t="shared" si="10"/>
        <v>147.30000000000001</v>
      </c>
      <c r="L130" s="64"/>
    </row>
    <row r="131" spans="1:12" ht="25.5">
      <c r="A131" s="65">
        <v>10.059999999999999</v>
      </c>
      <c r="B131" s="60" t="s">
        <v>128</v>
      </c>
      <c r="C131" s="66">
        <v>60106051</v>
      </c>
      <c r="D131" s="43" t="s">
        <v>57</v>
      </c>
      <c r="E131" s="10" t="s">
        <v>78</v>
      </c>
      <c r="F131" s="17" t="s">
        <v>12</v>
      </c>
      <c r="G131" s="15">
        <v>7</v>
      </c>
      <c r="H131" s="58">
        <v>8.36</v>
      </c>
      <c r="I131" s="32">
        <f t="shared" si="9"/>
        <v>58.519999999999996</v>
      </c>
      <c r="J131" s="58">
        <v>13.11</v>
      </c>
      <c r="K131" s="32">
        <f t="shared" si="10"/>
        <v>91.77</v>
      </c>
      <c r="L131" s="64"/>
    </row>
    <row r="132" spans="1:12" ht="25.5">
      <c r="A132" s="65">
        <v>10.069999999999999</v>
      </c>
      <c r="B132" s="60" t="s">
        <v>127</v>
      </c>
      <c r="C132" s="66">
        <v>60102066</v>
      </c>
      <c r="D132" s="43" t="s">
        <v>16</v>
      </c>
      <c r="E132" s="10" t="s">
        <v>78</v>
      </c>
      <c r="F132" s="17" t="s">
        <v>12</v>
      </c>
      <c r="G132" s="15">
        <v>60</v>
      </c>
      <c r="H132" s="58">
        <v>7</v>
      </c>
      <c r="I132" s="32">
        <f t="shared" si="9"/>
        <v>420</v>
      </c>
      <c r="J132" s="58">
        <v>18.18</v>
      </c>
      <c r="K132" s="32">
        <f t="shared" si="10"/>
        <v>1090.8</v>
      </c>
      <c r="L132" s="64"/>
    </row>
    <row r="133" spans="1:12">
      <c r="A133" s="65">
        <v>10.079999999999998</v>
      </c>
      <c r="B133" s="60" t="s">
        <v>131</v>
      </c>
      <c r="C133" s="66"/>
      <c r="D133" s="73"/>
      <c r="E133" s="10"/>
      <c r="F133" s="17"/>
      <c r="G133" s="15"/>
      <c r="H133" s="58"/>
      <c r="I133" s="32"/>
      <c r="J133" s="58">
        <v>2.74</v>
      </c>
      <c r="K133" s="32">
        <f t="shared" si="10"/>
        <v>0</v>
      </c>
      <c r="L133" s="64"/>
    </row>
    <row r="134" spans="1:12" ht="25.5">
      <c r="A134" s="65">
        <v>10.089999999999998</v>
      </c>
      <c r="B134" s="60" t="s">
        <v>132</v>
      </c>
      <c r="C134" s="66">
        <v>60401003</v>
      </c>
      <c r="D134" s="43" t="s">
        <v>58</v>
      </c>
      <c r="E134" s="10" t="s">
        <v>78</v>
      </c>
      <c r="F134" s="17" t="s">
        <v>12</v>
      </c>
      <c r="G134" s="15">
        <v>20</v>
      </c>
      <c r="H134" s="58">
        <v>14.93</v>
      </c>
      <c r="I134" s="32">
        <f>+G134*H134</f>
        <v>298.60000000000002</v>
      </c>
      <c r="J134" s="58">
        <v>22.46</v>
      </c>
      <c r="K134" s="32">
        <f t="shared" si="10"/>
        <v>449.20000000000005</v>
      </c>
      <c r="L134" s="64"/>
    </row>
    <row r="135" spans="1:12" ht="25.5">
      <c r="A135" s="65">
        <v>10.099999999999998</v>
      </c>
      <c r="B135" s="60" t="s">
        <v>133</v>
      </c>
      <c r="C135" s="66">
        <v>60202002</v>
      </c>
      <c r="D135" s="43" t="s">
        <v>35</v>
      </c>
      <c r="E135" s="10" t="s">
        <v>78</v>
      </c>
      <c r="F135" s="17" t="s">
        <v>12</v>
      </c>
      <c r="G135" s="15">
        <v>149</v>
      </c>
      <c r="H135" s="58">
        <v>1.28</v>
      </c>
      <c r="I135" s="32">
        <f>+G135*H135</f>
        <v>190.72</v>
      </c>
      <c r="J135" s="58">
        <v>1.67</v>
      </c>
      <c r="K135" s="32">
        <f t="shared" si="10"/>
        <v>248.82999999999998</v>
      </c>
      <c r="L135" s="64"/>
    </row>
    <row r="136" spans="1:12" ht="25.5">
      <c r="A136" s="65">
        <v>10.109999999999998</v>
      </c>
      <c r="B136" s="60" t="s">
        <v>85</v>
      </c>
      <c r="C136" s="66">
        <v>60201006</v>
      </c>
      <c r="D136" s="43" t="s">
        <v>40</v>
      </c>
      <c r="E136" s="10" t="s">
        <v>78</v>
      </c>
      <c r="F136" s="17" t="s">
        <v>12</v>
      </c>
      <c r="G136" s="15">
        <v>212</v>
      </c>
      <c r="H136" s="58">
        <v>1.22</v>
      </c>
      <c r="I136" s="32">
        <f>+G136*H136</f>
        <v>258.64</v>
      </c>
      <c r="J136" s="58">
        <v>1.67</v>
      </c>
      <c r="K136" s="32">
        <f t="shared" si="10"/>
        <v>354.03999999999996</v>
      </c>
      <c r="L136" s="64"/>
    </row>
    <row r="137" spans="1:12">
      <c r="A137" s="65">
        <v>10.129999999999997</v>
      </c>
      <c r="B137" s="60" t="s">
        <v>135</v>
      </c>
      <c r="C137" s="66"/>
      <c r="D137" s="73"/>
      <c r="E137" s="10"/>
      <c r="F137" s="17"/>
      <c r="G137" s="15"/>
      <c r="H137" s="58"/>
      <c r="I137" s="32"/>
      <c r="J137" s="58"/>
      <c r="K137" s="32"/>
      <c r="L137" s="64"/>
    </row>
    <row r="138" spans="1:12" ht="25.5">
      <c r="A138" s="65">
        <v>10.139999999999997</v>
      </c>
      <c r="B138" s="60" t="s">
        <v>136</v>
      </c>
      <c r="C138" s="66"/>
      <c r="D138" s="73"/>
      <c r="E138" s="10"/>
      <c r="F138" s="17"/>
      <c r="G138" s="15"/>
      <c r="H138" s="58"/>
      <c r="I138" s="32"/>
      <c r="J138" s="58"/>
      <c r="K138" s="32"/>
      <c r="L138" s="64"/>
    </row>
    <row r="139" spans="1:12">
      <c r="A139" s="65">
        <v>10.149999999999997</v>
      </c>
      <c r="B139" s="60" t="s">
        <v>137</v>
      </c>
      <c r="C139" s="66"/>
      <c r="D139" s="73"/>
      <c r="E139" s="10"/>
      <c r="F139" s="17"/>
      <c r="G139" s="15"/>
      <c r="H139" s="58"/>
      <c r="I139" s="32"/>
      <c r="J139" s="58"/>
      <c r="K139" s="32"/>
      <c r="L139" s="64"/>
    </row>
    <row r="140" spans="1:12" ht="25.5">
      <c r="A140" s="65">
        <v>10.159999999999997</v>
      </c>
      <c r="B140" s="60" t="s">
        <v>165</v>
      </c>
      <c r="C140" s="66">
        <v>60104130</v>
      </c>
      <c r="D140" s="43" t="s">
        <v>75</v>
      </c>
      <c r="E140" s="10" t="s">
        <v>78</v>
      </c>
      <c r="F140" s="17" t="s">
        <v>12</v>
      </c>
      <c r="G140" s="15">
        <v>6</v>
      </c>
      <c r="H140" s="58">
        <v>11.7</v>
      </c>
      <c r="I140" s="32">
        <f>+G140*H140</f>
        <v>70.199999999999989</v>
      </c>
      <c r="J140" s="58"/>
      <c r="K140" s="32"/>
      <c r="L140" s="64"/>
    </row>
    <row r="141" spans="1:12" ht="25.5">
      <c r="A141" s="65">
        <v>10.169999999999996</v>
      </c>
      <c r="B141" s="60" t="s">
        <v>166</v>
      </c>
      <c r="C141" s="66">
        <v>61601001</v>
      </c>
      <c r="D141" s="43" t="s">
        <v>222</v>
      </c>
      <c r="E141" s="10" t="s">
        <v>78</v>
      </c>
      <c r="F141" s="17" t="s">
        <v>12</v>
      </c>
      <c r="G141" s="15">
        <v>6</v>
      </c>
      <c r="H141" s="58">
        <v>20.190000000000001</v>
      </c>
      <c r="I141" s="32">
        <f>+G141*H141</f>
        <v>121.14000000000001</v>
      </c>
      <c r="J141" s="58"/>
      <c r="K141" s="32"/>
      <c r="L141" s="64"/>
    </row>
    <row r="142" spans="1:12">
      <c r="A142" s="65">
        <v>10.179999999999996</v>
      </c>
      <c r="B142" s="60" t="s">
        <v>167</v>
      </c>
      <c r="C142" s="66">
        <v>130201018</v>
      </c>
      <c r="D142" s="43" t="s">
        <v>228</v>
      </c>
      <c r="E142" s="10" t="s">
        <v>78</v>
      </c>
      <c r="F142" s="17" t="s">
        <v>12</v>
      </c>
      <c r="G142" s="15">
        <v>6</v>
      </c>
      <c r="H142" s="58">
        <v>3.19</v>
      </c>
      <c r="I142" s="32">
        <f>+G142*H142</f>
        <v>19.14</v>
      </c>
      <c r="J142" s="58"/>
      <c r="K142" s="32"/>
      <c r="L142" s="64"/>
    </row>
    <row r="143" spans="1:12">
      <c r="A143" s="65"/>
      <c r="B143" s="60"/>
      <c r="C143" s="66"/>
      <c r="D143" s="73"/>
      <c r="E143" s="10"/>
      <c r="F143" s="17"/>
      <c r="G143" s="15"/>
      <c r="H143" s="58"/>
      <c r="I143" s="32"/>
      <c r="J143" s="58"/>
      <c r="K143" s="32"/>
      <c r="L143" s="64"/>
    </row>
    <row r="144" spans="1:12">
      <c r="A144" s="65">
        <v>11</v>
      </c>
      <c r="B144" s="60" t="s">
        <v>94</v>
      </c>
      <c r="C144" s="66"/>
      <c r="D144" s="73"/>
      <c r="E144" s="10"/>
      <c r="F144" s="17"/>
      <c r="G144" s="15"/>
      <c r="H144" s="58"/>
      <c r="I144" s="32"/>
      <c r="J144" s="58"/>
      <c r="K144" s="32"/>
      <c r="L144" s="64"/>
    </row>
    <row r="145" spans="1:12">
      <c r="A145" s="65">
        <v>11.01</v>
      </c>
      <c r="B145" s="60" t="s">
        <v>86</v>
      </c>
      <c r="C145" s="66"/>
      <c r="D145" s="73"/>
      <c r="E145" s="10"/>
      <c r="F145" s="17"/>
      <c r="G145" s="15"/>
      <c r="H145" s="58"/>
      <c r="I145" s="32"/>
      <c r="J145" s="58"/>
      <c r="K145" s="32"/>
      <c r="L145" s="64"/>
    </row>
    <row r="146" spans="1:12" ht="25.5">
      <c r="A146" s="65">
        <v>11.02</v>
      </c>
      <c r="B146" s="60" t="s">
        <v>87</v>
      </c>
      <c r="C146" s="66">
        <v>70301023</v>
      </c>
      <c r="D146" s="43" t="s">
        <v>44</v>
      </c>
      <c r="E146" s="10" t="s">
        <v>78</v>
      </c>
      <c r="F146" s="17" t="s">
        <v>12</v>
      </c>
      <c r="G146" s="15">
        <v>14</v>
      </c>
      <c r="H146" s="58">
        <v>33</v>
      </c>
      <c r="I146" s="32">
        <f t="shared" ref="I146:I154" si="11">+G146*H146</f>
        <v>462</v>
      </c>
      <c r="J146" s="58">
        <v>46.85</v>
      </c>
      <c r="K146" s="32">
        <f t="shared" ref="K146:K154" si="12">+G146*J146</f>
        <v>655.9</v>
      </c>
      <c r="L146" s="64"/>
    </row>
    <row r="147" spans="1:12" ht="25.5">
      <c r="A147" s="65">
        <v>11.03</v>
      </c>
      <c r="B147" s="60" t="s">
        <v>141</v>
      </c>
      <c r="C147" s="66">
        <v>71002007</v>
      </c>
      <c r="D147" s="43" t="s">
        <v>59</v>
      </c>
      <c r="E147" s="10" t="s">
        <v>78</v>
      </c>
      <c r="F147" s="17" t="s">
        <v>12</v>
      </c>
      <c r="G147" s="15">
        <v>72</v>
      </c>
      <c r="H147" s="58">
        <v>8</v>
      </c>
      <c r="I147" s="32">
        <f t="shared" si="11"/>
        <v>576</v>
      </c>
      <c r="J147" s="58">
        <v>11.69</v>
      </c>
      <c r="K147" s="32">
        <f t="shared" si="12"/>
        <v>841.68</v>
      </c>
      <c r="L147" s="64"/>
    </row>
    <row r="148" spans="1:12">
      <c r="A148" s="65">
        <v>11.04</v>
      </c>
      <c r="B148" s="60" t="s">
        <v>142</v>
      </c>
      <c r="C148" s="66">
        <v>70401004</v>
      </c>
      <c r="D148" s="43" t="s">
        <v>60</v>
      </c>
      <c r="E148" s="10" t="s">
        <v>78</v>
      </c>
      <c r="F148" s="17" t="s">
        <v>12</v>
      </c>
      <c r="G148" s="15">
        <v>21</v>
      </c>
      <c r="H148" s="58">
        <v>0.4</v>
      </c>
      <c r="I148" s="32">
        <f t="shared" si="11"/>
        <v>8.4</v>
      </c>
      <c r="J148" s="58">
        <v>0.71</v>
      </c>
      <c r="K148" s="32">
        <f t="shared" si="12"/>
        <v>14.91</v>
      </c>
      <c r="L148" s="64"/>
    </row>
    <row r="149" spans="1:12">
      <c r="A149" s="65">
        <v>11.049999999999999</v>
      </c>
      <c r="B149" s="60" t="s">
        <v>89</v>
      </c>
      <c r="C149" s="66">
        <v>60202016</v>
      </c>
      <c r="D149" s="43" t="s">
        <v>29</v>
      </c>
      <c r="E149" s="10" t="s">
        <v>78</v>
      </c>
      <c r="F149" s="17" t="s">
        <v>12</v>
      </c>
      <c r="G149" s="15">
        <v>14</v>
      </c>
      <c r="H149" s="58">
        <v>4.5599999999999996</v>
      </c>
      <c r="I149" s="32">
        <f t="shared" si="11"/>
        <v>63.839999999999996</v>
      </c>
      <c r="J149" s="58">
        <v>5.46</v>
      </c>
      <c r="K149" s="32">
        <f t="shared" si="12"/>
        <v>76.44</v>
      </c>
      <c r="L149" s="64"/>
    </row>
    <row r="150" spans="1:12" ht="25.5">
      <c r="A150" s="65">
        <v>11.059999999999999</v>
      </c>
      <c r="B150" s="60" t="s">
        <v>146</v>
      </c>
      <c r="C150" s="66">
        <v>40107002</v>
      </c>
      <c r="D150" s="43" t="s">
        <v>34</v>
      </c>
      <c r="E150" s="10" t="s">
        <v>78</v>
      </c>
      <c r="F150" s="17" t="s">
        <v>12</v>
      </c>
      <c r="G150" s="15">
        <v>14</v>
      </c>
      <c r="H150" s="58">
        <v>9.5</v>
      </c>
      <c r="I150" s="32">
        <f t="shared" si="11"/>
        <v>133</v>
      </c>
      <c r="J150" s="58">
        <v>15.01</v>
      </c>
      <c r="K150" s="32">
        <f t="shared" si="12"/>
        <v>210.14</v>
      </c>
      <c r="L150" s="64"/>
    </row>
    <row r="151" spans="1:12" ht="25.5">
      <c r="A151" s="65">
        <v>11.069999999999999</v>
      </c>
      <c r="B151" s="60" t="s">
        <v>145</v>
      </c>
      <c r="C151" s="66">
        <v>61301053</v>
      </c>
      <c r="D151" s="43" t="s">
        <v>61</v>
      </c>
      <c r="E151" s="10" t="s">
        <v>78</v>
      </c>
      <c r="F151" s="17" t="s">
        <v>13</v>
      </c>
      <c r="G151" s="15">
        <v>14</v>
      </c>
      <c r="H151" s="58">
        <v>17.63</v>
      </c>
      <c r="I151" s="32">
        <f t="shared" si="11"/>
        <v>246.82</v>
      </c>
      <c r="J151" s="58">
        <v>28.99</v>
      </c>
      <c r="K151" s="32">
        <f t="shared" si="12"/>
        <v>405.85999999999996</v>
      </c>
      <c r="L151" s="64"/>
    </row>
    <row r="152" spans="1:12">
      <c r="A152" s="65">
        <v>11.099999999999998</v>
      </c>
      <c r="B152" s="60" t="s">
        <v>84</v>
      </c>
      <c r="C152" s="66">
        <v>61201001</v>
      </c>
      <c r="D152" s="43" t="s">
        <v>33</v>
      </c>
      <c r="E152" s="10" t="s">
        <v>78</v>
      </c>
      <c r="F152" s="17" t="s">
        <v>12</v>
      </c>
      <c r="G152" s="15">
        <v>8</v>
      </c>
      <c r="H152" s="58">
        <v>6</v>
      </c>
      <c r="I152" s="32">
        <f t="shared" si="11"/>
        <v>48</v>
      </c>
      <c r="J152" s="58">
        <v>11.17</v>
      </c>
      <c r="K152" s="32">
        <f t="shared" si="12"/>
        <v>89.36</v>
      </c>
      <c r="L152" s="64"/>
    </row>
    <row r="153" spans="1:12" ht="38.25">
      <c r="A153" s="65">
        <v>11.109999999999998</v>
      </c>
      <c r="B153" s="60" t="s">
        <v>144</v>
      </c>
      <c r="C153" s="66">
        <v>910101012</v>
      </c>
      <c r="D153" s="73" t="s">
        <v>230</v>
      </c>
      <c r="E153" s="10" t="s">
        <v>231</v>
      </c>
      <c r="F153" s="17" t="s">
        <v>12</v>
      </c>
      <c r="G153" s="15">
        <v>14</v>
      </c>
      <c r="H153" s="58">
        <v>55</v>
      </c>
      <c r="I153" s="32">
        <f t="shared" si="11"/>
        <v>770</v>
      </c>
      <c r="J153" s="58">
        <v>81.849999999999994</v>
      </c>
      <c r="K153" s="32">
        <f t="shared" si="12"/>
        <v>1145.8999999999999</v>
      </c>
      <c r="L153" s="64"/>
    </row>
    <row r="154" spans="1:12">
      <c r="A154" s="65">
        <v>11.12</v>
      </c>
      <c r="B154" s="60" t="s">
        <v>147</v>
      </c>
      <c r="C154" s="66">
        <v>70601003</v>
      </c>
      <c r="D154" s="43" t="s">
        <v>21</v>
      </c>
      <c r="E154" s="10" t="s">
        <v>225</v>
      </c>
      <c r="F154" s="17" t="s">
        <v>12</v>
      </c>
      <c r="G154" s="15">
        <v>212</v>
      </c>
      <c r="H154" s="58">
        <v>2.4</v>
      </c>
      <c r="I154" s="32">
        <f t="shared" si="11"/>
        <v>508.79999999999995</v>
      </c>
      <c r="J154" s="58">
        <v>4.3099999999999996</v>
      </c>
      <c r="K154" s="32">
        <f t="shared" si="12"/>
        <v>913.71999999999991</v>
      </c>
      <c r="L154" s="64"/>
    </row>
    <row r="155" spans="1:12">
      <c r="A155" s="65"/>
      <c r="B155" s="60"/>
      <c r="C155" s="66"/>
      <c r="D155" s="73"/>
      <c r="E155" s="10"/>
      <c r="F155" s="17"/>
      <c r="G155" s="15"/>
      <c r="H155" s="58"/>
      <c r="I155" s="32"/>
      <c r="J155" s="58"/>
      <c r="K155" s="32"/>
      <c r="L155" s="64"/>
    </row>
    <row r="156" spans="1:12">
      <c r="A156" s="65">
        <v>12</v>
      </c>
      <c r="B156" s="60" t="s">
        <v>148</v>
      </c>
      <c r="C156" s="66"/>
      <c r="D156" s="73"/>
      <c r="E156" s="10"/>
      <c r="F156" s="17"/>
      <c r="G156" s="15"/>
      <c r="H156" s="58"/>
      <c r="I156" s="32"/>
      <c r="J156" s="58"/>
      <c r="K156" s="32"/>
      <c r="L156" s="64"/>
    </row>
    <row r="157" spans="1:12" ht="25.5">
      <c r="A157" s="65">
        <v>12.01</v>
      </c>
      <c r="B157" s="60" t="s">
        <v>149</v>
      </c>
      <c r="C157" s="66">
        <v>80301017</v>
      </c>
      <c r="D157" s="43" t="s">
        <v>27</v>
      </c>
      <c r="E157" s="10" t="s">
        <v>78</v>
      </c>
      <c r="F157" s="17" t="s">
        <v>12</v>
      </c>
      <c r="G157" s="15">
        <v>45</v>
      </c>
      <c r="H157" s="58">
        <v>49</v>
      </c>
      <c r="I157" s="32">
        <f t="shared" ref="I157:I163" si="13">+G157*H157</f>
        <v>2205</v>
      </c>
      <c r="J157" s="58">
        <v>66.7</v>
      </c>
      <c r="K157" s="32">
        <f t="shared" ref="K157:K162" si="14">+G157*J157</f>
        <v>3001.5</v>
      </c>
      <c r="L157" s="64"/>
    </row>
    <row r="158" spans="1:12">
      <c r="A158" s="65">
        <v>12.03</v>
      </c>
      <c r="B158" s="60" t="s">
        <v>150</v>
      </c>
      <c r="C158" s="66">
        <v>61301001</v>
      </c>
      <c r="D158" s="43" t="s">
        <v>46</v>
      </c>
      <c r="E158" s="10" t="s">
        <v>78</v>
      </c>
      <c r="F158" s="17" t="s">
        <v>12</v>
      </c>
      <c r="G158" s="15">
        <v>117</v>
      </c>
      <c r="H158" s="58">
        <v>9.27</v>
      </c>
      <c r="I158" s="32">
        <f t="shared" si="13"/>
        <v>1084.5899999999999</v>
      </c>
      <c r="J158" s="58">
        <v>10.54</v>
      </c>
      <c r="K158" s="32">
        <f t="shared" si="14"/>
        <v>1233.1799999999998</v>
      </c>
      <c r="L158" s="64"/>
    </row>
    <row r="159" spans="1:12" ht="25.5">
      <c r="A159" s="65">
        <v>12.04</v>
      </c>
      <c r="B159" s="60" t="s">
        <v>151</v>
      </c>
      <c r="C159" s="66">
        <v>80106001</v>
      </c>
      <c r="D159" s="43" t="s">
        <v>15</v>
      </c>
      <c r="E159" s="10" t="s">
        <v>78</v>
      </c>
      <c r="F159" s="17" t="s">
        <v>12</v>
      </c>
      <c r="G159" s="15">
        <v>45</v>
      </c>
      <c r="H159" s="58">
        <v>4.5599999999999996</v>
      </c>
      <c r="I159" s="32">
        <f t="shared" si="13"/>
        <v>205.2</v>
      </c>
      <c r="J159" s="58">
        <v>6.94</v>
      </c>
      <c r="K159" s="32">
        <f t="shared" si="14"/>
        <v>312.3</v>
      </c>
      <c r="L159" s="64"/>
    </row>
    <row r="160" spans="1:12" ht="25.5">
      <c r="A160" s="65">
        <v>12.049999999999999</v>
      </c>
      <c r="B160" s="60" t="s">
        <v>152</v>
      </c>
      <c r="C160" s="66">
        <v>80107008</v>
      </c>
      <c r="D160" s="43" t="s">
        <v>36</v>
      </c>
      <c r="E160" s="10" t="s">
        <v>234</v>
      </c>
      <c r="F160" s="17" t="s">
        <v>12</v>
      </c>
      <c r="G160" s="15">
        <v>101</v>
      </c>
      <c r="H160" s="58">
        <v>5.2</v>
      </c>
      <c r="I160" s="32">
        <f t="shared" si="13"/>
        <v>525.20000000000005</v>
      </c>
      <c r="J160" s="58">
        <v>7.4</v>
      </c>
      <c r="K160" s="32">
        <f t="shared" si="14"/>
        <v>747.40000000000009</v>
      </c>
      <c r="L160" s="64"/>
    </row>
    <row r="161" spans="1:12">
      <c r="A161" s="65">
        <v>12.059999999999999</v>
      </c>
      <c r="B161" s="60" t="s">
        <v>153</v>
      </c>
      <c r="C161" s="66">
        <v>50610001</v>
      </c>
      <c r="D161" s="43" t="s">
        <v>22</v>
      </c>
      <c r="E161" s="10" t="s">
        <v>78</v>
      </c>
      <c r="F161" s="17" t="s">
        <v>12</v>
      </c>
      <c r="G161" s="15">
        <v>40</v>
      </c>
      <c r="H161" s="58">
        <v>0.12</v>
      </c>
      <c r="I161" s="32">
        <f t="shared" si="13"/>
        <v>4.8</v>
      </c>
      <c r="J161" s="58">
        <v>0.47</v>
      </c>
      <c r="K161" s="32">
        <f t="shared" si="14"/>
        <v>18.799999999999997</v>
      </c>
      <c r="L161" s="64"/>
    </row>
    <row r="162" spans="1:12" ht="25.5">
      <c r="A162" s="65">
        <v>12.069999999999999</v>
      </c>
      <c r="B162" s="60" t="s">
        <v>209</v>
      </c>
      <c r="C162" s="66">
        <v>130202001</v>
      </c>
      <c r="D162" s="43" t="s">
        <v>28</v>
      </c>
      <c r="E162" s="10" t="s">
        <v>78</v>
      </c>
      <c r="F162" s="17" t="s">
        <v>12</v>
      </c>
      <c r="G162" s="15">
        <v>20</v>
      </c>
      <c r="H162" s="58">
        <v>5</v>
      </c>
      <c r="I162" s="32">
        <f t="shared" si="13"/>
        <v>100</v>
      </c>
      <c r="J162" s="58">
        <v>2.39</v>
      </c>
      <c r="K162" s="32">
        <f t="shared" si="14"/>
        <v>47.800000000000004</v>
      </c>
      <c r="L162" s="64" t="s">
        <v>238</v>
      </c>
    </row>
    <row r="163" spans="1:12" ht="26.45" customHeight="1">
      <c r="A163" s="65">
        <v>12.069999999999999</v>
      </c>
      <c r="B163" s="60" t="s">
        <v>217</v>
      </c>
      <c r="C163" s="66">
        <v>130202016</v>
      </c>
      <c r="D163" s="43" t="s">
        <v>219</v>
      </c>
      <c r="E163" s="10" t="s">
        <v>78</v>
      </c>
      <c r="F163" s="17" t="s">
        <v>12</v>
      </c>
      <c r="G163" s="15">
        <v>59</v>
      </c>
      <c r="H163" s="58">
        <v>0.8</v>
      </c>
      <c r="I163" s="32">
        <f t="shared" si="13"/>
        <v>47.2</v>
      </c>
      <c r="J163" s="58"/>
      <c r="K163" s="32"/>
      <c r="L163" s="64"/>
    </row>
    <row r="164" spans="1:12">
      <c r="A164" s="65">
        <v>12.079999999999998</v>
      </c>
      <c r="B164" s="60" t="s">
        <v>154</v>
      </c>
      <c r="C164" s="66"/>
      <c r="D164" s="73"/>
      <c r="E164" s="10"/>
      <c r="F164" s="17"/>
      <c r="G164" s="15"/>
      <c r="H164" s="58"/>
      <c r="I164" s="32"/>
      <c r="J164" s="58"/>
      <c r="K164" s="32"/>
      <c r="L164" s="64"/>
    </row>
    <row r="165" spans="1:12">
      <c r="A165" s="65">
        <v>12.1</v>
      </c>
      <c r="B165" s="60" t="s">
        <v>155</v>
      </c>
      <c r="C165" s="66">
        <v>80201002</v>
      </c>
      <c r="D165" s="43" t="s">
        <v>218</v>
      </c>
      <c r="E165" s="10" t="s">
        <v>78</v>
      </c>
      <c r="F165" s="17" t="s">
        <v>12</v>
      </c>
      <c r="G165" s="15">
        <v>135</v>
      </c>
      <c r="H165" s="58">
        <v>14.2</v>
      </c>
      <c r="I165" s="32">
        <f>+G165*H165</f>
        <v>1917</v>
      </c>
      <c r="J165" s="58"/>
      <c r="K165" s="32"/>
      <c r="L165" s="64"/>
    </row>
    <row r="166" spans="1:12">
      <c r="A166" s="65"/>
      <c r="B166" s="60"/>
      <c r="C166" s="66"/>
      <c r="D166" s="73"/>
      <c r="E166" s="10"/>
      <c r="F166" s="17"/>
      <c r="G166" s="15"/>
      <c r="H166" s="58"/>
      <c r="I166" s="32"/>
      <c r="J166" s="58"/>
      <c r="K166" s="32"/>
      <c r="L166" s="64"/>
    </row>
    <row r="167" spans="1:12">
      <c r="A167" s="65"/>
      <c r="B167" s="72" t="s">
        <v>90</v>
      </c>
      <c r="C167" s="66"/>
      <c r="D167" s="73"/>
      <c r="E167" s="10"/>
      <c r="F167" s="17"/>
      <c r="G167" s="15"/>
      <c r="H167" s="58"/>
      <c r="I167" s="32"/>
      <c r="J167" s="58"/>
      <c r="K167" s="32"/>
      <c r="L167" s="64"/>
    </row>
    <row r="168" spans="1:12">
      <c r="A168" s="65"/>
      <c r="B168" s="60"/>
      <c r="C168" s="66"/>
      <c r="D168" s="73"/>
      <c r="E168" s="10"/>
      <c r="F168" s="17"/>
      <c r="G168" s="15"/>
      <c r="H168" s="58"/>
      <c r="I168" s="32"/>
      <c r="J168" s="58"/>
      <c r="K168" s="32"/>
      <c r="L168" s="64"/>
    </row>
    <row r="169" spans="1:12">
      <c r="A169" s="65">
        <v>4</v>
      </c>
      <c r="B169" s="60" t="s">
        <v>91</v>
      </c>
      <c r="C169" s="66"/>
      <c r="D169" s="73"/>
      <c r="E169" s="10"/>
      <c r="F169" s="17"/>
      <c r="G169" s="15"/>
      <c r="H169" s="58"/>
      <c r="I169" s="32"/>
      <c r="J169" s="58"/>
      <c r="K169" s="32"/>
      <c r="L169" s="64"/>
    </row>
    <row r="170" spans="1:12" ht="25.5">
      <c r="A170" s="65">
        <v>4.01</v>
      </c>
      <c r="B170" s="60" t="s">
        <v>169</v>
      </c>
      <c r="C170" s="66">
        <v>50606001</v>
      </c>
      <c r="D170" s="43" t="s">
        <v>63</v>
      </c>
      <c r="E170" s="10" t="s">
        <v>78</v>
      </c>
      <c r="F170" s="17" t="s">
        <v>12</v>
      </c>
      <c r="G170" s="15">
        <v>182</v>
      </c>
      <c r="H170" s="58">
        <v>6.38</v>
      </c>
      <c r="I170" s="32">
        <f>+G170*H170</f>
        <v>1161.1600000000001</v>
      </c>
      <c r="J170" s="58">
        <v>12</v>
      </c>
      <c r="K170" s="32">
        <f t="shared" ref="K170:K171" si="15">+G170*J170</f>
        <v>2184</v>
      </c>
      <c r="L170" s="64"/>
    </row>
    <row r="171" spans="1:12" ht="25.5">
      <c r="A171" s="65">
        <v>4.0199999999999996</v>
      </c>
      <c r="B171" s="60" t="s">
        <v>170</v>
      </c>
      <c r="C171" s="66">
        <v>50601009</v>
      </c>
      <c r="D171" s="43" t="s">
        <v>64</v>
      </c>
      <c r="E171" s="10" t="s">
        <v>78</v>
      </c>
      <c r="F171" s="17" t="s">
        <v>12</v>
      </c>
      <c r="G171" s="15">
        <v>287</v>
      </c>
      <c r="H171" s="58">
        <v>12</v>
      </c>
      <c r="I171" s="32">
        <f>+G171*H171</f>
        <v>3444</v>
      </c>
      <c r="J171" s="58">
        <v>16.87</v>
      </c>
      <c r="K171" s="32">
        <f t="shared" si="15"/>
        <v>4841.6900000000005</v>
      </c>
      <c r="L171" s="64"/>
    </row>
    <row r="172" spans="1:12" ht="25.5">
      <c r="A172" s="65">
        <v>4.0299999999999994</v>
      </c>
      <c r="B172" s="60" t="s">
        <v>171</v>
      </c>
      <c r="C172" s="66"/>
      <c r="D172" s="73"/>
      <c r="E172" s="10"/>
      <c r="F172" s="17"/>
      <c r="G172" s="15"/>
      <c r="H172" s="58"/>
      <c r="I172" s="32"/>
      <c r="J172" s="58"/>
      <c r="K172" s="32"/>
      <c r="L172" s="64"/>
    </row>
    <row r="173" spans="1:12" ht="25.5">
      <c r="A173" s="65">
        <v>4.0399999999999991</v>
      </c>
      <c r="B173" s="60" t="s">
        <v>172</v>
      </c>
      <c r="C173" s="66">
        <v>50102012</v>
      </c>
      <c r="D173" s="43" t="s">
        <v>50</v>
      </c>
      <c r="E173" s="10" t="s">
        <v>234</v>
      </c>
      <c r="F173" s="17" t="s">
        <v>12</v>
      </c>
      <c r="G173" s="15">
        <v>27</v>
      </c>
      <c r="H173" s="58">
        <v>3.5</v>
      </c>
      <c r="I173" s="32">
        <f t="shared" ref="I173:I179" si="16">+G173*H173</f>
        <v>94.5</v>
      </c>
      <c r="J173" s="58">
        <v>12</v>
      </c>
      <c r="K173" s="32">
        <f t="shared" ref="K173:K179" si="17">+G173*J173</f>
        <v>324</v>
      </c>
      <c r="L173" s="64"/>
    </row>
    <row r="174" spans="1:12">
      <c r="A174" s="65">
        <v>4.0499999999999989</v>
      </c>
      <c r="B174" s="60" t="s">
        <v>173</v>
      </c>
      <c r="C174" s="66">
        <v>50101018</v>
      </c>
      <c r="D174" s="43" t="s">
        <v>25</v>
      </c>
      <c r="E174" s="10" t="s">
        <v>235</v>
      </c>
      <c r="F174" s="17" t="s">
        <v>12</v>
      </c>
      <c r="G174" s="15">
        <v>12</v>
      </c>
      <c r="H174" s="58">
        <v>7.6</v>
      </c>
      <c r="I174" s="32">
        <f t="shared" si="16"/>
        <v>91.199999999999989</v>
      </c>
      <c r="J174" s="58">
        <v>16.87</v>
      </c>
      <c r="K174" s="32">
        <f t="shared" si="17"/>
        <v>202.44</v>
      </c>
      <c r="L174" s="64"/>
    </row>
    <row r="175" spans="1:12" ht="25.5">
      <c r="A175" s="65">
        <v>4.0599999999999987</v>
      </c>
      <c r="B175" s="60" t="s">
        <v>174</v>
      </c>
      <c r="C175" s="66">
        <v>50102013</v>
      </c>
      <c r="D175" s="43" t="s">
        <v>65</v>
      </c>
      <c r="E175" s="10" t="s">
        <v>235</v>
      </c>
      <c r="F175" s="17" t="s">
        <v>12</v>
      </c>
      <c r="G175" s="15">
        <v>232</v>
      </c>
      <c r="H175" s="58">
        <v>5.5</v>
      </c>
      <c r="I175" s="32">
        <f t="shared" si="16"/>
        <v>1276</v>
      </c>
      <c r="J175" s="58">
        <v>5.21</v>
      </c>
      <c r="K175" s="32">
        <f t="shared" si="17"/>
        <v>1208.72</v>
      </c>
      <c r="L175" s="64"/>
    </row>
    <row r="176" spans="1:12">
      <c r="A176" s="65">
        <v>4.0699999999999985</v>
      </c>
      <c r="B176" s="60" t="s">
        <v>175</v>
      </c>
      <c r="C176" s="66">
        <v>131002012</v>
      </c>
      <c r="D176" s="43" t="s">
        <v>26</v>
      </c>
      <c r="E176" s="10" t="s">
        <v>78</v>
      </c>
      <c r="F176" s="17" t="s">
        <v>12</v>
      </c>
      <c r="G176" s="15">
        <v>2278</v>
      </c>
      <c r="H176" s="58">
        <v>0.3</v>
      </c>
      <c r="I176" s="32">
        <f t="shared" si="16"/>
        <v>683.4</v>
      </c>
      <c r="J176" s="58">
        <v>7.04</v>
      </c>
      <c r="K176" s="32">
        <f t="shared" si="17"/>
        <v>16037.12</v>
      </c>
      <c r="L176" s="64"/>
    </row>
    <row r="177" spans="1:12">
      <c r="A177" s="65">
        <v>4.0999999999999979</v>
      </c>
      <c r="B177" s="60" t="s">
        <v>176</v>
      </c>
      <c r="C177" s="66">
        <v>50602003</v>
      </c>
      <c r="D177" s="43" t="s">
        <v>32</v>
      </c>
      <c r="E177" s="10" t="s">
        <v>78</v>
      </c>
      <c r="F177" s="17" t="s">
        <v>12</v>
      </c>
      <c r="G177" s="15">
        <v>9</v>
      </c>
      <c r="H177" s="58">
        <v>15</v>
      </c>
      <c r="I177" s="32">
        <f t="shared" si="16"/>
        <v>135</v>
      </c>
      <c r="J177" s="58">
        <v>9.06</v>
      </c>
      <c r="K177" s="32">
        <f t="shared" si="17"/>
        <v>81.540000000000006</v>
      </c>
      <c r="L177" s="64"/>
    </row>
    <row r="178" spans="1:12">
      <c r="A178" s="65">
        <v>4.1099999999999977</v>
      </c>
      <c r="B178" s="60" t="s">
        <v>177</v>
      </c>
      <c r="C178" s="66">
        <v>131001003</v>
      </c>
      <c r="D178" s="43" t="s">
        <v>72</v>
      </c>
      <c r="E178" s="10" t="s">
        <v>78</v>
      </c>
      <c r="F178" s="17" t="s">
        <v>13</v>
      </c>
      <c r="G178" s="15">
        <v>9</v>
      </c>
      <c r="H178" s="58">
        <v>1.06</v>
      </c>
      <c r="I178" s="32">
        <f t="shared" si="16"/>
        <v>9.5400000000000009</v>
      </c>
      <c r="J178" s="58">
        <v>10.95</v>
      </c>
      <c r="K178" s="32">
        <f t="shared" si="17"/>
        <v>98.55</v>
      </c>
      <c r="L178" s="64"/>
    </row>
    <row r="179" spans="1:12" ht="25.5">
      <c r="A179" s="65">
        <v>4.1199999999999974</v>
      </c>
      <c r="B179" s="60" t="s">
        <v>178</v>
      </c>
      <c r="C179" s="66">
        <v>40107002</v>
      </c>
      <c r="D179" s="43" t="s">
        <v>34</v>
      </c>
      <c r="E179" s="10" t="s">
        <v>78</v>
      </c>
      <c r="F179" s="17" t="s">
        <v>12</v>
      </c>
      <c r="G179" s="15">
        <v>9</v>
      </c>
      <c r="H179" s="58">
        <v>9.5</v>
      </c>
      <c r="I179" s="32">
        <f t="shared" si="16"/>
        <v>85.5</v>
      </c>
      <c r="J179" s="58">
        <v>0.4</v>
      </c>
      <c r="K179" s="32">
        <f t="shared" si="17"/>
        <v>3.6</v>
      </c>
      <c r="L179" s="64"/>
    </row>
    <row r="180" spans="1:12">
      <c r="A180" s="65"/>
      <c r="B180" s="60"/>
      <c r="C180" s="66"/>
      <c r="D180" s="73"/>
      <c r="E180" s="10"/>
      <c r="F180" s="17"/>
      <c r="G180" s="15"/>
      <c r="H180" s="58"/>
      <c r="I180" s="32"/>
      <c r="J180" s="58"/>
      <c r="K180" s="32"/>
      <c r="L180" s="64"/>
    </row>
    <row r="181" spans="1:12">
      <c r="A181" s="65">
        <v>5</v>
      </c>
      <c r="B181" s="60" t="s">
        <v>92</v>
      </c>
      <c r="C181" s="66"/>
      <c r="D181" s="73"/>
      <c r="E181" s="10"/>
      <c r="F181" s="17"/>
      <c r="G181" s="15"/>
      <c r="H181" s="58"/>
      <c r="I181" s="32"/>
      <c r="J181" s="58"/>
      <c r="K181" s="32"/>
      <c r="L181" s="64"/>
    </row>
    <row r="182" spans="1:12" ht="25.5">
      <c r="A182" s="65">
        <v>5.0399999999999991</v>
      </c>
      <c r="B182" s="60" t="s">
        <v>118</v>
      </c>
      <c r="C182" s="66">
        <v>70602129</v>
      </c>
      <c r="D182" s="43" t="s">
        <v>223</v>
      </c>
      <c r="E182" s="10" t="s">
        <v>233</v>
      </c>
      <c r="F182" s="17" t="s">
        <v>13</v>
      </c>
      <c r="G182" s="15">
        <v>912</v>
      </c>
      <c r="H182" s="58">
        <v>5.9</v>
      </c>
      <c r="I182" s="32">
        <f>+G182*H182</f>
        <v>5380.8</v>
      </c>
      <c r="J182" s="58">
        <v>12.8</v>
      </c>
      <c r="K182" s="32">
        <f>+G182*J182</f>
        <v>11673.6</v>
      </c>
      <c r="L182" s="64"/>
    </row>
    <row r="183" spans="1:12">
      <c r="A183" s="65"/>
      <c r="B183" s="60"/>
      <c r="C183" s="66"/>
      <c r="D183" s="73"/>
      <c r="E183" s="10"/>
      <c r="F183" s="17"/>
      <c r="G183" s="15"/>
      <c r="H183" s="58"/>
      <c r="I183" s="32"/>
      <c r="J183" s="58"/>
      <c r="K183" s="32"/>
      <c r="L183" s="64"/>
    </row>
    <row r="184" spans="1:12">
      <c r="A184" s="65">
        <v>6</v>
      </c>
      <c r="B184" s="60" t="s">
        <v>93</v>
      </c>
      <c r="C184" s="66"/>
      <c r="D184" s="73"/>
      <c r="E184" s="10"/>
      <c r="F184" s="17"/>
      <c r="G184" s="15"/>
      <c r="H184" s="58"/>
      <c r="I184" s="32"/>
      <c r="J184" s="58"/>
      <c r="K184" s="32"/>
      <c r="L184" s="64"/>
    </row>
    <row r="185" spans="1:12" ht="38.25">
      <c r="A185" s="65">
        <v>6.01</v>
      </c>
      <c r="B185" s="60" t="s">
        <v>179</v>
      </c>
      <c r="C185" s="66"/>
      <c r="D185" s="73"/>
      <c r="E185" s="10"/>
      <c r="F185" s="17"/>
      <c r="G185" s="15"/>
      <c r="H185" s="58"/>
      <c r="I185" s="32"/>
      <c r="J185" s="58"/>
      <c r="K185" s="32"/>
      <c r="L185" s="64"/>
    </row>
    <row r="186" spans="1:12" ht="25.5">
      <c r="A186" s="65">
        <v>6.02</v>
      </c>
      <c r="B186" s="60" t="s">
        <v>212</v>
      </c>
      <c r="C186" s="66">
        <v>120201002</v>
      </c>
      <c r="D186" s="43" t="s">
        <v>66</v>
      </c>
      <c r="E186" s="10" t="s">
        <v>78</v>
      </c>
      <c r="F186" s="17" t="s">
        <v>12</v>
      </c>
      <c r="G186" s="15">
        <v>80</v>
      </c>
      <c r="H186" s="58">
        <v>28.6</v>
      </c>
      <c r="I186" s="32">
        <f>+G186*H186</f>
        <v>2288</v>
      </c>
      <c r="J186" s="58">
        <v>66.86</v>
      </c>
      <c r="K186" s="32">
        <f>+G186*J186</f>
        <v>5348.8</v>
      </c>
      <c r="L186" s="64"/>
    </row>
    <row r="187" spans="1:12">
      <c r="A187" s="65">
        <v>6.02</v>
      </c>
      <c r="B187" s="60" t="s">
        <v>213</v>
      </c>
      <c r="C187" s="66">
        <v>910101012</v>
      </c>
      <c r="D187" s="73" t="s">
        <v>230</v>
      </c>
      <c r="E187" s="10" t="s">
        <v>231</v>
      </c>
      <c r="F187" s="17" t="s">
        <v>12</v>
      </c>
      <c r="G187" s="15">
        <f>80*2</f>
        <v>160</v>
      </c>
      <c r="H187" s="58">
        <v>16</v>
      </c>
      <c r="I187" s="32">
        <f>+G187*H187</f>
        <v>2560</v>
      </c>
      <c r="J187" s="58"/>
      <c r="K187" s="32"/>
      <c r="L187" s="64"/>
    </row>
    <row r="188" spans="1:12" ht="25.5">
      <c r="A188" s="65">
        <v>6.0299999999999994</v>
      </c>
      <c r="B188" s="60" t="s">
        <v>180</v>
      </c>
      <c r="C188" s="66"/>
      <c r="D188" s="73"/>
      <c r="E188" s="10"/>
      <c r="F188" s="17"/>
      <c r="G188" s="15"/>
      <c r="H188" s="58"/>
      <c r="I188" s="32"/>
      <c r="J188" s="58"/>
      <c r="K188" s="32"/>
      <c r="L188" s="64"/>
    </row>
    <row r="189" spans="1:12">
      <c r="A189" s="65">
        <v>6.0399999999999991</v>
      </c>
      <c r="B189" s="60" t="s">
        <v>181</v>
      </c>
      <c r="C189" s="66"/>
      <c r="D189" s="73"/>
      <c r="E189" s="10"/>
      <c r="F189" s="17"/>
      <c r="G189" s="15"/>
      <c r="H189" s="58"/>
      <c r="I189" s="32"/>
      <c r="J189" s="58"/>
      <c r="K189" s="32"/>
      <c r="L189" s="64"/>
    </row>
    <row r="190" spans="1:12" ht="25.5">
      <c r="A190" s="65">
        <v>6.0499999999999989</v>
      </c>
      <c r="B190" s="60" t="s">
        <v>182</v>
      </c>
      <c r="C190" s="66">
        <v>120401001</v>
      </c>
      <c r="D190" s="43" t="s">
        <v>67</v>
      </c>
      <c r="E190" s="10" t="s">
        <v>78</v>
      </c>
      <c r="F190" s="17" t="s">
        <v>12</v>
      </c>
      <c r="G190" s="15">
        <v>80</v>
      </c>
      <c r="H190" s="58">
        <v>3.89</v>
      </c>
      <c r="I190" s="32">
        <f>+G190*H190</f>
        <v>311.2</v>
      </c>
      <c r="J190" s="58">
        <v>3.31</v>
      </c>
      <c r="K190" s="32">
        <f t="shared" ref="K190:K192" si="18">+G190*J190</f>
        <v>264.8</v>
      </c>
      <c r="L190" s="64"/>
    </row>
    <row r="191" spans="1:12" ht="25.5">
      <c r="A191" s="65">
        <v>6.0599999999999987</v>
      </c>
      <c r="B191" s="60" t="s">
        <v>172</v>
      </c>
      <c r="C191" s="66">
        <v>50102012</v>
      </c>
      <c r="D191" s="43" t="s">
        <v>50</v>
      </c>
      <c r="E191" s="10" t="s">
        <v>234</v>
      </c>
      <c r="F191" s="17" t="s">
        <v>12</v>
      </c>
      <c r="G191" s="15">
        <v>143</v>
      </c>
      <c r="H191" s="58">
        <v>3.5</v>
      </c>
      <c r="I191" s="32">
        <f>+G191*H191</f>
        <v>500.5</v>
      </c>
      <c r="J191" s="58">
        <v>7.04</v>
      </c>
      <c r="K191" s="32">
        <f t="shared" si="18"/>
        <v>1006.72</v>
      </c>
      <c r="L191" s="64"/>
    </row>
    <row r="192" spans="1:12" ht="25.5">
      <c r="A192" s="65">
        <v>6.0699999999999985</v>
      </c>
      <c r="B192" s="60" t="s">
        <v>171</v>
      </c>
      <c r="C192" s="66">
        <v>50101019</v>
      </c>
      <c r="D192" s="43" t="s">
        <v>24</v>
      </c>
      <c r="E192" s="10" t="s">
        <v>235</v>
      </c>
      <c r="F192" s="17" t="s">
        <v>12</v>
      </c>
      <c r="G192" s="15">
        <v>17</v>
      </c>
      <c r="H192" s="58">
        <v>4.4400000000000004</v>
      </c>
      <c r="I192" s="32">
        <f>+G192*H192</f>
        <v>75.48</v>
      </c>
      <c r="J192" s="58">
        <v>5.21</v>
      </c>
      <c r="K192" s="32">
        <f t="shared" si="18"/>
        <v>88.57</v>
      </c>
      <c r="L192" s="64"/>
    </row>
    <row r="193" spans="1:12">
      <c r="A193" s="65"/>
      <c r="B193" s="60"/>
      <c r="C193" s="66"/>
      <c r="D193" s="73"/>
      <c r="E193" s="10"/>
      <c r="F193" s="17"/>
      <c r="G193" s="15"/>
      <c r="H193" s="58"/>
      <c r="I193" s="32"/>
      <c r="J193" s="58"/>
      <c r="K193" s="32"/>
      <c r="L193" s="64"/>
    </row>
    <row r="194" spans="1:12">
      <c r="A194" s="65">
        <v>7</v>
      </c>
      <c r="B194" s="60" t="s">
        <v>94</v>
      </c>
      <c r="C194" s="66"/>
      <c r="D194" s="73"/>
      <c r="E194" s="10"/>
      <c r="F194" s="17"/>
      <c r="G194" s="15"/>
      <c r="H194" s="58"/>
      <c r="I194" s="32"/>
      <c r="J194" s="58"/>
      <c r="K194" s="32"/>
      <c r="L194" s="64"/>
    </row>
    <row r="195" spans="1:12">
      <c r="A195" s="65">
        <v>7.01</v>
      </c>
      <c r="B195" s="60" t="s">
        <v>183</v>
      </c>
      <c r="C195" s="66"/>
      <c r="D195" s="73"/>
      <c r="E195" s="10"/>
      <c r="F195" s="17"/>
      <c r="G195" s="15"/>
      <c r="H195" s="58"/>
      <c r="I195" s="32"/>
      <c r="J195" s="58"/>
      <c r="K195" s="32"/>
      <c r="L195" s="64"/>
    </row>
    <row r="196" spans="1:12" ht="25.5">
      <c r="A196" s="65">
        <v>7.02</v>
      </c>
      <c r="B196" s="60" t="s">
        <v>184</v>
      </c>
      <c r="C196" s="66">
        <v>70501038</v>
      </c>
      <c r="D196" s="43" t="s">
        <v>229</v>
      </c>
      <c r="E196" s="10" t="s">
        <v>78</v>
      </c>
      <c r="F196" s="17" t="s">
        <v>12</v>
      </c>
      <c r="G196" s="15">
        <v>117</v>
      </c>
      <c r="H196" s="58">
        <v>7.81</v>
      </c>
      <c r="I196" s="32">
        <f t="shared" ref="I196:I206" si="19">+G196*H196</f>
        <v>913.77</v>
      </c>
      <c r="J196" s="58">
        <v>13.17</v>
      </c>
      <c r="K196" s="32">
        <f t="shared" ref="K196:K206" si="20">+G196*J196</f>
        <v>1540.89</v>
      </c>
      <c r="L196" s="64"/>
    </row>
    <row r="197" spans="1:12" ht="25.5">
      <c r="A197" s="65">
        <v>7.0299999999999994</v>
      </c>
      <c r="B197" s="60" t="s">
        <v>185</v>
      </c>
      <c r="C197" s="66">
        <v>70501039</v>
      </c>
      <c r="D197" s="43" t="s">
        <v>45</v>
      </c>
      <c r="E197" s="10" t="s">
        <v>78</v>
      </c>
      <c r="F197" s="17" t="s">
        <v>12</v>
      </c>
      <c r="G197" s="15">
        <v>3</v>
      </c>
      <c r="H197" s="58">
        <v>7.9</v>
      </c>
      <c r="I197" s="32">
        <f t="shared" si="19"/>
        <v>23.700000000000003</v>
      </c>
      <c r="J197" s="58">
        <v>14.23</v>
      </c>
      <c r="K197" s="32">
        <f t="shared" si="20"/>
        <v>42.69</v>
      </c>
      <c r="L197" s="64"/>
    </row>
    <row r="198" spans="1:12" ht="25.5">
      <c r="A198" s="65">
        <v>7.0399999999999991</v>
      </c>
      <c r="B198" s="60" t="s">
        <v>87</v>
      </c>
      <c r="C198" s="66">
        <v>70301023</v>
      </c>
      <c r="D198" s="43" t="s">
        <v>44</v>
      </c>
      <c r="E198" s="10" t="s">
        <v>78</v>
      </c>
      <c r="F198" s="17" t="s">
        <v>12</v>
      </c>
      <c r="G198" s="15">
        <v>120</v>
      </c>
      <c r="H198" s="58">
        <v>33</v>
      </c>
      <c r="I198" s="32">
        <f t="shared" si="19"/>
        <v>3960</v>
      </c>
      <c r="J198" s="58">
        <v>46.85</v>
      </c>
      <c r="K198" s="32">
        <f t="shared" si="20"/>
        <v>5622</v>
      </c>
      <c r="L198" s="64"/>
    </row>
    <row r="199" spans="1:12">
      <c r="A199" s="65">
        <v>7.0499999999999989</v>
      </c>
      <c r="B199" s="60" t="s">
        <v>89</v>
      </c>
      <c r="C199" s="66">
        <v>60202016</v>
      </c>
      <c r="D199" s="43" t="s">
        <v>29</v>
      </c>
      <c r="E199" s="10" t="s">
        <v>78</v>
      </c>
      <c r="F199" s="17" t="s">
        <v>12</v>
      </c>
      <c r="G199" s="15">
        <v>120</v>
      </c>
      <c r="H199" s="58">
        <v>4.5599999999999996</v>
      </c>
      <c r="I199" s="32">
        <f t="shared" si="19"/>
        <v>547.19999999999993</v>
      </c>
      <c r="J199" s="58">
        <v>5.46</v>
      </c>
      <c r="K199" s="32">
        <f t="shared" si="20"/>
        <v>655.20000000000005</v>
      </c>
      <c r="L199" s="64"/>
    </row>
    <row r="200" spans="1:12" ht="25.5">
      <c r="A200" s="65">
        <v>7.0599999999999987</v>
      </c>
      <c r="B200" s="60" t="s">
        <v>141</v>
      </c>
      <c r="C200" s="66">
        <v>71002007</v>
      </c>
      <c r="D200" s="43" t="s">
        <v>59</v>
      </c>
      <c r="E200" s="10" t="s">
        <v>78</v>
      </c>
      <c r="F200" s="17" t="s">
        <v>12</v>
      </c>
      <c r="G200" s="15">
        <v>240</v>
      </c>
      <c r="H200" s="58">
        <v>8</v>
      </c>
      <c r="I200" s="32">
        <f t="shared" si="19"/>
        <v>1920</v>
      </c>
      <c r="J200" s="58">
        <v>11.69</v>
      </c>
      <c r="K200" s="32">
        <f t="shared" si="20"/>
        <v>2805.6</v>
      </c>
      <c r="L200" s="64"/>
    </row>
    <row r="201" spans="1:12" ht="25.5">
      <c r="A201" s="65">
        <v>7.0699999999999985</v>
      </c>
      <c r="B201" s="60" t="s">
        <v>85</v>
      </c>
      <c r="C201" s="66">
        <v>60201006</v>
      </c>
      <c r="D201" s="43" t="s">
        <v>40</v>
      </c>
      <c r="E201" s="10" t="s">
        <v>78</v>
      </c>
      <c r="F201" s="17" t="s">
        <v>12</v>
      </c>
      <c r="G201" s="15">
        <v>240</v>
      </c>
      <c r="H201" s="58">
        <v>1.22</v>
      </c>
      <c r="I201" s="32">
        <f t="shared" si="19"/>
        <v>292.8</v>
      </c>
      <c r="J201" s="58">
        <v>1.67</v>
      </c>
      <c r="K201" s="32">
        <f t="shared" si="20"/>
        <v>400.79999999999995</v>
      </c>
      <c r="L201" s="64"/>
    </row>
    <row r="202" spans="1:12" ht="38.25">
      <c r="A202" s="65">
        <v>7.0799999999999983</v>
      </c>
      <c r="B202" s="60" t="s">
        <v>186</v>
      </c>
      <c r="C202" s="66">
        <v>910101012</v>
      </c>
      <c r="D202" s="73" t="s">
        <v>230</v>
      </c>
      <c r="E202" s="10" t="s">
        <v>231</v>
      </c>
      <c r="F202" s="17" t="s">
        <v>12</v>
      </c>
      <c r="G202" s="15">
        <v>27</v>
      </c>
      <c r="H202" s="58">
        <v>79</v>
      </c>
      <c r="I202" s="32">
        <f t="shared" si="19"/>
        <v>2133</v>
      </c>
      <c r="J202" s="58">
        <v>105.33</v>
      </c>
      <c r="K202" s="32">
        <f t="shared" si="20"/>
        <v>2843.91</v>
      </c>
      <c r="L202" s="64"/>
    </row>
    <row r="203" spans="1:12">
      <c r="A203" s="65">
        <v>7.0899999999999981</v>
      </c>
      <c r="B203" s="60" t="s">
        <v>88</v>
      </c>
      <c r="C203" s="66">
        <v>70401003</v>
      </c>
      <c r="D203" s="43" t="s">
        <v>19</v>
      </c>
      <c r="E203" s="10" t="s">
        <v>78</v>
      </c>
      <c r="F203" s="17" t="s">
        <v>13</v>
      </c>
      <c r="G203" s="15">
        <v>360</v>
      </c>
      <c r="H203" s="58">
        <v>0.43</v>
      </c>
      <c r="I203" s="32">
        <f t="shared" si="19"/>
        <v>154.80000000000001</v>
      </c>
      <c r="J203" s="58">
        <v>0.69</v>
      </c>
      <c r="K203" s="32">
        <f t="shared" si="20"/>
        <v>248.39999999999998</v>
      </c>
      <c r="L203" s="64"/>
    </row>
    <row r="204" spans="1:12" ht="25.5">
      <c r="A204" s="65">
        <v>7.1099999999999977</v>
      </c>
      <c r="B204" s="60" t="s">
        <v>171</v>
      </c>
      <c r="C204" s="66">
        <v>50101019</v>
      </c>
      <c r="D204" s="43" t="s">
        <v>24</v>
      </c>
      <c r="E204" s="10" t="s">
        <v>235</v>
      </c>
      <c r="F204" s="17" t="s">
        <v>12</v>
      </c>
      <c r="G204" s="15">
        <v>120</v>
      </c>
      <c r="H204" s="58">
        <v>4.4400000000000004</v>
      </c>
      <c r="I204" s="32">
        <f t="shared" si="19"/>
        <v>532.80000000000007</v>
      </c>
      <c r="J204" s="58">
        <v>5.21</v>
      </c>
      <c r="K204" s="32">
        <f t="shared" si="20"/>
        <v>625.20000000000005</v>
      </c>
      <c r="L204" s="64"/>
    </row>
    <row r="205" spans="1:12" ht="38.25">
      <c r="A205" s="65">
        <v>7.1199999999999974</v>
      </c>
      <c r="B205" s="60" t="s">
        <v>187</v>
      </c>
      <c r="C205" s="66">
        <v>80104003</v>
      </c>
      <c r="D205" s="43" t="s">
        <v>70</v>
      </c>
      <c r="E205" s="10" t="s">
        <v>78</v>
      </c>
      <c r="F205" s="17" t="s">
        <v>12</v>
      </c>
      <c r="G205" s="15">
        <v>120</v>
      </c>
      <c r="H205" s="58">
        <v>5.0199999999999996</v>
      </c>
      <c r="I205" s="32">
        <f t="shared" si="19"/>
        <v>602.4</v>
      </c>
      <c r="J205" s="58">
        <v>8.52</v>
      </c>
      <c r="K205" s="32">
        <f t="shared" si="20"/>
        <v>1022.4</v>
      </c>
      <c r="L205" s="64"/>
    </row>
    <row r="206" spans="1:12">
      <c r="A206" s="65">
        <v>7.1299999999999972</v>
      </c>
      <c r="B206" s="60" t="s">
        <v>147</v>
      </c>
      <c r="C206" s="66">
        <v>70601003</v>
      </c>
      <c r="D206" s="43" t="s">
        <v>21</v>
      </c>
      <c r="E206" s="10" t="s">
        <v>225</v>
      </c>
      <c r="F206" s="17" t="s">
        <v>13</v>
      </c>
      <c r="G206" s="15">
        <v>1173</v>
      </c>
      <c r="H206" s="58">
        <v>2.4</v>
      </c>
      <c r="I206" s="32">
        <f t="shared" si="19"/>
        <v>2815.2</v>
      </c>
      <c r="J206" s="58">
        <v>4.3099999999999996</v>
      </c>
      <c r="K206" s="32">
        <f t="shared" si="20"/>
        <v>5055.6299999999992</v>
      </c>
      <c r="L206" s="64"/>
    </row>
    <row r="207" spans="1:12">
      <c r="A207" s="65">
        <v>7.139999999999997</v>
      </c>
      <c r="B207" s="60" t="s">
        <v>188</v>
      </c>
      <c r="C207" s="66"/>
      <c r="D207" s="73"/>
      <c r="E207" s="10"/>
      <c r="F207" s="17"/>
      <c r="G207" s="15"/>
      <c r="H207" s="58"/>
      <c r="I207" s="32"/>
      <c r="J207" s="58"/>
      <c r="K207" s="32"/>
      <c r="L207" s="64"/>
    </row>
    <row r="208" spans="1:12">
      <c r="A208" s="65"/>
      <c r="B208" s="60"/>
      <c r="C208" s="66"/>
      <c r="D208" s="73"/>
      <c r="E208" s="10"/>
      <c r="F208" s="17"/>
      <c r="G208" s="15"/>
      <c r="H208" s="58"/>
      <c r="I208" s="32"/>
      <c r="J208" s="58"/>
      <c r="K208" s="32"/>
      <c r="L208" s="64"/>
    </row>
    <row r="209" spans="1:12">
      <c r="A209" s="65">
        <v>8</v>
      </c>
      <c r="B209" s="60" t="s">
        <v>95</v>
      </c>
      <c r="C209" s="66"/>
      <c r="D209" s="73"/>
      <c r="E209" s="10"/>
      <c r="F209" s="17"/>
      <c r="G209" s="15"/>
      <c r="H209" s="58"/>
      <c r="I209" s="32"/>
      <c r="J209" s="58"/>
      <c r="K209" s="32"/>
      <c r="L209" s="64"/>
    </row>
    <row r="210" spans="1:12" ht="25.5">
      <c r="A210" s="65">
        <v>8.01</v>
      </c>
      <c r="B210" s="60" t="s">
        <v>189</v>
      </c>
      <c r="C210" s="66">
        <v>60105052</v>
      </c>
      <c r="D210" s="43" t="s">
        <v>73</v>
      </c>
      <c r="E210" s="10" t="s">
        <v>78</v>
      </c>
      <c r="F210" s="17" t="s">
        <v>12</v>
      </c>
      <c r="G210" s="15">
        <v>160</v>
      </c>
      <c r="H210" s="58">
        <v>10.029999999999999</v>
      </c>
      <c r="I210" s="32">
        <f t="shared" ref="I210:I222" si="21">+G210*H210</f>
        <v>1604.8</v>
      </c>
      <c r="J210" s="58">
        <v>12.36</v>
      </c>
      <c r="K210" s="32">
        <f t="shared" ref="K210:K217" si="22">+G210*J210</f>
        <v>1977.6</v>
      </c>
      <c r="L210" s="64"/>
    </row>
    <row r="211" spans="1:12" ht="25.5">
      <c r="A211" s="65">
        <v>8.02</v>
      </c>
      <c r="B211" s="60" t="s">
        <v>190</v>
      </c>
      <c r="C211" s="66">
        <v>60105050</v>
      </c>
      <c r="D211" s="43" t="s">
        <v>68</v>
      </c>
      <c r="E211" s="10" t="s">
        <v>78</v>
      </c>
      <c r="F211" s="17" t="s">
        <v>12</v>
      </c>
      <c r="G211" s="15">
        <v>22</v>
      </c>
      <c r="H211" s="58">
        <v>10.64</v>
      </c>
      <c r="I211" s="32">
        <f t="shared" si="21"/>
        <v>234.08</v>
      </c>
      <c r="J211" s="58">
        <v>14.34</v>
      </c>
      <c r="K211" s="32">
        <f t="shared" si="22"/>
        <v>315.48</v>
      </c>
      <c r="L211" s="64"/>
    </row>
    <row r="212" spans="1:12" ht="25.5">
      <c r="A212" s="65">
        <v>8.0299999999999994</v>
      </c>
      <c r="B212" s="60" t="s">
        <v>121</v>
      </c>
      <c r="C212" s="66">
        <v>60104133</v>
      </c>
      <c r="D212" s="43" t="s">
        <v>55</v>
      </c>
      <c r="E212" s="10" t="s">
        <v>78</v>
      </c>
      <c r="F212" s="17" t="s">
        <v>12</v>
      </c>
      <c r="G212" s="15">
        <v>126</v>
      </c>
      <c r="H212" s="58">
        <v>4.5599999999999996</v>
      </c>
      <c r="I212" s="32">
        <f t="shared" si="21"/>
        <v>574.55999999999995</v>
      </c>
      <c r="J212" s="58">
        <v>5.57</v>
      </c>
      <c r="K212" s="32">
        <f t="shared" si="22"/>
        <v>701.82</v>
      </c>
      <c r="L212" s="64"/>
    </row>
    <row r="213" spans="1:12" ht="25.5">
      <c r="A213" s="65">
        <v>8.0399999999999991</v>
      </c>
      <c r="B213" s="60" t="s">
        <v>122</v>
      </c>
      <c r="C213" s="66">
        <v>60104124</v>
      </c>
      <c r="D213" s="43" t="s">
        <v>69</v>
      </c>
      <c r="E213" s="10" t="s">
        <v>78</v>
      </c>
      <c r="F213" s="17" t="s">
        <v>12</v>
      </c>
      <c r="G213" s="15">
        <v>16</v>
      </c>
      <c r="H213" s="58">
        <v>6.38</v>
      </c>
      <c r="I213" s="32">
        <f t="shared" si="21"/>
        <v>102.08</v>
      </c>
      <c r="J213" s="58">
        <v>6.25</v>
      </c>
      <c r="K213" s="32">
        <f t="shared" si="22"/>
        <v>100</v>
      </c>
      <c r="L213" s="64"/>
    </row>
    <row r="214" spans="1:12" ht="25.5">
      <c r="A214" s="65">
        <v>8.0499999999999989</v>
      </c>
      <c r="B214" s="60" t="s">
        <v>128</v>
      </c>
      <c r="C214" s="66">
        <v>60106051</v>
      </c>
      <c r="D214" s="43" t="s">
        <v>57</v>
      </c>
      <c r="E214" s="10" t="s">
        <v>78</v>
      </c>
      <c r="F214" s="17" t="s">
        <v>12</v>
      </c>
      <c r="G214" s="15">
        <v>158</v>
      </c>
      <c r="H214" s="58">
        <v>8.36</v>
      </c>
      <c r="I214" s="32">
        <f t="shared" si="21"/>
        <v>1320.8799999999999</v>
      </c>
      <c r="J214" s="58">
        <v>13.11</v>
      </c>
      <c r="K214" s="32">
        <f t="shared" si="22"/>
        <v>2071.38</v>
      </c>
      <c r="L214" s="64"/>
    </row>
    <row r="215" spans="1:12" ht="25.5">
      <c r="A215" s="65">
        <v>8.0599999999999987</v>
      </c>
      <c r="B215" s="60" t="s">
        <v>129</v>
      </c>
      <c r="C215" s="66">
        <v>60106052</v>
      </c>
      <c r="D215" s="43" t="s">
        <v>17</v>
      </c>
      <c r="E215" s="10" t="s">
        <v>78</v>
      </c>
      <c r="F215" s="17" t="s">
        <v>12</v>
      </c>
      <c r="G215" s="15">
        <v>38</v>
      </c>
      <c r="H215" s="58">
        <v>9.1199999999999992</v>
      </c>
      <c r="I215" s="32">
        <f t="shared" si="21"/>
        <v>346.55999999999995</v>
      </c>
      <c r="J215" s="58">
        <v>14.35</v>
      </c>
      <c r="K215" s="32">
        <f t="shared" si="22"/>
        <v>545.29999999999995</v>
      </c>
      <c r="L215" s="64"/>
    </row>
    <row r="216" spans="1:12">
      <c r="A216" s="65">
        <v>8.0699999999999985</v>
      </c>
      <c r="B216" s="60" t="s">
        <v>84</v>
      </c>
      <c r="C216" s="66">
        <v>61201001</v>
      </c>
      <c r="D216" s="43" t="s">
        <v>33</v>
      </c>
      <c r="E216" s="10" t="s">
        <v>78</v>
      </c>
      <c r="F216" s="17" t="s">
        <v>12</v>
      </c>
      <c r="G216" s="15">
        <v>100</v>
      </c>
      <c r="H216" s="58">
        <v>6</v>
      </c>
      <c r="I216" s="32">
        <f t="shared" si="21"/>
        <v>600</v>
      </c>
      <c r="J216" s="58">
        <v>11.17</v>
      </c>
      <c r="K216" s="32">
        <f t="shared" si="22"/>
        <v>1117</v>
      </c>
      <c r="L216" s="64"/>
    </row>
    <row r="217" spans="1:12">
      <c r="A217" s="65">
        <v>8.0799999999999983</v>
      </c>
      <c r="B217" s="60" t="s">
        <v>216</v>
      </c>
      <c r="C217" s="66">
        <v>50615004</v>
      </c>
      <c r="D217" s="43" t="s">
        <v>43</v>
      </c>
      <c r="E217" s="10" t="s">
        <v>224</v>
      </c>
      <c r="F217" s="17" t="s">
        <v>13</v>
      </c>
      <c r="G217" s="15">
        <v>9</v>
      </c>
      <c r="H217" s="58">
        <v>2.7</v>
      </c>
      <c r="I217" s="32">
        <f t="shared" si="21"/>
        <v>24.3</v>
      </c>
      <c r="J217" s="58">
        <v>6.02</v>
      </c>
      <c r="K217" s="32">
        <f t="shared" si="22"/>
        <v>54.179999999999993</v>
      </c>
      <c r="L217" s="64"/>
    </row>
    <row r="218" spans="1:12">
      <c r="A218" s="65">
        <v>8.0799999999999983</v>
      </c>
      <c r="B218" s="60" t="s">
        <v>215</v>
      </c>
      <c r="C218" s="66">
        <v>72001032</v>
      </c>
      <c r="D218" s="43" t="s">
        <v>48</v>
      </c>
      <c r="E218" s="10" t="s">
        <v>224</v>
      </c>
      <c r="F218" s="17" t="s">
        <v>13</v>
      </c>
      <c r="G218" s="15">
        <v>9</v>
      </c>
      <c r="H218" s="58">
        <v>0.8</v>
      </c>
      <c r="I218" s="32">
        <f t="shared" si="21"/>
        <v>7.2</v>
      </c>
      <c r="J218" s="58"/>
      <c r="K218" s="32"/>
      <c r="L218" s="64"/>
    </row>
    <row r="219" spans="1:12" ht="25.5">
      <c r="A219" s="65">
        <v>8.0899999999999981</v>
      </c>
      <c r="B219" s="60" t="s">
        <v>191</v>
      </c>
      <c r="C219" s="66">
        <v>60201005</v>
      </c>
      <c r="D219" s="43" t="s">
        <v>221</v>
      </c>
      <c r="E219" s="10" t="s">
        <v>78</v>
      </c>
      <c r="F219" s="17" t="s">
        <v>12</v>
      </c>
      <c r="G219" s="15">
        <v>80</v>
      </c>
      <c r="H219" s="58">
        <v>1.58</v>
      </c>
      <c r="I219" s="32">
        <f t="shared" si="21"/>
        <v>126.4</v>
      </c>
      <c r="J219" s="58">
        <v>1.63</v>
      </c>
      <c r="K219" s="32">
        <f t="shared" ref="K219:K222" si="23">+G219*J219</f>
        <v>130.39999999999998</v>
      </c>
      <c r="L219" s="64"/>
    </row>
    <row r="220" spans="1:12" ht="25.5">
      <c r="A220" s="65">
        <v>8.0999999999999979</v>
      </c>
      <c r="B220" s="60" t="s">
        <v>85</v>
      </c>
      <c r="C220" s="66">
        <v>60201006</v>
      </c>
      <c r="D220" s="43" t="s">
        <v>40</v>
      </c>
      <c r="E220" s="10" t="s">
        <v>78</v>
      </c>
      <c r="F220" s="17" t="s">
        <v>12</v>
      </c>
      <c r="G220" s="15">
        <v>580</v>
      </c>
      <c r="H220" s="58">
        <v>1.22</v>
      </c>
      <c r="I220" s="32">
        <f t="shared" si="21"/>
        <v>707.6</v>
      </c>
      <c r="J220" s="58">
        <v>1.67</v>
      </c>
      <c r="K220" s="32">
        <f t="shared" si="23"/>
        <v>968.59999999999991</v>
      </c>
      <c r="L220" s="64"/>
    </row>
    <row r="221" spans="1:12" ht="25.5">
      <c r="A221" s="65">
        <v>8.1099999999999977</v>
      </c>
      <c r="B221" s="60" t="s">
        <v>192</v>
      </c>
      <c r="C221" s="66">
        <v>130101007</v>
      </c>
      <c r="D221" s="43" t="s">
        <v>71</v>
      </c>
      <c r="E221" s="10" t="s">
        <v>78</v>
      </c>
      <c r="F221" s="17" t="s">
        <v>12</v>
      </c>
      <c r="G221" s="15">
        <v>9</v>
      </c>
      <c r="H221" s="58">
        <v>120</v>
      </c>
      <c r="I221" s="32">
        <f t="shared" si="21"/>
        <v>1080</v>
      </c>
      <c r="J221" s="58">
        <v>133.02000000000001</v>
      </c>
      <c r="K221" s="32">
        <f t="shared" si="23"/>
        <v>1197.18</v>
      </c>
      <c r="L221" s="64"/>
    </row>
    <row r="222" spans="1:12" ht="25.5">
      <c r="A222" s="65">
        <v>8.1199999999999974</v>
      </c>
      <c r="B222" s="60" t="s">
        <v>193</v>
      </c>
      <c r="C222" s="66">
        <v>61001005</v>
      </c>
      <c r="D222" s="43" t="s">
        <v>41</v>
      </c>
      <c r="E222" s="10" t="s">
        <v>78</v>
      </c>
      <c r="F222" s="17" t="s">
        <v>12</v>
      </c>
      <c r="G222" s="15">
        <v>204</v>
      </c>
      <c r="H222" s="58">
        <v>4.5</v>
      </c>
      <c r="I222" s="32">
        <f t="shared" si="21"/>
        <v>918</v>
      </c>
      <c r="J222" s="58">
        <v>6.63</v>
      </c>
      <c r="K222" s="32">
        <f t="shared" si="23"/>
        <v>1352.52</v>
      </c>
      <c r="L222" s="64"/>
    </row>
    <row r="223" spans="1:12" ht="25.5">
      <c r="A223" s="65">
        <v>8.1299999999999972</v>
      </c>
      <c r="B223" s="60" t="s">
        <v>136</v>
      </c>
      <c r="C223" s="66"/>
      <c r="D223" s="73"/>
      <c r="E223" s="10"/>
      <c r="F223" s="17"/>
      <c r="G223" s="15"/>
      <c r="H223" s="58"/>
      <c r="I223" s="32"/>
      <c r="J223" s="58"/>
      <c r="K223" s="32"/>
      <c r="L223" s="64"/>
    </row>
    <row r="224" spans="1:12" ht="51">
      <c r="A224" s="65">
        <v>8.1499999999999968</v>
      </c>
      <c r="B224" s="60" t="s">
        <v>194</v>
      </c>
      <c r="C224" s="66">
        <v>910101012</v>
      </c>
      <c r="D224" s="73" t="s">
        <v>230</v>
      </c>
      <c r="E224" s="10" t="s">
        <v>231</v>
      </c>
      <c r="F224" s="17" t="s">
        <v>160</v>
      </c>
      <c r="G224" s="15">
        <v>3</v>
      </c>
      <c r="H224" s="58">
        <v>126</v>
      </c>
      <c r="I224" s="32">
        <f>+G224*H224</f>
        <v>378</v>
      </c>
      <c r="J224" s="58"/>
      <c r="K224" s="32"/>
      <c r="L224" s="64"/>
    </row>
    <row r="225" spans="1:12" ht="25.5">
      <c r="A225" s="65">
        <v>8.1599999999999966</v>
      </c>
      <c r="B225" s="60" t="s">
        <v>195</v>
      </c>
      <c r="C225" s="66">
        <v>60104158</v>
      </c>
      <c r="D225" s="43" t="s">
        <v>97</v>
      </c>
      <c r="E225" s="10" t="s">
        <v>78</v>
      </c>
      <c r="F225" s="17" t="s">
        <v>12</v>
      </c>
      <c r="G225" s="15">
        <v>6</v>
      </c>
      <c r="H225" s="58">
        <v>5.59</v>
      </c>
      <c r="I225" s="32">
        <f>+G225*H225</f>
        <v>33.54</v>
      </c>
      <c r="J225" s="58"/>
      <c r="K225" s="32"/>
      <c r="L225" s="64"/>
    </row>
    <row r="226" spans="1:12">
      <c r="A226" s="65"/>
      <c r="B226" s="60"/>
      <c r="C226" s="66"/>
      <c r="D226" s="73"/>
      <c r="E226" s="10"/>
      <c r="F226" s="17"/>
      <c r="G226" s="15"/>
      <c r="H226" s="58"/>
      <c r="I226" s="32"/>
      <c r="J226" s="58"/>
      <c r="K226" s="32"/>
      <c r="L226" s="64"/>
    </row>
    <row r="227" spans="1:12">
      <c r="A227" s="65">
        <v>9</v>
      </c>
      <c r="B227" s="60" t="s">
        <v>77</v>
      </c>
      <c r="C227" s="66"/>
      <c r="D227" s="73"/>
      <c r="E227" s="10"/>
      <c r="F227" s="17"/>
      <c r="G227" s="15"/>
      <c r="H227" s="58"/>
      <c r="I227" s="32"/>
      <c r="J227" s="58"/>
      <c r="K227" s="32"/>
      <c r="L227" s="64"/>
    </row>
    <row r="228" spans="1:12" ht="25.5">
      <c r="A228" s="65">
        <v>9.01</v>
      </c>
      <c r="B228" s="60" t="s">
        <v>149</v>
      </c>
      <c r="C228" s="66">
        <v>80301017</v>
      </c>
      <c r="D228" s="43" t="s">
        <v>27</v>
      </c>
      <c r="E228" s="10" t="s">
        <v>78</v>
      </c>
      <c r="F228" s="17" t="s">
        <v>12</v>
      </c>
      <c r="G228" s="15">
        <v>76</v>
      </c>
      <c r="H228" s="58">
        <v>49</v>
      </c>
      <c r="I228" s="32">
        <f>+G228*H228</f>
        <v>3724</v>
      </c>
      <c r="J228" s="58">
        <v>66.7</v>
      </c>
      <c r="K228" s="32">
        <f t="shared" ref="K228:K230" si="24">+G228*J228</f>
        <v>5069.2</v>
      </c>
      <c r="L228" s="64"/>
    </row>
    <row r="229" spans="1:12">
      <c r="A229" s="65">
        <v>9.02</v>
      </c>
      <c r="B229" s="60" t="s">
        <v>196</v>
      </c>
      <c r="C229" s="66">
        <v>50101018</v>
      </c>
      <c r="D229" s="43" t="s">
        <v>25</v>
      </c>
      <c r="E229" s="10" t="s">
        <v>235</v>
      </c>
      <c r="F229" s="17" t="s">
        <v>12</v>
      </c>
      <c r="G229" s="15">
        <v>22</v>
      </c>
      <c r="H229" s="58">
        <v>7.6</v>
      </c>
      <c r="I229" s="32">
        <f>+G229*H229</f>
        <v>167.2</v>
      </c>
      <c r="J229" s="58">
        <v>7.89</v>
      </c>
      <c r="K229" s="32">
        <f t="shared" si="24"/>
        <v>173.57999999999998</v>
      </c>
      <c r="L229" s="64"/>
    </row>
    <row r="230" spans="1:12" ht="25.5">
      <c r="A230" s="65">
        <v>9.0299999999999994</v>
      </c>
      <c r="B230" s="60" t="s">
        <v>197</v>
      </c>
      <c r="C230" s="66">
        <v>80106001</v>
      </c>
      <c r="D230" s="43" t="s">
        <v>15</v>
      </c>
      <c r="E230" s="10" t="s">
        <v>78</v>
      </c>
      <c r="F230" s="17" t="s">
        <v>12</v>
      </c>
      <c r="G230" s="15">
        <v>76</v>
      </c>
      <c r="H230" s="58">
        <v>4.5599999999999996</v>
      </c>
      <c r="I230" s="32">
        <f>+G230*H230</f>
        <v>346.55999999999995</v>
      </c>
      <c r="J230" s="58">
        <v>6.94</v>
      </c>
      <c r="K230" s="32">
        <f t="shared" si="24"/>
        <v>527.44000000000005</v>
      </c>
      <c r="L230" s="64"/>
    </row>
    <row r="231" spans="1:12">
      <c r="A231" s="65">
        <v>9.0399999999999991</v>
      </c>
      <c r="B231" s="60" t="s">
        <v>198</v>
      </c>
      <c r="C231" s="66"/>
      <c r="D231" s="73"/>
      <c r="E231" s="10"/>
      <c r="F231" s="17"/>
      <c r="G231" s="15"/>
      <c r="H231" s="58"/>
      <c r="I231" s="32"/>
      <c r="J231" s="58"/>
      <c r="K231" s="32"/>
      <c r="L231" s="64"/>
    </row>
    <row r="232" spans="1:12" ht="25.5">
      <c r="A232" s="65">
        <v>9.0499999999999989</v>
      </c>
      <c r="B232" s="60" t="s">
        <v>199</v>
      </c>
      <c r="C232" s="66"/>
      <c r="D232" s="73"/>
      <c r="E232" s="10"/>
      <c r="F232" s="17"/>
      <c r="G232" s="15"/>
      <c r="H232" s="58"/>
      <c r="I232" s="32"/>
      <c r="J232" s="58"/>
      <c r="K232" s="32"/>
      <c r="L232" s="64"/>
    </row>
    <row r="233" spans="1:12" ht="25.5">
      <c r="A233" s="65">
        <v>9.0699999999999985</v>
      </c>
      <c r="B233" s="60" t="s">
        <v>209</v>
      </c>
      <c r="C233" s="66">
        <v>130202001</v>
      </c>
      <c r="D233" s="43" t="s">
        <v>28</v>
      </c>
      <c r="E233" s="10" t="s">
        <v>78</v>
      </c>
      <c r="F233" s="17" t="s">
        <v>12</v>
      </c>
      <c r="G233" s="15">
        <v>26</v>
      </c>
      <c r="H233" s="58">
        <v>5</v>
      </c>
      <c r="I233" s="32">
        <f>+G233*H233</f>
        <v>130</v>
      </c>
      <c r="J233" s="58">
        <v>2.39</v>
      </c>
      <c r="K233" s="32">
        <f>+G233*J233</f>
        <v>62.14</v>
      </c>
      <c r="L233" s="64" t="s">
        <v>238</v>
      </c>
    </row>
    <row r="234" spans="1:12">
      <c r="A234" s="65">
        <v>9.0699999999999985</v>
      </c>
      <c r="B234" s="60" t="s">
        <v>217</v>
      </c>
      <c r="C234" s="66">
        <v>130202016</v>
      </c>
      <c r="D234" s="43" t="s">
        <v>219</v>
      </c>
      <c r="E234" s="10" t="s">
        <v>78</v>
      </c>
      <c r="F234" s="17" t="s">
        <v>12</v>
      </c>
      <c r="G234" s="15">
        <v>76</v>
      </c>
      <c r="H234" s="58">
        <v>0.8</v>
      </c>
      <c r="I234" s="32">
        <f>+G234*H234</f>
        <v>60.800000000000004</v>
      </c>
      <c r="J234" s="58"/>
      <c r="K234" s="32"/>
      <c r="L234" s="64"/>
    </row>
    <row r="235" spans="1:12">
      <c r="A235" s="65">
        <v>9.0799999999999983</v>
      </c>
      <c r="B235" s="60" t="s">
        <v>155</v>
      </c>
      <c r="C235" s="66">
        <v>80201002</v>
      </c>
      <c r="D235" s="43" t="s">
        <v>218</v>
      </c>
      <c r="E235" s="10" t="s">
        <v>78</v>
      </c>
      <c r="F235" s="17" t="s">
        <v>12</v>
      </c>
      <c r="G235" s="15">
        <v>228</v>
      </c>
      <c r="H235" s="58">
        <v>14.2</v>
      </c>
      <c r="I235" s="32">
        <f>+G235*H235</f>
        <v>3237.6</v>
      </c>
      <c r="J235" s="58"/>
      <c r="K235" s="32"/>
      <c r="L235" s="64"/>
    </row>
    <row r="236" spans="1:12">
      <c r="A236" s="65"/>
      <c r="B236" s="60"/>
      <c r="C236" s="66"/>
      <c r="D236" s="73"/>
      <c r="E236" s="10"/>
      <c r="F236" s="17"/>
      <c r="G236" s="15"/>
      <c r="H236" s="58"/>
      <c r="I236" s="32"/>
      <c r="J236" s="58"/>
      <c r="K236" s="32"/>
      <c r="L236" s="64"/>
    </row>
    <row r="237" spans="1:12">
      <c r="A237" s="65">
        <v>10</v>
      </c>
      <c r="B237" s="60" t="s">
        <v>96</v>
      </c>
      <c r="C237" s="66"/>
      <c r="D237" s="73"/>
      <c r="E237" s="10"/>
      <c r="F237" s="17"/>
      <c r="G237" s="15"/>
      <c r="H237" s="58"/>
      <c r="I237" s="32"/>
      <c r="J237" s="58"/>
      <c r="K237" s="32"/>
      <c r="L237" s="64"/>
    </row>
    <row r="238" spans="1:12" ht="25.5">
      <c r="A238" s="65">
        <v>10.01</v>
      </c>
      <c r="B238" s="60" t="s">
        <v>200</v>
      </c>
      <c r="C238" s="66">
        <v>130201061</v>
      </c>
      <c r="D238" s="43" t="s">
        <v>226</v>
      </c>
      <c r="E238" s="10" t="s">
        <v>78</v>
      </c>
      <c r="F238" s="17" t="s">
        <v>12</v>
      </c>
      <c r="G238" s="15">
        <v>221</v>
      </c>
      <c r="H238" s="58">
        <v>20</v>
      </c>
      <c r="I238" s="32">
        <f>+G238*H238</f>
        <v>4420</v>
      </c>
      <c r="J238" s="58">
        <v>29.39</v>
      </c>
      <c r="K238" s="32">
        <f t="shared" ref="K238:K239" si="25">+G238*J238</f>
        <v>6495.1900000000005</v>
      </c>
      <c r="L238" s="64"/>
    </row>
    <row r="239" spans="1:12" ht="25.5">
      <c r="A239" s="65">
        <v>10.02</v>
      </c>
      <c r="B239" s="60" t="s">
        <v>201</v>
      </c>
      <c r="C239" s="66">
        <v>130201062</v>
      </c>
      <c r="D239" s="43" t="s">
        <v>80</v>
      </c>
      <c r="E239" s="10" t="s">
        <v>78</v>
      </c>
      <c r="F239" s="17" t="s">
        <v>12</v>
      </c>
      <c r="G239" s="15">
        <v>155</v>
      </c>
      <c r="H239" s="58">
        <v>33</v>
      </c>
      <c r="I239" s="32">
        <f>+G239*H239</f>
        <v>5115</v>
      </c>
      <c r="J239" s="58">
        <v>45.75</v>
      </c>
      <c r="K239" s="32">
        <f t="shared" si="25"/>
        <v>7091.25</v>
      </c>
      <c r="L239" s="64"/>
    </row>
    <row r="240" spans="1:12" ht="25.5">
      <c r="A240" s="65">
        <v>10.029999999999999</v>
      </c>
      <c r="B240" s="60" t="s">
        <v>202</v>
      </c>
      <c r="C240" s="66"/>
      <c r="D240" s="73"/>
      <c r="E240" s="10"/>
      <c r="F240" s="17"/>
      <c r="G240" s="15"/>
      <c r="H240" s="58"/>
      <c r="I240" s="32"/>
      <c r="J240" s="58"/>
      <c r="K240" s="32"/>
      <c r="L240" s="64"/>
    </row>
    <row r="241" spans="1:12" ht="25.5">
      <c r="A241" s="65">
        <v>10.039999999999999</v>
      </c>
      <c r="B241" s="60" t="s">
        <v>203</v>
      </c>
      <c r="C241" s="66">
        <v>130201014</v>
      </c>
      <c r="D241" s="43" t="s">
        <v>232</v>
      </c>
      <c r="E241" s="10" t="s">
        <v>78</v>
      </c>
      <c r="F241" s="17" t="s">
        <v>12</v>
      </c>
      <c r="G241" s="15">
        <v>42</v>
      </c>
      <c r="H241" s="58">
        <v>68</v>
      </c>
      <c r="I241" s="32">
        <f>+G241*H241</f>
        <v>2856</v>
      </c>
      <c r="J241" s="58">
        <v>117.61</v>
      </c>
      <c r="K241" s="32">
        <f t="shared" ref="K241:K270" si="26">+G241*J241</f>
        <v>4939.62</v>
      </c>
      <c r="L241" s="64"/>
    </row>
    <row r="242" spans="1:12">
      <c r="A242" s="65">
        <v>10.049999999999999</v>
      </c>
      <c r="B242" s="60" t="s">
        <v>204</v>
      </c>
      <c r="C242" s="66">
        <v>131004001</v>
      </c>
      <c r="D242" s="43" t="s">
        <v>30</v>
      </c>
      <c r="E242" s="10" t="s">
        <v>78</v>
      </c>
      <c r="F242" s="17" t="s">
        <v>12</v>
      </c>
      <c r="G242" s="15">
        <v>244</v>
      </c>
      <c r="H242" s="58">
        <v>1.28</v>
      </c>
      <c r="I242" s="32">
        <f>+G242*H242</f>
        <v>312.32</v>
      </c>
      <c r="J242" s="58">
        <v>1.47</v>
      </c>
      <c r="K242" s="32">
        <f t="shared" si="26"/>
        <v>358.68</v>
      </c>
      <c r="L242" s="64"/>
    </row>
    <row r="243" spans="1:12">
      <c r="A243" s="65">
        <v>10.059999999999999</v>
      </c>
      <c r="B243" s="60" t="s">
        <v>205</v>
      </c>
      <c r="C243" s="66"/>
      <c r="D243" s="73"/>
      <c r="E243" s="10"/>
      <c r="F243" s="17"/>
      <c r="G243" s="15"/>
      <c r="H243" s="58"/>
      <c r="I243" s="32"/>
      <c r="J243" s="58">
        <v>0.4</v>
      </c>
      <c r="K243" s="32">
        <f t="shared" si="26"/>
        <v>0</v>
      </c>
      <c r="L243" s="64"/>
    </row>
    <row r="244" spans="1:12">
      <c r="A244" s="65">
        <v>10.069999999999999</v>
      </c>
      <c r="B244" s="60" t="s">
        <v>88</v>
      </c>
      <c r="C244" s="66">
        <v>70401003</v>
      </c>
      <c r="D244" s="43" t="s">
        <v>19</v>
      </c>
      <c r="E244" s="10" t="s">
        <v>78</v>
      </c>
      <c r="F244" s="17" t="s">
        <v>13</v>
      </c>
      <c r="G244" s="15">
        <v>2212.5</v>
      </c>
      <c r="H244" s="58">
        <v>0.43</v>
      </c>
      <c r="I244" s="32">
        <f t="shared" ref="I244:I249" si="27">+G244*H244</f>
        <v>951.375</v>
      </c>
      <c r="J244" s="58">
        <v>0.69</v>
      </c>
      <c r="K244" s="32">
        <f t="shared" si="26"/>
        <v>1526.6249999999998</v>
      </c>
      <c r="L244" s="64"/>
    </row>
    <row r="245" spans="1:12" ht="25.5">
      <c r="A245" s="65">
        <v>10.079999999999998</v>
      </c>
      <c r="B245" s="60" t="s">
        <v>171</v>
      </c>
      <c r="C245" s="66">
        <v>50101019</v>
      </c>
      <c r="D245" s="43" t="s">
        <v>24</v>
      </c>
      <c r="E245" s="10" t="s">
        <v>235</v>
      </c>
      <c r="F245" s="17" t="s">
        <v>12</v>
      </c>
      <c r="G245" s="15">
        <v>60</v>
      </c>
      <c r="H245" s="58">
        <v>4.4400000000000004</v>
      </c>
      <c r="I245" s="32">
        <f t="shared" si="27"/>
        <v>266.40000000000003</v>
      </c>
      <c r="J245" s="58">
        <v>5.21</v>
      </c>
      <c r="K245" s="32">
        <f t="shared" si="26"/>
        <v>312.60000000000002</v>
      </c>
      <c r="L245" s="64"/>
    </row>
    <row r="246" spans="1:12" ht="25.5">
      <c r="A246" s="65">
        <v>10.089999999999998</v>
      </c>
      <c r="B246" s="60" t="s">
        <v>172</v>
      </c>
      <c r="C246" s="66">
        <v>50102012</v>
      </c>
      <c r="D246" s="43" t="s">
        <v>50</v>
      </c>
      <c r="E246" s="10" t="s">
        <v>234</v>
      </c>
      <c r="F246" s="17" t="s">
        <v>12</v>
      </c>
      <c r="G246" s="15">
        <v>340</v>
      </c>
      <c r="H246" s="58">
        <v>3.5</v>
      </c>
      <c r="I246" s="32">
        <f t="shared" si="27"/>
        <v>1190</v>
      </c>
      <c r="J246" s="58">
        <v>7.04</v>
      </c>
      <c r="K246" s="32">
        <f t="shared" si="26"/>
        <v>2393.6</v>
      </c>
      <c r="L246" s="64"/>
    </row>
    <row r="247" spans="1:12">
      <c r="A247" s="65">
        <v>10.099999999999998</v>
      </c>
      <c r="B247" s="60" t="s">
        <v>206</v>
      </c>
      <c r="C247" s="66">
        <v>130401001</v>
      </c>
      <c r="D247" s="43" t="s">
        <v>31</v>
      </c>
      <c r="E247" s="10" t="s">
        <v>78</v>
      </c>
      <c r="F247" s="17" t="s">
        <v>12</v>
      </c>
      <c r="G247" s="15">
        <v>488</v>
      </c>
      <c r="H247" s="58">
        <v>2.0699999999999998</v>
      </c>
      <c r="I247" s="32">
        <f t="shared" si="27"/>
        <v>1010.16</v>
      </c>
      <c r="J247" s="58">
        <v>2.85</v>
      </c>
      <c r="K247" s="32">
        <f t="shared" si="26"/>
        <v>1390.8</v>
      </c>
      <c r="L247" s="64"/>
    </row>
    <row r="248" spans="1:12">
      <c r="A248" s="65">
        <v>10.109999999999998</v>
      </c>
      <c r="B248" s="60" t="s">
        <v>175</v>
      </c>
      <c r="C248" s="66">
        <v>131002012</v>
      </c>
      <c r="D248" s="43" t="s">
        <v>26</v>
      </c>
      <c r="E248" s="10" t="s">
        <v>78</v>
      </c>
      <c r="F248" s="17" t="s">
        <v>12</v>
      </c>
      <c r="G248" s="15">
        <v>1708</v>
      </c>
      <c r="H248" s="58">
        <v>0.3</v>
      </c>
      <c r="I248" s="32">
        <f t="shared" si="27"/>
        <v>512.4</v>
      </c>
      <c r="J248" s="58">
        <v>0.4</v>
      </c>
      <c r="K248" s="32">
        <f t="shared" si="26"/>
        <v>683.2</v>
      </c>
      <c r="L248" s="64"/>
    </row>
    <row r="249" spans="1:12">
      <c r="A249" s="65" t="s">
        <v>207</v>
      </c>
      <c r="B249" s="60" t="s">
        <v>214</v>
      </c>
      <c r="C249" s="66">
        <v>910101012</v>
      </c>
      <c r="D249" s="73" t="s">
        <v>230</v>
      </c>
      <c r="E249" s="10" t="s">
        <v>78</v>
      </c>
      <c r="F249" s="17" t="s">
        <v>12</v>
      </c>
      <c r="G249" s="15">
        <v>244</v>
      </c>
      <c r="H249" s="58">
        <v>40</v>
      </c>
      <c r="I249" s="32">
        <f t="shared" si="27"/>
        <v>9760</v>
      </c>
      <c r="J249" s="58">
        <v>61.52</v>
      </c>
      <c r="K249" s="32">
        <f t="shared" si="26"/>
        <v>15010.880000000001</v>
      </c>
      <c r="L249" s="64"/>
    </row>
    <row r="250" spans="1:12">
      <c r="A250" s="65"/>
      <c r="B250" s="60"/>
      <c r="C250" s="66"/>
      <c r="D250" s="73"/>
      <c r="E250" s="10"/>
      <c r="F250" s="17"/>
      <c r="G250" s="15"/>
      <c r="H250" s="58"/>
      <c r="I250" s="32"/>
      <c r="J250" s="58"/>
      <c r="K250" s="32"/>
      <c r="L250" s="64"/>
    </row>
    <row r="251" spans="1:12">
      <c r="A251" s="65">
        <v>5</v>
      </c>
      <c r="B251" s="60" t="s">
        <v>241</v>
      </c>
      <c r="C251" s="66"/>
      <c r="D251" s="73"/>
      <c r="E251" s="10"/>
      <c r="F251" s="17"/>
      <c r="G251" s="15"/>
      <c r="H251" s="58"/>
      <c r="I251" s="32"/>
      <c r="K251" s="32"/>
      <c r="L251" s="64"/>
    </row>
    <row r="252" spans="1:12">
      <c r="A252" s="65">
        <v>5.0499999999999989</v>
      </c>
      <c r="B252" s="60" t="s">
        <v>242</v>
      </c>
      <c r="C252" s="66">
        <v>130202003</v>
      </c>
      <c r="D252" s="43" t="s">
        <v>248</v>
      </c>
      <c r="E252" s="10" t="s">
        <v>78</v>
      </c>
      <c r="F252" s="17" t="s">
        <v>12</v>
      </c>
      <c r="G252" s="15">
        <v>37</v>
      </c>
      <c r="H252" s="58">
        <v>6.8</v>
      </c>
      <c r="I252" s="32">
        <f t="shared" ref="I252:I253" si="28">+G252*H252</f>
        <v>251.6</v>
      </c>
      <c r="J252" s="58">
        <v>4.6399999999999997</v>
      </c>
      <c r="K252" s="32">
        <f t="shared" si="26"/>
        <v>171.67999999999998</v>
      </c>
      <c r="L252" s="64"/>
    </row>
    <row r="253" spans="1:12">
      <c r="A253" s="65">
        <v>5.0599999999999987</v>
      </c>
      <c r="B253" s="60" t="s">
        <v>243</v>
      </c>
      <c r="C253" s="66">
        <v>130202014</v>
      </c>
      <c r="D253" s="43" t="s">
        <v>249</v>
      </c>
      <c r="E253" s="10" t="s">
        <v>78</v>
      </c>
      <c r="F253" s="17" t="s">
        <v>12</v>
      </c>
      <c r="G253" s="15">
        <v>74</v>
      </c>
      <c r="H253" s="58">
        <v>1.2</v>
      </c>
      <c r="I253" s="32">
        <f t="shared" si="28"/>
        <v>88.8</v>
      </c>
      <c r="J253" s="58">
        <v>0.57999999999999996</v>
      </c>
      <c r="K253" s="32">
        <f t="shared" si="26"/>
        <v>42.919999999999995</v>
      </c>
      <c r="L253" s="64"/>
    </row>
    <row r="254" spans="1:12">
      <c r="A254" s="65">
        <v>6</v>
      </c>
      <c r="B254" s="60" t="s">
        <v>244</v>
      </c>
      <c r="C254" s="66"/>
      <c r="D254" s="43"/>
      <c r="E254" s="10"/>
      <c r="F254" s="17"/>
      <c r="G254" s="15"/>
      <c r="H254" s="58"/>
      <c r="I254" s="32"/>
      <c r="J254" s="58"/>
      <c r="K254" s="32"/>
      <c r="L254" s="64"/>
    </row>
    <row r="255" spans="1:12" ht="25.5">
      <c r="A255" s="65">
        <v>6.0799999999999983</v>
      </c>
      <c r="B255" s="60" t="s">
        <v>118</v>
      </c>
      <c r="C255" s="66">
        <v>70602129</v>
      </c>
      <c r="D255" s="43" t="s">
        <v>223</v>
      </c>
      <c r="E255" s="10" t="s">
        <v>250</v>
      </c>
      <c r="F255" s="17" t="s">
        <v>13</v>
      </c>
      <c r="G255" s="15">
        <v>111</v>
      </c>
      <c r="H255" s="58">
        <v>5.9</v>
      </c>
      <c r="I255" s="32">
        <f t="shared" ref="I255:I257" si="29">+G255*H255</f>
        <v>654.90000000000009</v>
      </c>
      <c r="J255" s="58">
        <v>6.71</v>
      </c>
      <c r="K255" s="32">
        <f t="shared" si="26"/>
        <v>744.81</v>
      </c>
      <c r="L255" s="64"/>
    </row>
    <row r="256" spans="1:12">
      <c r="A256" s="65">
        <v>6.1299999999999972</v>
      </c>
      <c r="B256" s="60" t="s">
        <v>242</v>
      </c>
      <c r="C256" s="66">
        <v>130202003</v>
      </c>
      <c r="D256" s="43" t="s">
        <v>248</v>
      </c>
      <c r="E256" s="10" t="s">
        <v>78</v>
      </c>
      <c r="F256" s="17" t="s">
        <v>13</v>
      </c>
      <c r="G256" s="15">
        <v>370</v>
      </c>
      <c r="H256" s="58">
        <v>6.8</v>
      </c>
      <c r="I256" s="32">
        <f t="shared" si="29"/>
        <v>2516</v>
      </c>
      <c r="J256" s="58">
        <v>4.6399999999999997</v>
      </c>
      <c r="K256" s="32">
        <f t="shared" si="26"/>
        <v>1716.8</v>
      </c>
      <c r="L256" s="64"/>
    </row>
    <row r="257" spans="1:12">
      <c r="A257" s="65">
        <v>6.139999999999997</v>
      </c>
      <c r="B257" s="60" t="s">
        <v>243</v>
      </c>
      <c r="C257" s="66">
        <v>130202014</v>
      </c>
      <c r="D257" s="43" t="s">
        <v>249</v>
      </c>
      <c r="E257" s="10" t="s">
        <v>78</v>
      </c>
      <c r="F257" s="17" t="s">
        <v>13</v>
      </c>
      <c r="G257" s="15">
        <v>555</v>
      </c>
      <c r="H257" s="58">
        <v>1.2</v>
      </c>
      <c r="I257" s="32">
        <f t="shared" si="29"/>
        <v>666</v>
      </c>
      <c r="J257" s="58">
        <v>0.57999999999999996</v>
      </c>
      <c r="K257" s="32">
        <f t="shared" si="26"/>
        <v>321.89999999999998</v>
      </c>
      <c r="L257" s="64"/>
    </row>
    <row r="258" spans="1:12">
      <c r="A258" s="65">
        <v>8</v>
      </c>
      <c r="B258" s="60" t="s">
        <v>77</v>
      </c>
      <c r="C258" s="66"/>
      <c r="D258" s="43"/>
      <c r="E258" s="10"/>
      <c r="F258" s="17"/>
      <c r="G258" s="15"/>
      <c r="H258" s="58"/>
      <c r="I258" s="32"/>
      <c r="J258" s="58"/>
      <c r="K258" s="32"/>
      <c r="L258" s="64"/>
    </row>
    <row r="259" spans="1:12" ht="25.5">
      <c r="A259" s="65">
        <v>8.01</v>
      </c>
      <c r="B259" s="60" t="s">
        <v>149</v>
      </c>
      <c r="C259" s="66">
        <v>80301017</v>
      </c>
      <c r="D259" s="43" t="s">
        <v>27</v>
      </c>
      <c r="E259" s="10" t="s">
        <v>78</v>
      </c>
      <c r="F259" s="17" t="s">
        <v>13</v>
      </c>
      <c r="G259" s="15">
        <v>37</v>
      </c>
      <c r="H259" s="58">
        <v>49</v>
      </c>
      <c r="I259" s="32">
        <f t="shared" ref="I259:I263" si="30">+G259*H259</f>
        <v>1813</v>
      </c>
      <c r="J259" s="58">
        <v>66.7</v>
      </c>
      <c r="K259" s="32">
        <f t="shared" si="26"/>
        <v>2467.9</v>
      </c>
      <c r="L259" s="64"/>
    </row>
    <row r="260" spans="1:12" ht="25.5">
      <c r="A260" s="65">
        <v>8.0299999999999994</v>
      </c>
      <c r="B260" s="60" t="s">
        <v>245</v>
      </c>
      <c r="C260" s="66">
        <v>80106001</v>
      </c>
      <c r="D260" s="43" t="s">
        <v>15</v>
      </c>
      <c r="E260" s="10" t="s">
        <v>78</v>
      </c>
      <c r="F260" s="17" t="s">
        <v>12</v>
      </c>
      <c r="G260" s="15">
        <v>74</v>
      </c>
      <c r="H260" s="58">
        <v>4.5599999999999996</v>
      </c>
      <c r="I260" s="32">
        <f t="shared" si="30"/>
        <v>337.44</v>
      </c>
      <c r="J260" s="58">
        <v>9.51</v>
      </c>
      <c r="K260" s="32">
        <f t="shared" si="26"/>
        <v>703.74</v>
      </c>
      <c r="L260" s="64"/>
    </row>
    <row r="261" spans="1:12">
      <c r="A261" s="65">
        <v>8.0399999999999991</v>
      </c>
      <c r="B261" s="60" t="s">
        <v>89</v>
      </c>
      <c r="C261" s="66"/>
      <c r="D261" s="43"/>
      <c r="E261" s="10"/>
      <c r="F261" s="17" t="s">
        <v>12</v>
      </c>
      <c r="G261" s="15">
        <v>37</v>
      </c>
      <c r="H261" s="58"/>
      <c r="I261" s="32">
        <f t="shared" si="30"/>
        <v>0</v>
      </c>
      <c r="J261" s="58"/>
      <c r="K261" s="32"/>
      <c r="L261" s="64"/>
    </row>
    <row r="262" spans="1:12">
      <c r="A262" s="65">
        <v>8.0599999999999987</v>
      </c>
      <c r="B262" s="60" t="s">
        <v>246</v>
      </c>
      <c r="C262" s="66">
        <v>130202001</v>
      </c>
      <c r="D262" s="43" t="s">
        <v>28</v>
      </c>
      <c r="E262" s="10" t="s">
        <v>78</v>
      </c>
      <c r="F262" s="17" t="s">
        <v>12</v>
      </c>
      <c r="G262" s="15">
        <v>37</v>
      </c>
      <c r="H262" s="58">
        <v>5</v>
      </c>
      <c r="I262" s="32">
        <f t="shared" si="30"/>
        <v>185</v>
      </c>
      <c r="J262" s="58">
        <v>11.86</v>
      </c>
      <c r="K262" s="32">
        <f t="shared" si="26"/>
        <v>438.82</v>
      </c>
      <c r="L262" s="64"/>
    </row>
    <row r="263" spans="1:12">
      <c r="A263" s="65">
        <v>8.0699999999999985</v>
      </c>
      <c r="B263" s="60" t="s">
        <v>247</v>
      </c>
      <c r="C263" s="66">
        <v>130202016</v>
      </c>
      <c r="D263" s="43" t="s">
        <v>219</v>
      </c>
      <c r="E263" s="10" t="s">
        <v>78</v>
      </c>
      <c r="F263" s="17" t="s">
        <v>12</v>
      </c>
      <c r="G263" s="15">
        <v>111</v>
      </c>
      <c r="H263" s="58">
        <v>1</v>
      </c>
      <c r="I263" s="32">
        <f t="shared" si="30"/>
        <v>111</v>
      </c>
      <c r="J263" s="58">
        <v>0.57999999999999996</v>
      </c>
      <c r="K263" s="32">
        <f t="shared" si="26"/>
        <v>64.38</v>
      </c>
      <c r="L263" s="64"/>
    </row>
    <row r="264" spans="1:12">
      <c r="A264" s="65">
        <v>8.0899999999999981</v>
      </c>
      <c r="B264" s="60" t="s">
        <v>155</v>
      </c>
      <c r="C264" s="66">
        <v>80201002</v>
      </c>
      <c r="D264" s="43" t="s">
        <v>218</v>
      </c>
      <c r="E264" s="10" t="s">
        <v>78</v>
      </c>
      <c r="F264" s="17" t="s">
        <v>12</v>
      </c>
      <c r="G264" s="15">
        <v>148</v>
      </c>
      <c r="H264" s="58">
        <v>14</v>
      </c>
      <c r="I264" s="32">
        <f t="shared" ref="I264:I268" si="31">+G264*H264</f>
        <v>2072</v>
      </c>
      <c r="J264" s="58">
        <v>30</v>
      </c>
      <c r="K264" s="32">
        <f t="shared" si="26"/>
        <v>4440</v>
      </c>
      <c r="L264" s="64"/>
    </row>
    <row r="265" spans="1:12">
      <c r="A265" s="65">
        <v>9</v>
      </c>
      <c r="B265" s="60" t="s">
        <v>239</v>
      </c>
      <c r="C265" s="66"/>
      <c r="D265" s="43"/>
      <c r="E265" s="10"/>
      <c r="F265" s="17"/>
      <c r="G265" s="15"/>
      <c r="H265" s="58"/>
      <c r="I265" s="32"/>
      <c r="J265" s="58"/>
      <c r="K265" s="32"/>
      <c r="L265" s="64"/>
    </row>
    <row r="266" spans="1:12">
      <c r="A266" s="65">
        <v>9.0299999999999994</v>
      </c>
      <c r="B266" s="60" t="s">
        <v>204</v>
      </c>
      <c r="C266" s="66">
        <v>131004001</v>
      </c>
      <c r="D266" s="43" t="s">
        <v>30</v>
      </c>
      <c r="E266" s="10" t="s">
        <v>78</v>
      </c>
      <c r="F266" s="17" t="s">
        <v>12</v>
      </c>
      <c r="G266" s="15">
        <v>37</v>
      </c>
      <c r="H266" s="58">
        <v>1.5</v>
      </c>
      <c r="I266" s="32">
        <f t="shared" si="31"/>
        <v>55.5</v>
      </c>
      <c r="J266" s="58">
        <v>1.47</v>
      </c>
      <c r="K266" s="32">
        <f t="shared" si="26"/>
        <v>54.39</v>
      </c>
      <c r="L266" s="64"/>
    </row>
    <row r="267" spans="1:12">
      <c r="A267" s="65">
        <v>9.0399999999999991</v>
      </c>
      <c r="B267" s="60" t="s">
        <v>240</v>
      </c>
      <c r="C267" s="66">
        <v>131003002</v>
      </c>
      <c r="D267" s="43" t="s">
        <v>251</v>
      </c>
      <c r="E267" s="10" t="s">
        <v>78</v>
      </c>
      <c r="F267" s="17" t="s">
        <v>12</v>
      </c>
      <c r="G267" s="15">
        <v>37</v>
      </c>
      <c r="H267" s="58">
        <v>0.9</v>
      </c>
      <c r="I267" s="32">
        <f t="shared" si="31"/>
        <v>33.300000000000004</v>
      </c>
      <c r="J267" s="58">
        <v>0.4</v>
      </c>
      <c r="K267" s="32">
        <f t="shared" si="26"/>
        <v>14.8</v>
      </c>
      <c r="L267" s="64"/>
    </row>
    <row r="268" spans="1:12">
      <c r="A268" s="65">
        <v>9.0499999999999989</v>
      </c>
      <c r="B268" s="60" t="s">
        <v>206</v>
      </c>
      <c r="C268" s="66">
        <v>130401001</v>
      </c>
      <c r="D268" s="43" t="s">
        <v>31</v>
      </c>
      <c r="E268" s="10" t="s">
        <v>78</v>
      </c>
      <c r="F268" s="17" t="s">
        <v>12</v>
      </c>
      <c r="G268" s="15">
        <v>74</v>
      </c>
      <c r="H268" s="58">
        <v>2.2000000000000002</v>
      </c>
      <c r="I268" s="32">
        <f t="shared" si="31"/>
        <v>162.80000000000001</v>
      </c>
      <c r="J268" s="58">
        <v>2.85</v>
      </c>
      <c r="K268" s="32">
        <f t="shared" si="26"/>
        <v>210.9</v>
      </c>
      <c r="L268" s="64"/>
    </row>
    <row r="269" spans="1:12">
      <c r="A269" s="65"/>
      <c r="B269" s="60"/>
      <c r="C269" s="66"/>
      <c r="D269" s="43"/>
      <c r="E269" s="10"/>
      <c r="F269" s="17"/>
      <c r="G269" s="15"/>
      <c r="H269" s="58"/>
      <c r="I269" s="32"/>
      <c r="J269" s="58"/>
      <c r="K269" s="32"/>
      <c r="L269" s="64"/>
    </row>
    <row r="270" spans="1:12">
      <c r="A270" s="19"/>
      <c r="B270" s="62"/>
      <c r="C270" s="44"/>
      <c r="D270" s="45"/>
      <c r="E270" s="11"/>
      <c r="F270" s="20"/>
      <c r="G270" s="21"/>
      <c r="H270" s="58"/>
      <c r="I270" s="32"/>
      <c r="J270" s="58"/>
      <c r="K270" s="32"/>
      <c r="L270" s="55"/>
    </row>
    <row r="271" spans="1:12" s="52" customFormat="1" ht="25.5">
      <c r="A271" s="9"/>
      <c r="B271" s="39"/>
      <c r="C271" s="40"/>
      <c r="D271" s="46"/>
      <c r="E271" s="3"/>
      <c r="F271" s="3"/>
      <c r="G271" s="16"/>
      <c r="H271" s="18" t="s">
        <v>5</v>
      </c>
      <c r="I271" s="33">
        <f>SUM(I21:I270)</f>
        <v>162549.21299999996</v>
      </c>
      <c r="J271" s="18" t="s">
        <v>5</v>
      </c>
      <c r="K271" s="33">
        <f>SUM(K21:K270)</f>
        <v>258840.37499999997</v>
      </c>
    </row>
    <row r="272" spans="1:12" s="52" customFormat="1">
      <c r="A272" s="9"/>
      <c r="B272" s="39"/>
      <c r="C272" s="40"/>
      <c r="D272" s="46"/>
      <c r="E272" s="3"/>
      <c r="F272" s="3"/>
      <c r="H272" s="78" t="s">
        <v>237</v>
      </c>
      <c r="I272" s="79">
        <f>+I271*0.96</f>
        <v>156047.24447999996</v>
      </c>
      <c r="J272" s="78"/>
      <c r="K272" s="79"/>
    </row>
    <row r="273" spans="1:11" s="52" customFormat="1">
      <c r="A273" s="9"/>
      <c r="B273" s="39"/>
      <c r="C273" s="40"/>
      <c r="D273" s="46"/>
      <c r="E273" s="3"/>
      <c r="F273" s="3"/>
      <c r="H273" s="56" t="s">
        <v>6</v>
      </c>
      <c r="I273" s="32">
        <f>I272*18%</f>
        <v>28088.504006399991</v>
      </c>
      <c r="J273" s="56" t="s">
        <v>6</v>
      </c>
      <c r="K273" s="32">
        <f>K271*18%</f>
        <v>46591.267499999994</v>
      </c>
    </row>
    <row r="274" spans="1:11" s="52" customFormat="1">
      <c r="A274" s="9"/>
      <c r="B274" s="39"/>
      <c r="C274" s="40"/>
      <c r="D274" s="46"/>
      <c r="E274" s="3"/>
      <c r="F274" s="3"/>
      <c r="G274" s="16"/>
      <c r="H274" s="34" t="s">
        <v>7</v>
      </c>
      <c r="I274" s="35">
        <f>SUM(I272:I273)</f>
        <v>184135.74848639994</v>
      </c>
      <c r="J274" s="34" t="s">
        <v>7</v>
      </c>
      <c r="K274" s="35">
        <f>SUM(K271:K273)</f>
        <v>305431.64249999996</v>
      </c>
    </row>
    <row r="275" spans="1:11" s="52" customFormat="1">
      <c r="A275" s="9"/>
      <c r="B275" s="39"/>
      <c r="C275" s="59"/>
      <c r="D275" s="69"/>
      <c r="E275" s="3"/>
      <c r="F275" s="3"/>
      <c r="G275" s="16"/>
      <c r="H275" s="16"/>
      <c r="I275" s="22"/>
      <c r="J275" s="16"/>
    </row>
    <row r="276" spans="1:11">
      <c r="K276" s="82">
        <f>1-I272/K271</f>
        <v>0.39712942974989907</v>
      </c>
    </row>
  </sheetData>
  <autoFilter ref="A17:L274" xr:uid="{3DA4CB8C-0B4D-4DF6-8C54-4DCB804EF331}"/>
  <conditionalFormatting sqref="C20:D269 B270:D270">
    <cfRule type="cellIs" dxfId="0" priority="4" stopIfTrue="1" operator="equal">
      <formula>0</formula>
    </cfRule>
  </conditionalFormatting>
  <pageMargins left="0.25" right="0.25" top="0.75" bottom="0.75" header="0.3" footer="0.3"/>
  <pageSetup paperSize="9" scale="44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93E4B-4332-4026-A12C-42D9B22F2FBF}">
  <dimension ref="A1"/>
  <sheetViews>
    <sheetView showGridLines="0" zoomScale="106" zoomScaleNormal="106" workbookViewId="0">
      <selection activeCell="J17" sqref="J17"/>
    </sheetView>
  </sheetViews>
  <sheetFormatPr baseColWidth="10" defaultRowHeight="15"/>
  <sheetData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8A33D-CDA5-4505-A771-7678B5D04DEE}">
  <dimension ref="A1"/>
  <sheetViews>
    <sheetView showGridLines="0" zoomScale="106" zoomScaleNormal="106" workbookViewId="0">
      <selection activeCell="A22" sqref="A22:A29"/>
    </sheetView>
  </sheetViews>
  <sheetFormatPr baseColWidth="10"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E7A27-7194-42E3-A308-37C35C39BF85}">
  <dimension ref="A1"/>
  <sheetViews>
    <sheetView showGridLines="0" topLeftCell="A4" zoomScale="95" zoomScaleNormal="95" workbookViewId="0">
      <selection activeCell="M1" sqref="M1"/>
    </sheetView>
  </sheetViews>
  <sheetFormatPr baseColWidth="10"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4</vt:i4>
      </vt:variant>
    </vt:vector>
  </HeadingPairs>
  <TitlesOfParts>
    <vt:vector size="9" baseType="lpstr">
      <vt:lpstr>Ferretería (2)</vt:lpstr>
      <vt:lpstr>Ferretería</vt:lpstr>
      <vt:lpstr>N°Cuentas</vt:lpstr>
      <vt:lpstr>Plano Almacén</vt:lpstr>
      <vt:lpstr>Brochure</vt:lpstr>
      <vt:lpstr>Ferretería!Área_de_impresión</vt:lpstr>
      <vt:lpstr>'Ferretería (2)'!Área_de_impresión</vt:lpstr>
      <vt:lpstr>Ferretería!Títulos_a_imprimir</vt:lpstr>
      <vt:lpstr>'Ferretería (2)'!Títulos_a_imprimir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Keyla Encina</dc:creator>
  <cp:lastModifiedBy>HP</cp:lastModifiedBy>
  <cp:lastPrinted>2025-09-15T21:19:01Z</cp:lastPrinted>
  <dcterms:created xsi:type="dcterms:W3CDTF">2013-06-24T16:55:58Z</dcterms:created>
  <dcterms:modified xsi:type="dcterms:W3CDTF">2025-11-19T23:06:59Z</dcterms:modified>
</cp:coreProperties>
</file>