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gel\Obras 2024\Ancash\Cronograma de Ejecucion\"/>
    </mc:Choice>
  </mc:AlternateContent>
  <xr:revisionPtr revIDLastSave="0" documentId="13_ncr:1_{33A54449-7CE2-4DD3-BCC7-C432CEC4A444}" xr6:coauthVersionLast="36" xr6:coauthVersionMax="36" xr10:uidLastSave="{00000000-0000-0000-0000-000000000000}"/>
  <bookViews>
    <workbookView xWindow="0" yWindow="0" windowWidth="20490" windowHeight="7545" tabRatio="792" xr2:uid="{00000000-000D-0000-FFFF-FFFF00000000}"/>
  </bookViews>
  <sheets>
    <sheet name="ESTUIDIO + OBRA" sheetId="11" r:id="rId1"/>
    <sheet name="RESUMEN LP" sheetId="6" r:id="rId2"/>
    <sheet name="RESUMEN RP" sheetId="7" r:id="rId3"/>
    <sheet name="RESUMEN RS" sheetId="8" r:id="rId4"/>
    <sheet name="RESUMEN SDF" sheetId="9" r:id="rId5"/>
    <sheet name="LP" sheetId="1" r:id="rId6"/>
    <sheet name="RP" sheetId="2" r:id="rId7"/>
    <sheet name="RS" sheetId="3" r:id="rId8"/>
    <sheet name="SFD" sheetId="4" r:id="rId9"/>
    <sheet name="RESUMEN" sheetId="5" r:id="rId10"/>
    <sheet name="RESUMEN 04 SECCIONE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A">[1]A!$D$9:$D$53</definedName>
    <definedName name="__123Graph_A" hidden="1">[2]EVAL!#REF!</definedName>
    <definedName name="__123Graph_ACORNU" hidden="1">[2]EVAL!#REF!</definedName>
    <definedName name="__123Graph_ASISTEMAS" hidden="1">'[3]Tipo de Cambio'!#REF!</definedName>
    <definedName name="__123Graph_B" hidden="1">[4]FlujoTJ!#REF!</definedName>
    <definedName name="__123Graph_BCHART1" hidden="1">[4]FlujoTJ!#REF!</definedName>
    <definedName name="__123Graph_BCHART2" hidden="1">[4]FlujoTJ!#REF!</definedName>
    <definedName name="__123Graph_BCURRENT" hidden="1">[4]FlujoTJ!#REF!</definedName>
    <definedName name="__123Graph_D" hidden="1">[4]FlujoTJ!#REF!</definedName>
    <definedName name="__123Graph_DCHART1" hidden="1">[4]FlujoTJ!#REF!</definedName>
    <definedName name="__123Graph_DCHART2" hidden="1">[4]FlujoTJ!#REF!</definedName>
    <definedName name="__123Graph_DCURRENT" hidden="1">[4]FlujoTJ!#REF!</definedName>
    <definedName name="__123Graph_F" hidden="1">[4]FlujoTJ!#REF!</definedName>
    <definedName name="__123Graph_FCHART1" hidden="1">[4]FlujoTJ!#REF!</definedName>
    <definedName name="__123Graph_FCHART2" hidden="1">[4]FlujoTJ!#REF!</definedName>
    <definedName name="__123Graph_X" hidden="1">[2]EVAL!#REF!</definedName>
    <definedName name="__123Graph_XCHART1" hidden="1">[4]FlujoTJ!#REF!</definedName>
    <definedName name="__123Graph_XCHART2" hidden="1">[4]FlujoTJ!#REF!</definedName>
    <definedName name="__123Graph_XCORNU" hidden="1">[2]EVAL!#REF!</definedName>
    <definedName name="__123Graph_XCURRENT" hidden="1">[4]FlujoTJ!#REF!</definedName>
    <definedName name="_11_0ELECSURE">'[5]#¡REF'!#REF!</definedName>
    <definedName name="_14_0ELECSURME">'[5]#¡REF'!#REF!</definedName>
    <definedName name="_17_0ELECT">'[5]#¡REF'!#REF!</definedName>
    <definedName name="_2__123Graph_FCURRENT" hidden="1">[4]FlujoTJ!#REF!</definedName>
    <definedName name="_20_0ELECTROL">'[5]#¡REF'!#REF!</definedName>
    <definedName name="_23_0ELEORIE">'[5]#¡REF'!#REF!</definedName>
    <definedName name="_26_0ELNO">'[5]#¡REF'!#REF!</definedName>
    <definedName name="_29_0ELSURE">'[5]#¡REF'!#REF!</definedName>
    <definedName name="_32_0HIDRAND">'[5]#¡REF'!#REF!</definedName>
    <definedName name="_35_0S">'[5]#¡REF'!#REF!</definedName>
    <definedName name="_5_0EL">'[5]#¡REF'!#REF!</definedName>
    <definedName name="_8_0ELCEN">'[5]#¡REF'!#REF!</definedName>
    <definedName name="_Fill" hidden="1">#REF!</definedName>
    <definedName name="_gg1">'[6]#¡REF'!#REF!</definedName>
    <definedName name="_Key1" hidden="1">'[3]Tipo de Cambio'!#REF!</definedName>
    <definedName name="_Key2" hidden="1">'[3]Tipo de Cambio'!#REF!</definedName>
    <definedName name="_LM3">'[7]FORMA-LM3'!$B$1:$N$48</definedName>
    <definedName name="_LS1">'[7]FORMA-LS1-LS2'!$A$1:$P$83</definedName>
    <definedName name="_LS2">'[7]FORMA-LS1-LS2'!$A$86:$P$168</definedName>
    <definedName name="_LS3">'[7]FORMA-LS3'!$A$1:$M$53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'[7]FORMA- RE1'!$A$3:$H$52</definedName>
    <definedName name="_Regression_Int" hidden="1">1</definedName>
    <definedName name="_RES1">#REF!</definedName>
    <definedName name="_RES2">#REF!</definedName>
    <definedName name="_RES3">#REF!</definedName>
    <definedName name="_RES4">#REF!</definedName>
    <definedName name="_REV3">[8]DATOS!$A$3:$E$22</definedName>
    <definedName name="_RL1">'[7]FORMA-LM3'!$B$1:$L$46</definedName>
    <definedName name="_SE2">'[7]FORMA-SE2'!$M$5</definedName>
    <definedName name="_sec01">[9]Datos!$D$26</definedName>
    <definedName name="_sec02">[9]Datos!$D$27</definedName>
    <definedName name="_sec03">[9]Datos!$D$28</definedName>
    <definedName name="_sec04">[9]Datos!$D$29</definedName>
    <definedName name="_sec05">[9]Datos!$D$30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UI1577">#REF!</definedName>
    <definedName name="_vu111">#REF!</definedName>
    <definedName name="A">'[5]#¡REF'!#REF!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A">#REF!</definedName>
    <definedName name="aAA">#REF!</definedName>
    <definedName name="aB">#REF!</definedName>
    <definedName name="ABC">'[10]#¡REF'!#REF!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D">#REF!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>'[11]#¡REF'!#REF!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ngel">'[12]#¡REF'!#REF!</definedName>
    <definedName name="_xlnm.Extract">#REF!</definedName>
    <definedName name="_xlnm.Print_Area" localSheetId="0">'ESTUIDIO + OBRA'!$B$1:$M$62</definedName>
    <definedName name="_xlnm.Print_Area" localSheetId="5">LP!$A$1:$M$70</definedName>
    <definedName name="_xlnm.Print_Area" localSheetId="9">RESUMEN!$B$1:$I$55</definedName>
    <definedName name="_xlnm.Print_Area" localSheetId="6">RP!$B$1:$M$64</definedName>
    <definedName name="_xlnm.Print_Area" localSheetId="7">RS!$A$1:$M$57</definedName>
    <definedName name="_xlnm.Print_Area" localSheetId="8">SFD!$A$1:$M$48</definedName>
    <definedName name="ARENA">[1]A!$D$55:$D$56</definedName>
    <definedName name="ARMADOS">#REF!</definedName>
    <definedName name="ASAS">#REF!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">'[5]#¡REF'!#REF!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Cambio">#REF!</definedName>
    <definedName name="CEMENTO">[1]A!$D$61:$D$62</definedName>
    <definedName name="cgv">'[13]#¡REF'!#REF!</definedName>
    <definedName name="CODIGOS">[14]detalle!$B$16:$B$1780</definedName>
    <definedName name="CONDUC">#REF!</definedName>
    <definedName name="COSTOS">#REF!</definedName>
    <definedName name="_xlnm.Criteria">#REF!</definedName>
    <definedName name="DC_1">#REF!</definedName>
    <definedName name="DC_1T">#REF!</definedName>
    <definedName name="DC_2">#REF!</definedName>
    <definedName name="DC_2T">#REF!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>'[15]RES-GRAL'!$F$23</definedName>
    <definedName name="DESCRIPCION">#REF!</definedName>
    <definedName name="df">#REF!</definedName>
    <definedName name="dólar">[16]DATA!$B$5</definedName>
    <definedName name="DS_2">#REF!</definedName>
    <definedName name="DS_3">#REF!</definedName>
    <definedName name="DSD">#REF!</definedName>
    <definedName name="DT_0">#REF!</definedName>
    <definedName name="DT_2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LCENTRO">#REF!</definedName>
    <definedName name="ELECSURESTE">#REF!</definedName>
    <definedName name="ELECSURMEDIO">#REF!</definedName>
    <definedName name="ELECTROLIMA">#REF!</definedName>
    <definedName name="ELECTSUR">#REF!</definedName>
    <definedName name="ELEORIENTE">#REF!</definedName>
    <definedName name="ELIMA">#REF!</definedName>
    <definedName name="Eliminación_material">[16]DATA!$Q$2</definedName>
    <definedName name="ELNORTE">#REF!</definedName>
    <definedName name="ELSUR">#REF!</definedName>
    <definedName name="ELSURESTE">#REF!</definedName>
    <definedName name="Equipo">#REF!</definedName>
    <definedName name="EXCAVACIONES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F.C.">#REF!</definedName>
    <definedName name="F.P.">#REF!</definedName>
    <definedName name="Fac_Desp_Costa_Sierra">#REF!</definedName>
    <definedName name="Fac_Desp_Selva">#REF!</definedName>
    <definedName name="Factor">#REF!</definedName>
    <definedName name="Factor_I.U.">'[17]Estudio Suministros MEM'!$Q$7:$T$22</definedName>
    <definedName name="FACTORDECARGA">#REF!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>#REF!</definedName>
    <definedName name="Fecha">#REF!</definedName>
    <definedName name="Fecha_costos">#REF!</definedName>
    <definedName name="FERR">'[18]CANT.UNITARIAS'!$F$7:$DA$106</definedName>
    <definedName name="FERRET1">#REF!</definedName>
    <definedName name="FF">#REF!</definedName>
    <definedName name="FFF">'[19]#¡REF'!#REF!</definedName>
    <definedName name="Final_Departamento">'[20]Resumen General'!$C$8</definedName>
    <definedName name="Final_Proyecto">'[20]Resumen General'!$A$6</definedName>
    <definedName name="Flete.Torres">[21]Impuestos!$C$3</definedName>
    <definedName name="fm">#REF!</definedName>
    <definedName name="fm_12">#REF!</definedName>
    <definedName name="fm_20">#REF!</definedName>
    <definedName name="fm_21">#REF!</definedName>
    <definedName name="FORMALETA">[1]A!$D$67:$D$68</definedName>
    <definedName name="Fperdidas">#REF!</definedName>
    <definedName name="FPET">#REF!</definedName>
    <definedName name="FPME">#REF!</definedName>
    <definedName name="fr">[9]Datos!$D$9</definedName>
    <definedName name="franja">#REF!</definedName>
    <definedName name="FS">#REF!</definedName>
    <definedName name="G">#REF!</definedName>
    <definedName name="GESPUEST">#REF!</definedName>
    <definedName name="GESPUEST_12">#REF!</definedName>
    <definedName name="GESPUEST_20">#REF!</definedName>
    <definedName name="GESPUEST_21">#REF!</definedName>
    <definedName name="gg">'[6]#¡REF'!#REF!</definedName>
    <definedName name="ggd">[9]Datos!$D$6</definedName>
    <definedName name="ggi">[9]Datos!$D$7</definedName>
    <definedName name="GGUU">'[22]#¡REF'!#REF!</definedName>
    <definedName name="GRAVA">[1]A!$D$58:$D$59</definedName>
    <definedName name="Grupo1">#REF!</definedName>
    <definedName name="Grupo1_12">#REF!</definedName>
    <definedName name="Grupo1_20">#REF!</definedName>
    <definedName name="Grupo1_21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H">[8]REV3!$A$33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ME">#REF!</definedName>
    <definedName name="HHT">#REF!</definedName>
    <definedName name="HIDRANDINA">#REF!</definedName>
    <definedName name="Hoja_Val_Aranc">'[23]Aux. Disgregados'!$Z$46</definedName>
    <definedName name="hoja1">#REF!</definedName>
    <definedName name="hoja1_12">#REF!</definedName>
    <definedName name="hoja1_20">#REF!</definedName>
    <definedName name="hoja1_21">#REF!</definedName>
    <definedName name="IGV">'[24]Datos de Entrada'!$D$45</definedName>
    <definedName name="Imprimir_área_IM">#REF!</definedName>
    <definedName name="Inaccesibilidad">'[25]DATOS DE CAMPO'!$CK$29</definedName>
    <definedName name="INDICE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sumos">#REF!</definedName>
    <definedName name="Inversion2">'[26]Costos Alt2'!$O$2:$T$53</definedName>
    <definedName name="invllt">'[27]DATOS TECNICOS SE SANTUARIO'!#REF!</definedName>
    <definedName name="invllt_12">'[28]DATOS TECNICOS SE SANTUARIO'!#REF!</definedName>
    <definedName name="invllt_20">'[27]DATOS TECNICOS SE SANTUARIO'!#REF!</definedName>
    <definedName name="invllt_21">'[28]DATOS TECNICOS SE SANTUARIO'!#REF!</definedName>
    <definedName name="ITAT">#REF!</definedName>
    <definedName name="ITMT">#REF!</definedName>
    <definedName name="JIMBE1">#REF!</definedName>
    <definedName name="JIMBE2">#REF!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>[29]CALCULO!#REF!</definedName>
    <definedName name="KLP">'[23]Aux. Disgregados'!$AB$46</definedName>
    <definedName name="KM">#REF!</definedName>
    <definedName name="levantamiento_topo_expediente_servid">'[23]Aux. Disgregados'!$P$46</definedName>
    <definedName name="listademodulos">#REF!</definedName>
    <definedName name="LISTADO">#REF!</definedName>
    <definedName name="LISTAMATERIALES">#REF!</definedName>
    <definedName name="ListaSuministros">#REF!</definedName>
    <definedName name="LKM">#REF!</definedName>
    <definedName name="LOC">'[23]Aux. Disgregados'!$AA$46</definedName>
    <definedName name="LOCAL">[30]Presupuesto!#REF!</definedName>
    <definedName name="localidades">'[31]Aux. Disgregados'!$F$46</definedName>
    <definedName name="LP_RP">#REF!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M_70">#REF!</definedName>
    <definedName name="M">'[31]Aux. Disgregados'!#REF!</definedName>
    <definedName name="MARI">'[32]FORMA-LS3'!$A$1:$M$53</definedName>
    <definedName name="MARI1">'[32]FORMA-LS1-LS2'!$A$17:$Q$83</definedName>
    <definedName name="MARI2">'[32]FORMA- RE1'!$A$3:$H$52</definedName>
    <definedName name="MARI3">'[32]FORMA-RL1'!$B$1:$L$46</definedName>
    <definedName name="MARI4">'[32]FORMA-SE2'!$M$5</definedName>
    <definedName name="MARI5">'[32]FORMA-SE2'!#REF!</definedName>
    <definedName name="MARI7">'[32]FORMA-SE2'!#REF!</definedName>
    <definedName name="MARI8">'[32]FORMA-LS1-LS2'!$A$98:$Q$170</definedName>
    <definedName name="Matriz">#REF!</definedName>
    <definedName name="MC">#REF!</definedName>
    <definedName name="MD">#REF!</definedName>
    <definedName name="meses">'[31]Aux. Disgregados'!#REF!</definedName>
    <definedName name="meses_EstudioIngeniería">'[23]Aux. Disgregados'!$I$46</definedName>
    <definedName name="meses_obra">'[23]Aux. Disgregados'!$E$46</definedName>
    <definedName name="MET">#REF!</definedName>
    <definedName name="METRADO">#REF!</definedName>
    <definedName name="Min">'[33]Analisis de la T.C. - 2.2'!$AB$6</definedName>
    <definedName name="MNP">'[11]#¡REF'!#REF!</definedName>
    <definedName name="Moneda">#REF!</definedName>
    <definedName name="monitoreo_inspec_EstudioIngeniería">'[23]Aux. Disgregados'!$L$46</definedName>
    <definedName name="MONOFASICO">#REF!</definedName>
    <definedName name="MONTAJE">#REF!</definedName>
    <definedName name="Monto">'[31]Aux. Disgregados'!$D$28</definedName>
    <definedName name="Murete">#REF!</definedName>
    <definedName name="MuyConcentrado">#REF!</definedName>
    <definedName name="MuyDisperso">#REF!</definedName>
    <definedName name="name_proy">'[15]RES-GRAL'!$F$22</definedName>
    <definedName name="ncon">[9]Datos!$D$3</definedName>
    <definedName name="ncont">[9]Datos!$D$4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>#REF!</definedName>
    <definedName name="Nombre_Proyecto">'[31]Aux. Disgregados'!$D$46</definedName>
    <definedName name="NOMBRE1">#REF!</definedName>
    <definedName name="NOMBRE2">#REF!</definedName>
    <definedName name="NOMBRE2_1">#REF!</definedName>
    <definedName name="NOMBRE3">#REF!</definedName>
    <definedName name="npro">[9]Datos!$D$2</definedName>
    <definedName name="OCIVIL">[34]CIVIL!$A$47:$BQ$150</definedName>
    <definedName name="ope">[35]Hoja4!#REF!</definedName>
    <definedName name="OTROS">[1]A!$D$64:$D$65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rarrayo">'[25]DATOS DE CAMPO'!#REF!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B">#REF!</definedName>
    <definedName name="PB_2">#REF!</definedName>
    <definedName name="PB_25">[36]ENTR_F!$D$11:$BH$31</definedName>
    <definedName name="PB_3">#REF!</definedName>
    <definedName name="PB_7">'[36]3_1'!$C$7:$BG$33</definedName>
    <definedName name="PB_8">#REF!</definedName>
    <definedName name="PBCD">[9]Datos!$D$16</definedName>
    <definedName name="PBLP">[9]Datos!$D$12</definedName>
    <definedName name="PBRP">[9]Datos!$D$13</definedName>
    <definedName name="PBRS">[9]Datos!$D$15</definedName>
    <definedName name="PBSE">[9]Datos!$D$14</definedName>
    <definedName name="PCCD">[9]Datos!$D$23</definedName>
    <definedName name="PCLP">[9]Datos!$D$19</definedName>
    <definedName name="PCRP">[9]Datos!$D$20</definedName>
    <definedName name="PCRS">[9]Datos!$D$22</definedName>
    <definedName name="PCSE">[9]Datos!$D$21</definedName>
    <definedName name="PEL">#REF!</definedName>
    <definedName name="Peso">#REF!</definedName>
    <definedName name="Plan_consumidores">'[23]Aux. Disgregados'!$H$46</definedName>
    <definedName name="plazo_expediente_servid">'[23]Aux. Disgregados'!$O$46</definedName>
    <definedName name="Pliego1">[26]AnexoVI!$A$1:$C$45</definedName>
    <definedName name="PME">#REF!</definedName>
    <definedName name="PorcentajeCEdelTotalCargas">'[37]DATOS DE CAMPO'!#REF!</definedName>
    <definedName name="PORTALINEA">#REF!</definedName>
    <definedName name="PORTALINEA_12P">#REF!</definedName>
    <definedName name="PORTALINEA_8E">#REF!</definedName>
    <definedName name="POSTE">#REF!</definedName>
    <definedName name="POSTECODIGO">#REF!</definedName>
    <definedName name="POSTES">#REF!</definedName>
    <definedName name="Postes12mts40pies_en_SE1Ø2Ø">'[38]DATOS DE CAMPO'!#REF!</definedName>
    <definedName name="POSTEXCAVA">#REF!</definedName>
    <definedName name="POSTEXCAVAMAD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SUMINISTRO">#REF!</definedName>
    <definedName name="PRECIOSTRANSPORTE">#REF!</definedName>
    <definedName name="PRIMERA">#REF!</definedName>
    <definedName name="PRIMERO">'[7]FORMA-LS1-LS2'!$A$17:$Q$83</definedName>
    <definedName name="PRINT_AREA">#N/A</definedName>
    <definedName name="Print_Area_3">#REF!</definedName>
    <definedName name="Print_Area_MI">#REF!</definedName>
    <definedName name="PRINT_AREA_MI_12">[39]CAP_120mm2!$B$3:$H$58</definedName>
    <definedName name="PRINT_AREA_MI_20">[40]CAP_120mm2!$B$3:$H$58</definedName>
    <definedName name="PRINT_AREA_MI_21">[39]CAP_120mm2!$B$3:$H$58</definedName>
    <definedName name="PRINT_AREA_MI_5">#REF!</definedName>
    <definedName name="PRINT_AREA_MI_6">#REF!</definedName>
    <definedName name="PRINT_TITLES">#N/A</definedName>
    <definedName name="PROCMAN2">'[27]PROC MANT LT 1'!#REF!</definedName>
    <definedName name="PROCMAN2_12">'[28]PROC MANT LT 1'!#REF!</definedName>
    <definedName name="PROCMAN2_20">'[27]PROC MANT LT 1'!#REF!</definedName>
    <definedName name="PROCMAN2_21">'[28]PROC MANT LT 1'!#REF!</definedName>
    <definedName name="PROG_E1">#REF!</definedName>
    <definedName name="Prom">'[33]Analisis de la T.C. - 2.2'!$AC$6</definedName>
    <definedName name="PROV">[41]CENSO93!$C$2</definedName>
    <definedName name="Proyect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Q">'[42]1'!#REF!</definedName>
    <definedName name="QQQ">'[19]#¡REF'!#REF!</definedName>
    <definedName name="QQQQ">#REF!</definedName>
    <definedName name="RadioAccion">'[37]DATOS DE CAMPO'!#REF!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egion">#REF!</definedName>
    <definedName name="Rell_11cac">#REF!</definedName>
    <definedName name="Rell_12cac">#REF!</definedName>
    <definedName name="Rell_cemen_I_p11">#REF!</definedName>
    <definedName name="Rell_cemen_I_p12">#REF!</definedName>
    <definedName name="Rell_cemen_II_p11">#REF!</definedName>
    <definedName name="Rell_cemen_II_p12">#REF!</definedName>
    <definedName name="Rell_cemen_III_p11">#REF!</definedName>
    <definedName name="Rell_cemen_III_p12">#REF!</definedName>
    <definedName name="Rell_I_p11">#REF!</definedName>
    <definedName name="Rell_I_p12">#REF!</definedName>
    <definedName name="Rell_I_pat1">#REF!</definedName>
    <definedName name="Rell_I_pat1c">#REF!</definedName>
    <definedName name="Rell_I_ri">#REF!</definedName>
    <definedName name="Rell_I_rv">#REF!</definedName>
    <definedName name="Rell_II_p11">#REF!</definedName>
    <definedName name="Rell_II_p12">#REF!</definedName>
    <definedName name="Rell_II_pat1">#REF!</definedName>
    <definedName name="Rell_II_pat1c">#REF!</definedName>
    <definedName name="Rell_II_ri">#REF!</definedName>
    <definedName name="Rell_II_rv">#REF!</definedName>
    <definedName name="Rell_III_p11">#REF!</definedName>
    <definedName name="Rell_III_p12">#REF!</definedName>
    <definedName name="Rell_III_pat1">#REF!</definedName>
    <definedName name="Rell_III_pat1c">#REF!</definedName>
    <definedName name="Rell_III_ri">#REF!</definedName>
    <definedName name="Rell_III_rv">#REF!</definedName>
    <definedName name="Rell_ret">#REF!</definedName>
    <definedName name="Relleno_Cimentación_poste">[16]DATA!$Q$1</definedName>
    <definedName name="REPORTE">[1]A!$D$9</definedName>
    <definedName name="RES">'[6]#¡REF'!#REF!</definedName>
    <definedName name="RESUMEN">#REF!</definedName>
    <definedName name="RETENIDA_12P">#REF!</definedName>
    <definedName name="RETENIDA_8E">#REF!</definedName>
    <definedName name="REVISAR">#REF!</definedName>
    <definedName name="REVISAR1">#REF!</definedName>
    <definedName name="RI">#REF!</definedName>
    <definedName name="RI_A">#REF!</definedName>
    <definedName name="RI_S">#REF!</definedName>
    <definedName name="RRR">'[42]1'!#REF!</definedName>
    <definedName name="RSSUMEN">'[6]#¡REF'!#REF!</definedName>
    <definedName name="RV">#REF!</definedName>
    <definedName name="RV_A">#REF!</definedName>
    <definedName name="RV_S">#REF!</definedName>
    <definedName name="s">[8]REV3!$D$3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>#REF!</definedName>
    <definedName name="se_220_60_1">[43]SE_Piura_Oeste!#REF!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[43]SE_Piura_Oeste!#REF!</definedName>
    <definedName name="se1_2">[43]SE_Piura_Oeste!#REF!</definedName>
    <definedName name="se1_3">[43]SE_Piura_Oeste!#REF!</definedName>
    <definedName name="se1_4">[43]SE_Piura_Oeste!#REF!</definedName>
    <definedName name="se10_1">[43]SE_Santa_Rosa!#REF!</definedName>
    <definedName name="se10_2">[43]SE_Santa_Rosa!#REF!</definedName>
    <definedName name="se11_1">[43]SE_San_Juan!#REF!</definedName>
    <definedName name="se12_1">[43]SE_Independencia!#REF!</definedName>
    <definedName name="se12_2">[43]SE_Independencia!#REF!</definedName>
    <definedName name="se13_1">[43]SE_Ica!#REF!</definedName>
    <definedName name="se13_2">[43]SE_Ica!#REF!</definedName>
    <definedName name="se2_1">[43]SE_Chiclayo_Oeste!#REF!</definedName>
    <definedName name="se2_2">[43]SE_Chiclayo_Oeste!#REF!</definedName>
    <definedName name="se3_1">'[7]FORMA-SE2'!#REF!</definedName>
    <definedName name="se3_2">'[7]FORMA-SE2'!#REF!</definedName>
    <definedName name="se4_1">[43]SE_Trujillo_Norte!#REF!</definedName>
    <definedName name="se4_2">[43]SE_Trujillo_Norte!#REF!</definedName>
    <definedName name="se4_3">[43]SE_Trujillo_Norte!#REF!</definedName>
    <definedName name="se4_4">[43]SE_Trujillo_Norte!#REF!</definedName>
    <definedName name="se5_1">[43]SE_Chimbote1!#REF!</definedName>
    <definedName name="se5_2">[43]SE_Chimbote1!#REF!</definedName>
    <definedName name="se5_3">[43]SE_Chimbote1!#REF!</definedName>
    <definedName name="se5_4">[43]SE_Chimbote1!#REF!</definedName>
    <definedName name="se6_1">[43]SE_Paramonga_Nueva!#REF!</definedName>
    <definedName name="se6_2">[43]SE_Paramonga_Nueva!#REF!</definedName>
    <definedName name="se9_1">[43]SE_Chavarria!#REF!</definedName>
    <definedName name="se9_2">[43]SE_Chavarria!#REF!</definedName>
    <definedName name="se9_3">[43]SE_Chavarria!#REF!</definedName>
    <definedName name="SEAL">#REF!</definedName>
    <definedName name="SeccionadorCutOut">'[25]DATOS DE CAMPO'!#REF!</definedName>
    <definedName name="SEGUN">'[7]FORMA-LS1-LS2'!$A$98:$Q$170</definedName>
    <definedName name="SEGUNDA">#REF!</definedName>
    <definedName name="SEGUNDO">'[7]FORMA-LS1-LS2'!$A$98:$Q$168</definedName>
    <definedName name="SEN">#REF!</definedName>
    <definedName name="SGUN">'[32]FORMA-LS1-LS2'!$A$98:$Q$168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NIP55820">[44]APUTANTANI!#REF!</definedName>
    <definedName name="Sol">#REF!</definedName>
    <definedName name="SOL_1">[29]CALCULO!#REF!</definedName>
    <definedName name="SOPOR">'[32]FORMA-LS1-LS2'!$A$86:$P$169</definedName>
    <definedName name="SOPORTE">'[7]FORMA-LS1-LS2'!$A$86:$P$169</definedName>
    <definedName name="ss" hidden="1">{"vista 1",#N/A,FALSE,"CMP";"vista 2",#N/A,FALSE,"CMP"}</definedName>
    <definedName name="SSEE">'[32]FORMA-ST1'!$A$2:$S$55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hidden="1">{"vista 1",#N/A,FALSE,"CMP";"vista 2",#N/A,FALSE,"CMP"}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TB">#REF!</definedName>
    <definedName name="STEEL">[45]Fundacion!$J$23:$Q$30</definedName>
    <definedName name="SUBESTACIONES">'[7]FORMA-ST1'!$A$2:$S$55</definedName>
    <definedName name="Sujección_retenida">[16]DATA!$Q$4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INISTRO">[1]A!$D$73</definedName>
    <definedName name="SUMITRANSPORTE">#REF!</definedName>
    <definedName name="Sup_preinversion">'[31]Aux. Disgregados'!$D$30</definedName>
    <definedName name="T">'[46]#¡REF'!#REF!</definedName>
    <definedName name="tabtabtab">[47]LINEAS!$A$3:$BR$18</definedName>
    <definedName name="Tasa">#REF!</definedName>
    <definedName name="tc">'[15]RES-GRAL'!$J$24</definedName>
    <definedName name="TENSION">#REF!</definedName>
    <definedName name="TERCERA">#REF!</definedName>
    <definedName name="_xlnm.Print_Titles" localSheetId="5">LP!$1:$10</definedName>
    <definedName name="_xlnm.Print_Titles" localSheetId="6">RP!$1:$10</definedName>
    <definedName name="_xlnm.Print_Titles" localSheetId="7">RS!$1:$10</definedName>
    <definedName name="_xlnm.Print_Titles" localSheetId="8">SFD!$1:$10</definedName>
    <definedName name="TO_MAT">[1]A!$D$42</definedName>
    <definedName name="Topo_Loc_EstudioIngeniería">'[23]Aux. Disgregados'!$K$46</definedName>
    <definedName name="Topo_LP_EstudioIngeniería">'[23]Aux. Disgregados'!$J$46</definedName>
    <definedName name="TORRE">[45]cantidades!$A$9:$BU$335</definedName>
    <definedName name="trafo_1">#REF!</definedName>
    <definedName name="trafo_2">#REF!</definedName>
    <definedName name="trafo_3">#REF!</definedName>
    <definedName name="TRAMO1">[14]detalle!$F$16:$F$1780</definedName>
    <definedName name="Traslado_tierraprestamo">[16]DATA!$Q$3</definedName>
    <definedName name="TRIFASICO">#REF!</definedName>
    <definedName name="TROT">[8]REV3!$D$5</definedName>
    <definedName name="TS_0">#REF!</definedName>
    <definedName name="TS_2">#REF!</definedName>
    <definedName name="TS_3">#REF!</definedName>
    <definedName name="TT">#REF!</definedName>
    <definedName name="UND.">#REF!</definedName>
    <definedName name="Usuarios">'[48]Datos de Entrada'!$D$13</definedName>
    <definedName name="uti">[9]Datos!$D$8</definedName>
    <definedName name="V">#REF!</definedName>
    <definedName name="valaño">#REF!</definedName>
    <definedName name="valmes">#REF!</definedName>
    <definedName name="VALNUM">#REF!</definedName>
    <definedName name="VALNUM2">#REF!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#REF!</definedName>
    <definedName name="VBSE">#REF!</definedName>
    <definedName name="VERTICE2">#REF!</definedName>
    <definedName name="VERTICE2_NUEVO">#REF!</definedName>
    <definedName name="VIENTO">[8]REV3!$A$14</definedName>
    <definedName name="VIENTOS">[8]DATOS!$H$3:$K$5</definedName>
    <definedName name="VOL">#REF!</definedName>
    <definedName name="VOLT">#REF!</definedName>
    <definedName name="VOLUMENES1">#REF!</definedName>
    <definedName name="VP">#REF!</definedName>
    <definedName name="VP_12">[49]Base!#REF!</definedName>
    <definedName name="VP_2">#REF!</definedName>
    <definedName name="VP_20">#REF!</definedName>
    <definedName name="VP_21">[49]Base!#REF!</definedName>
    <definedName name="VP_25">[36]ENTR_F!#REF!</definedName>
    <definedName name="VP_3">#REF!</definedName>
    <definedName name="VP_4">'[50]Identificación Cargas _Anexo 4_'!#REF!</definedName>
    <definedName name="VP_7">'[36]3_1'!#REF!</definedName>
    <definedName name="VP_8">#REF!</definedName>
    <definedName name="vu111_3">#REF!</definedName>
    <definedName name="VV_ACUM">#REF!</definedName>
    <definedName name="VV_COTA">#REF!</definedName>
    <definedName name="WAL">'[19]#¡REF'!#REF!</definedName>
    <definedName name="WALTER">'[19]#¡REF'!#REF!</definedName>
    <definedName name="WC">[8]REV3!$D$7</definedName>
    <definedName name="wqs" hidden="1">'[39]CAP-120mm2'!$E$9</definedName>
    <definedName name="wrn.Esquema._.Unifilar._.de._.CMP." hidden="1">{"vista 1",#N/A,FALSE,"CMP";"vista 2",#N/A,FALSE,"CMP"}</definedName>
    <definedName name="wrn.INCASA." hidden="1">{#N/A,#N/A,FALSE,"Inca"}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WW">'[42]1'!#REF!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#REF!</definedName>
    <definedName name="X_1">#REF!</definedName>
    <definedName name="X_2">#REF!</definedName>
    <definedName name="X_3">#REF!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>#REF!</definedName>
    <definedName name="Y_D">#REF!</definedName>
    <definedName name="Y_MC">#REF!</definedName>
    <definedName name="Y_MD">#REF!</definedName>
    <definedName name="yy" hidden="1">{"vista 1",#N/A,FALSE,"CMP";"vista 2",#N/A,FALSE,"CMP"}</definedName>
    <definedName name="Z_56770540_A97A_11D1_870B_00002143DF72_.wvu.Rows" hidden="1">[51]PRESUPUESTO!#REF!,[51]PRESUPUESTO!#REF!,[51]PRESUPUESTO!#REF!,[51]PRESUPUESTO!#REF!,[51]PRESUPUESTO!#REF!,[51]PRESUPUESTO!#REF!,[51]PRESUPUESTO!#REF!,[51]PRESUPUESTO!#REF!,[51]PRESUPUESTO!#REF!,[51]PRESUPUESTO!#REF!,[51]PRESUPUESTO!#REF!,[51]PRESUPUESTO!$A$287:$IV$287,[51]PRESUPUESTO!$A$292:$IV$294</definedName>
    <definedName name="Z_6104898C_BDC8_4F17_AC01_8428510C4C82_.wvu.Cols" hidden="1">#REF!,#REF!</definedName>
    <definedName name="Z_6104898C_BDC8_4F17_AC01_8428510C4C82_.wvu.PrintArea" hidden="1">#REF!</definedName>
    <definedName name="ZONA">#REF!</definedName>
    <definedName name="ZZZZZZZ">'[12]#¡REF'!#REF!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1" l="1"/>
  <c r="E25" i="11"/>
  <c r="F25" i="11"/>
  <c r="M14" i="11"/>
  <c r="M15" i="11" s="1"/>
  <c r="M16" i="11" s="1"/>
  <c r="C25" i="11"/>
  <c r="J13" i="8" l="1"/>
  <c r="I32" i="4"/>
  <c r="J12" i="9" s="1"/>
  <c r="I22" i="4"/>
  <c r="J13" i="9" s="1"/>
  <c r="I12" i="4"/>
  <c r="J11" i="9" s="1"/>
  <c r="I36" i="3"/>
  <c r="I34" i="3" s="1"/>
  <c r="J12" i="8" s="1"/>
  <c r="I23" i="3"/>
  <c r="I12" i="3"/>
  <c r="J11" i="8" s="1"/>
  <c r="I46" i="2"/>
  <c r="I44" i="2" s="1"/>
  <c r="J12" i="7" s="1"/>
  <c r="I28" i="2"/>
  <c r="J13" i="7" s="1"/>
  <c r="I12" i="2"/>
  <c r="J11" i="7" s="1"/>
  <c r="I51" i="1"/>
  <c r="I41" i="1"/>
  <c r="I26" i="1"/>
  <c r="J13" i="6" s="1"/>
  <c r="I12" i="1"/>
  <c r="J11" i="6" s="1"/>
  <c r="J14" i="7" l="1"/>
  <c r="L13" i="10"/>
  <c r="J14" i="9"/>
  <c r="J14" i="8"/>
  <c r="J16" i="8" s="1"/>
  <c r="J19" i="8" s="1"/>
  <c r="L11" i="10"/>
  <c r="J17" i="9"/>
  <c r="J16" i="9"/>
  <c r="J17" i="8"/>
  <c r="J17" i="7"/>
  <c r="J16" i="7"/>
  <c r="I40" i="4"/>
  <c r="I42" i="4" s="1"/>
  <c r="I49" i="3"/>
  <c r="I51" i="3" s="1"/>
  <c r="I56" i="2"/>
  <c r="I57" i="2" s="1"/>
  <c r="I40" i="1"/>
  <c r="J19" i="9" l="1"/>
  <c r="J19" i="7"/>
  <c r="I62" i="1"/>
  <c r="I64" i="1" s="1"/>
  <c r="J12" i="6"/>
  <c r="I41" i="4"/>
  <c r="I43" i="4" s="1"/>
  <c r="I44" i="4" s="1"/>
  <c r="I45" i="4" s="1"/>
  <c r="I50" i="3"/>
  <c r="I52" i="3" s="1"/>
  <c r="I53" i="3" s="1"/>
  <c r="I54" i="3" s="1"/>
  <c r="I58" i="2"/>
  <c r="I59" i="2" s="1"/>
  <c r="I60" i="2" s="1"/>
  <c r="I61" i="2" s="1"/>
  <c r="L12" i="10" l="1"/>
  <c r="L15" i="10" s="1"/>
  <c r="J14" i="6"/>
  <c r="I63" i="1"/>
  <c r="I65" i="1" s="1"/>
  <c r="I66" i="1" s="1"/>
  <c r="I67" i="1" s="1"/>
  <c r="J17" i="6" l="1"/>
  <c r="J16" i="6"/>
  <c r="J19" i="6" s="1"/>
  <c r="L18" i="10"/>
  <c r="L17" i="10"/>
  <c r="L21" i="10" s="1"/>
  <c r="L23" i="10" s="1"/>
  <c r="L24" i="10" s="1"/>
  <c r="N26" i="1" l="1"/>
  <c r="O39" i="4" l="1"/>
  <c r="O53" i="1" l="1"/>
  <c r="O54" i="1"/>
  <c r="C3" i="11" l="1"/>
  <c r="K16" i="11"/>
  <c r="K15" i="11"/>
  <c r="K14" i="11"/>
  <c r="K13" i="11"/>
  <c r="M13" i="11" s="1"/>
  <c r="N7" i="10" l="1"/>
  <c r="G7" i="10" s="1"/>
  <c r="N6" i="10"/>
  <c r="G6" i="10" s="1"/>
  <c r="N5" i="10"/>
  <c r="G5" i="10" s="1"/>
  <c r="N2" i="10"/>
  <c r="M2" i="10"/>
  <c r="K2" i="10"/>
  <c r="J2" i="10"/>
  <c r="I2" i="10"/>
  <c r="H2" i="10"/>
  <c r="G2" i="10"/>
  <c r="F2" i="10"/>
  <c r="E2" i="10"/>
  <c r="D2" i="10"/>
  <c r="C2" i="10"/>
  <c r="M8" i="9"/>
  <c r="M7" i="9"/>
  <c r="M8" i="8"/>
  <c r="M7" i="8"/>
  <c r="M8" i="7"/>
  <c r="M8" i="6"/>
  <c r="F41" i="1" l="1"/>
  <c r="C6" i="5" l="1"/>
  <c r="C5" i="5"/>
  <c r="C3" i="5"/>
  <c r="M34" i="4"/>
  <c r="O34" i="4" s="1"/>
  <c r="M35" i="4"/>
  <c r="O35" i="4" s="1"/>
  <c r="M36" i="4"/>
  <c r="O36" i="4" s="1"/>
  <c r="M37" i="4"/>
  <c r="O37" i="4" s="1"/>
  <c r="F32" i="4"/>
  <c r="G12" i="9" s="1"/>
  <c r="G32" i="4"/>
  <c r="H12" i="9" s="1"/>
  <c r="H32" i="4"/>
  <c r="I12" i="9" s="1"/>
  <c r="J32" i="4"/>
  <c r="K12" i="9" s="1"/>
  <c r="K32" i="4"/>
  <c r="L12" i="9" s="1"/>
  <c r="E32" i="4"/>
  <c r="F12" i="9" s="1"/>
  <c r="M38" i="4"/>
  <c r="O38" i="4" s="1"/>
  <c r="M33" i="4"/>
  <c r="O33" i="4" s="1"/>
  <c r="M31" i="4"/>
  <c r="O31" i="4" s="1"/>
  <c r="M30" i="4"/>
  <c r="O30" i="4" s="1"/>
  <c r="M29" i="4"/>
  <c r="O29" i="4" s="1"/>
  <c r="M28" i="4"/>
  <c r="O28" i="4" s="1"/>
  <c r="M27" i="4"/>
  <c r="O27" i="4" s="1"/>
  <c r="M26" i="4"/>
  <c r="O26" i="4" s="1"/>
  <c r="M25" i="4"/>
  <c r="O25" i="4" s="1"/>
  <c r="M24" i="4"/>
  <c r="O24" i="4" s="1"/>
  <c r="M23" i="4"/>
  <c r="O23" i="4" s="1"/>
  <c r="K22" i="4"/>
  <c r="L13" i="9" s="1"/>
  <c r="J22" i="4"/>
  <c r="K13" i="9" s="1"/>
  <c r="H22" i="4"/>
  <c r="I13" i="9" s="1"/>
  <c r="G22" i="4"/>
  <c r="H13" i="9" s="1"/>
  <c r="F22" i="4"/>
  <c r="G13" i="9" s="1"/>
  <c r="E22" i="4"/>
  <c r="F13" i="9" s="1"/>
  <c r="M21" i="4"/>
  <c r="O21" i="4" s="1"/>
  <c r="M20" i="4"/>
  <c r="O20" i="4" s="1"/>
  <c r="M19" i="4"/>
  <c r="O19" i="4" s="1"/>
  <c r="M18" i="4"/>
  <c r="O18" i="4" s="1"/>
  <c r="M17" i="4"/>
  <c r="O17" i="4" s="1"/>
  <c r="M16" i="4"/>
  <c r="O16" i="4" s="1"/>
  <c r="M15" i="4"/>
  <c r="O15" i="4" s="1"/>
  <c r="M14" i="4"/>
  <c r="O14" i="4" s="1"/>
  <c r="M13" i="4"/>
  <c r="O13" i="4" s="1"/>
  <c r="K12" i="4"/>
  <c r="L11" i="9" s="1"/>
  <c r="J12" i="4"/>
  <c r="H12" i="4"/>
  <c r="I11" i="9" s="1"/>
  <c r="G12" i="4"/>
  <c r="F12" i="4"/>
  <c r="G11" i="9" s="1"/>
  <c r="E12" i="4"/>
  <c r="F11" i="9" s="1"/>
  <c r="M47" i="3"/>
  <c r="O47" i="3" s="1"/>
  <c r="M46" i="3"/>
  <c r="O46" i="3" s="1"/>
  <c r="M45" i="3"/>
  <c r="O45" i="3" s="1"/>
  <c r="M44" i="3"/>
  <c r="O44" i="3" s="1"/>
  <c r="M43" i="3"/>
  <c r="O43" i="3" s="1"/>
  <c r="M42" i="3"/>
  <c r="O42" i="3" s="1"/>
  <c r="M41" i="3"/>
  <c r="O41" i="3" s="1"/>
  <c r="M40" i="3"/>
  <c r="O40" i="3" s="1"/>
  <c r="M39" i="3"/>
  <c r="O39" i="3" s="1"/>
  <c r="M38" i="3"/>
  <c r="O38" i="3" s="1"/>
  <c r="M37" i="3"/>
  <c r="O37" i="3" s="1"/>
  <c r="K36" i="3"/>
  <c r="K34" i="3" s="1"/>
  <c r="J36" i="3"/>
  <c r="J34" i="3" s="1"/>
  <c r="K12" i="8" s="1"/>
  <c r="H36" i="3"/>
  <c r="H34" i="3" s="1"/>
  <c r="I12" i="8" s="1"/>
  <c r="G36" i="3"/>
  <c r="G34" i="3" s="1"/>
  <c r="H12" i="8" s="1"/>
  <c r="F36" i="3"/>
  <c r="F34" i="3" s="1"/>
  <c r="G12" i="8" s="1"/>
  <c r="E36" i="3"/>
  <c r="E34" i="3" s="1"/>
  <c r="F12" i="8" s="1"/>
  <c r="M35" i="3"/>
  <c r="O35" i="3" s="1"/>
  <c r="M33" i="3"/>
  <c r="O33" i="3" s="1"/>
  <c r="M32" i="3"/>
  <c r="O32" i="3" s="1"/>
  <c r="M31" i="3"/>
  <c r="O31" i="3" s="1"/>
  <c r="M30" i="3"/>
  <c r="O30" i="3" s="1"/>
  <c r="M29" i="3"/>
  <c r="O29" i="3" s="1"/>
  <c r="M28" i="3"/>
  <c r="O28" i="3" s="1"/>
  <c r="M27" i="3"/>
  <c r="O27" i="3" s="1"/>
  <c r="M26" i="3"/>
  <c r="O26" i="3" s="1"/>
  <c r="M25" i="3"/>
  <c r="O25" i="3" s="1"/>
  <c r="M24" i="3"/>
  <c r="O24" i="3" s="1"/>
  <c r="K23" i="3"/>
  <c r="L13" i="8" s="1"/>
  <c r="J23" i="3"/>
  <c r="K13" i="8" s="1"/>
  <c r="H23" i="3"/>
  <c r="I13" i="8" s="1"/>
  <c r="G23" i="3"/>
  <c r="H13" i="8" s="1"/>
  <c r="F23" i="3"/>
  <c r="G13" i="8" s="1"/>
  <c r="E23" i="3"/>
  <c r="F13" i="8" s="1"/>
  <c r="M22" i="3"/>
  <c r="O22" i="3" s="1"/>
  <c r="M21" i="3"/>
  <c r="O21" i="3" s="1"/>
  <c r="M20" i="3"/>
  <c r="O20" i="3" s="1"/>
  <c r="M19" i="3"/>
  <c r="O19" i="3" s="1"/>
  <c r="M18" i="3"/>
  <c r="O18" i="3" s="1"/>
  <c r="M17" i="3"/>
  <c r="O17" i="3" s="1"/>
  <c r="M16" i="3"/>
  <c r="O16" i="3" s="1"/>
  <c r="M15" i="3"/>
  <c r="O15" i="3" s="1"/>
  <c r="M14" i="3"/>
  <c r="O14" i="3" s="1"/>
  <c r="M13" i="3"/>
  <c r="O13" i="3" s="1"/>
  <c r="K12" i="3"/>
  <c r="L11" i="8" s="1"/>
  <c r="J12" i="3"/>
  <c r="K11" i="8" s="1"/>
  <c r="H12" i="3"/>
  <c r="I11" i="8" s="1"/>
  <c r="G12" i="3"/>
  <c r="H11" i="8" s="1"/>
  <c r="F12" i="3"/>
  <c r="G11" i="8" s="1"/>
  <c r="E12" i="3"/>
  <c r="F11" i="8" s="1"/>
  <c r="F46" i="2"/>
  <c r="F44" i="2" s="1"/>
  <c r="G12" i="7" s="1"/>
  <c r="G46" i="2"/>
  <c r="G44" i="2" s="1"/>
  <c r="H12" i="7" s="1"/>
  <c r="H46" i="2"/>
  <c r="H44" i="2" s="1"/>
  <c r="I12" i="7" s="1"/>
  <c r="J46" i="2"/>
  <c r="J44" i="2" s="1"/>
  <c r="K12" i="7" s="1"/>
  <c r="K46" i="2"/>
  <c r="K44" i="2" s="1"/>
  <c r="L12" i="7" s="1"/>
  <c r="E46" i="2"/>
  <c r="E44" i="2" s="1"/>
  <c r="F12" i="7" s="1"/>
  <c r="K28" i="2"/>
  <c r="L13" i="7" s="1"/>
  <c r="J28" i="2"/>
  <c r="K13" i="7" s="1"/>
  <c r="H28" i="2"/>
  <c r="I13" i="7" s="1"/>
  <c r="G28" i="2"/>
  <c r="H13" i="7" s="1"/>
  <c r="F28" i="2"/>
  <c r="G13" i="7" s="1"/>
  <c r="E28" i="2"/>
  <c r="F13" i="7" s="1"/>
  <c r="F12" i="2"/>
  <c r="G11" i="7" s="1"/>
  <c r="G12" i="2"/>
  <c r="H11" i="7" s="1"/>
  <c r="H12" i="2"/>
  <c r="I11" i="7" s="1"/>
  <c r="J12" i="2"/>
  <c r="K11" i="7" s="1"/>
  <c r="K12" i="2"/>
  <c r="L11" i="7" s="1"/>
  <c r="E12" i="2"/>
  <c r="F11" i="7" s="1"/>
  <c r="M26" i="2"/>
  <c r="O26" i="2" s="1"/>
  <c r="M42" i="2"/>
  <c r="O42" i="2" s="1"/>
  <c r="M25" i="2"/>
  <c r="O25" i="2" s="1"/>
  <c r="K51" i="1"/>
  <c r="J51" i="1"/>
  <c r="H51" i="1"/>
  <c r="G51" i="1"/>
  <c r="F51" i="1"/>
  <c r="F40" i="1" s="1"/>
  <c r="G12" i="6" s="1"/>
  <c r="E51" i="1"/>
  <c r="K26" i="1"/>
  <c r="L13" i="6" s="1"/>
  <c r="J26" i="1"/>
  <c r="K13" i="6" s="1"/>
  <c r="H26" i="1"/>
  <c r="I13" i="6" s="1"/>
  <c r="G26" i="1"/>
  <c r="H13" i="6" s="1"/>
  <c r="F26" i="1"/>
  <c r="G13" i="6" s="1"/>
  <c r="E26" i="1"/>
  <c r="F13" i="6" s="1"/>
  <c r="F12" i="1"/>
  <c r="G11" i="6" s="1"/>
  <c r="G12" i="1"/>
  <c r="H11" i="6" s="1"/>
  <c r="H12" i="1"/>
  <c r="I11" i="6" s="1"/>
  <c r="J12" i="1"/>
  <c r="K11" i="6" s="1"/>
  <c r="K12" i="1"/>
  <c r="L11" i="6" s="1"/>
  <c r="E12" i="1"/>
  <c r="F11" i="6" s="1"/>
  <c r="M59" i="1"/>
  <c r="O59" i="1" s="1"/>
  <c r="M55" i="1"/>
  <c r="O55" i="1" s="1"/>
  <c r="G14" i="9" l="1"/>
  <c r="N13" i="10"/>
  <c r="I14" i="9"/>
  <c r="I16" i="9" s="1"/>
  <c r="K14" i="8"/>
  <c r="K16" i="8" s="1"/>
  <c r="G14" i="8"/>
  <c r="G17" i="8" s="1"/>
  <c r="I14" i="8"/>
  <c r="I16" i="8" s="1"/>
  <c r="K14" i="7"/>
  <c r="K17" i="7" s="1"/>
  <c r="I12" i="10"/>
  <c r="M11" i="7"/>
  <c r="F14" i="7"/>
  <c r="G40" i="4"/>
  <c r="G41" i="4" s="1"/>
  <c r="H11" i="9"/>
  <c r="H14" i="9" s="1"/>
  <c r="E40" i="4"/>
  <c r="H13" i="10"/>
  <c r="M13" i="6"/>
  <c r="L14" i="7"/>
  <c r="H40" i="4"/>
  <c r="H41" i="4" s="1"/>
  <c r="M12" i="7"/>
  <c r="K49" i="3"/>
  <c r="K50" i="3" s="1"/>
  <c r="L12" i="8"/>
  <c r="L14" i="8" s="1"/>
  <c r="J40" i="4"/>
  <c r="J42" i="4" s="1"/>
  <c r="K11" i="9"/>
  <c r="K14" i="9" s="1"/>
  <c r="F40" i="4"/>
  <c r="G16" i="9"/>
  <c r="G17" i="9"/>
  <c r="H11" i="10"/>
  <c r="M11" i="6"/>
  <c r="J13" i="10"/>
  <c r="I14" i="7"/>
  <c r="L14" i="9"/>
  <c r="I13" i="10"/>
  <c r="N11" i="10"/>
  <c r="K13" i="10"/>
  <c r="H14" i="7"/>
  <c r="F14" i="8"/>
  <c r="M11" i="8"/>
  <c r="M13" i="8"/>
  <c r="J11" i="10"/>
  <c r="G14" i="6"/>
  <c r="I11" i="10"/>
  <c r="M13" i="10"/>
  <c r="G14" i="7"/>
  <c r="M13" i="9"/>
  <c r="K11" i="10"/>
  <c r="M13" i="7"/>
  <c r="H14" i="8"/>
  <c r="F14" i="9"/>
  <c r="M12" i="9"/>
  <c r="M32" i="4"/>
  <c r="O32" i="4" s="1"/>
  <c r="K40" i="4"/>
  <c r="K42" i="4" s="1"/>
  <c r="G42" i="4"/>
  <c r="H42" i="4"/>
  <c r="E49" i="3"/>
  <c r="E51" i="3" s="1"/>
  <c r="G49" i="3"/>
  <c r="G50" i="3" s="1"/>
  <c r="H49" i="3"/>
  <c r="H50" i="3" s="1"/>
  <c r="J49" i="3"/>
  <c r="J50" i="3" s="1"/>
  <c r="F49" i="3"/>
  <c r="F50" i="3" s="1"/>
  <c r="K56" i="2"/>
  <c r="K58" i="2" s="1"/>
  <c r="J56" i="2"/>
  <c r="J58" i="2" s="1"/>
  <c r="G56" i="2"/>
  <c r="G58" i="2" s="1"/>
  <c r="E56" i="2"/>
  <c r="E57" i="2" s="1"/>
  <c r="F56" i="2"/>
  <c r="F58" i="2" s="1"/>
  <c r="H56" i="2"/>
  <c r="H57" i="2" s="1"/>
  <c r="M12" i="4"/>
  <c r="M22" i="4"/>
  <c r="O22" i="4" s="1"/>
  <c r="M36" i="3"/>
  <c r="M23" i="3"/>
  <c r="O23" i="3" s="1"/>
  <c r="M12" i="3"/>
  <c r="M39" i="1"/>
  <c r="O39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M38" i="1"/>
  <c r="O38" i="1" s="1"/>
  <c r="M37" i="1"/>
  <c r="O37" i="1" s="1"/>
  <c r="M36" i="1"/>
  <c r="O36" i="1" s="1"/>
  <c r="M35" i="1"/>
  <c r="O35" i="1" s="1"/>
  <c r="M34" i="1"/>
  <c r="O34" i="1" s="1"/>
  <c r="G19" i="9" l="1"/>
  <c r="G16" i="8"/>
  <c r="I17" i="9"/>
  <c r="I19" i="9" s="1"/>
  <c r="M12" i="8"/>
  <c r="K51" i="3"/>
  <c r="K17" i="8"/>
  <c r="K19" i="8" s="1"/>
  <c r="M11" i="9"/>
  <c r="M14" i="9" s="1"/>
  <c r="J41" i="4"/>
  <c r="M11" i="10"/>
  <c r="O11" i="10" s="1"/>
  <c r="M34" i="3"/>
  <c r="O34" i="3" s="1"/>
  <c r="O36" i="3"/>
  <c r="I17" i="8"/>
  <c r="I19" i="8" s="1"/>
  <c r="G19" i="8"/>
  <c r="K16" i="7"/>
  <c r="K19" i="7" s="1"/>
  <c r="L16" i="8"/>
  <c r="L17" i="8"/>
  <c r="H17" i="7"/>
  <c r="H16" i="7"/>
  <c r="K16" i="9"/>
  <c r="K17" i="9"/>
  <c r="E42" i="4"/>
  <c r="E41" i="4"/>
  <c r="F17" i="9"/>
  <c r="F16" i="9"/>
  <c r="G17" i="6"/>
  <c r="G16" i="6"/>
  <c r="H16" i="9"/>
  <c r="H17" i="9"/>
  <c r="H16" i="8"/>
  <c r="H17" i="8"/>
  <c r="G17" i="7"/>
  <c r="G16" i="7"/>
  <c r="L16" i="9"/>
  <c r="L17" i="9"/>
  <c r="L17" i="7"/>
  <c r="L16" i="7"/>
  <c r="M14" i="8"/>
  <c r="I17" i="7"/>
  <c r="I16" i="7"/>
  <c r="F16" i="7"/>
  <c r="F17" i="7"/>
  <c r="F16" i="8"/>
  <c r="F17" i="8"/>
  <c r="O13" i="10"/>
  <c r="F42" i="4"/>
  <c r="F41" i="4"/>
  <c r="G13" i="10"/>
  <c r="M14" i="7"/>
  <c r="E58" i="2"/>
  <c r="K41" i="4"/>
  <c r="O12" i="4"/>
  <c r="M40" i="4"/>
  <c r="O40" i="4" s="1"/>
  <c r="E50" i="3"/>
  <c r="G51" i="3"/>
  <c r="H51" i="3"/>
  <c r="J51" i="3"/>
  <c r="F51" i="3"/>
  <c r="O12" i="3"/>
  <c r="G57" i="2"/>
  <c r="J57" i="2"/>
  <c r="M56" i="2"/>
  <c r="M58" i="2" s="1"/>
  <c r="O58" i="2" s="1"/>
  <c r="F57" i="2"/>
  <c r="K57" i="2"/>
  <c r="H58" i="2"/>
  <c r="M49" i="1"/>
  <c r="O49" i="1" s="1"/>
  <c r="P46" i="4"/>
  <c r="M17" i="9" l="1"/>
  <c r="M17" i="7"/>
  <c r="M16" i="7"/>
  <c r="L19" i="7"/>
  <c r="M16" i="8"/>
  <c r="G19" i="6"/>
  <c r="L19" i="9"/>
  <c r="K19" i="9"/>
  <c r="G11" i="10"/>
  <c r="H19" i="9"/>
  <c r="L19" i="8"/>
  <c r="M49" i="3"/>
  <c r="O49" i="3" s="1"/>
  <c r="H19" i="8"/>
  <c r="H19" i="7"/>
  <c r="I19" i="7"/>
  <c r="G19" i="7"/>
  <c r="M16" i="9"/>
  <c r="F19" i="8"/>
  <c r="M17" i="8"/>
  <c r="F19" i="7"/>
  <c r="F19" i="9"/>
  <c r="M41" i="4"/>
  <c r="O41" i="4" s="1"/>
  <c r="M42" i="4"/>
  <c r="O42" i="4" s="1"/>
  <c r="M57" i="2"/>
  <c r="O57" i="2" s="1"/>
  <c r="O56" i="2"/>
  <c r="D4" i="4"/>
  <c r="D5" i="4"/>
  <c r="D6" i="4"/>
  <c r="D7" i="4"/>
  <c r="B7" i="4"/>
  <c r="B2" i="4"/>
  <c r="B3" i="4"/>
  <c r="B4" i="4"/>
  <c r="B5" i="4"/>
  <c r="B6" i="4"/>
  <c r="B1" i="4"/>
  <c r="C5" i="3"/>
  <c r="C5" i="4" s="1"/>
  <c r="C6" i="3"/>
  <c r="C6" i="4" s="1"/>
  <c r="C3" i="3"/>
  <c r="C3" i="4" s="1"/>
  <c r="C5" i="2"/>
  <c r="C6" i="2"/>
  <c r="C3" i="2"/>
  <c r="B2" i="2"/>
  <c r="B2" i="3" s="1"/>
  <c r="B3" i="2"/>
  <c r="B3" i="3" s="1"/>
  <c r="B4" i="2"/>
  <c r="B4" i="3" s="1"/>
  <c r="B5" i="2"/>
  <c r="B5" i="3" s="1"/>
  <c r="B6" i="2"/>
  <c r="B6" i="3" s="1"/>
  <c r="B7" i="2"/>
  <c r="B7" i="3" s="1"/>
  <c r="B8" i="2"/>
  <c r="B1" i="2"/>
  <c r="B1" i="3" s="1"/>
  <c r="M19" i="9" l="1"/>
  <c r="M50" i="3"/>
  <c r="O50" i="3" s="1"/>
  <c r="M51" i="3"/>
  <c r="O51" i="3" s="1"/>
  <c r="M19" i="7"/>
  <c r="M19" i="8"/>
  <c r="M11" i="4"/>
  <c r="O11" i="4" s="1"/>
  <c r="M11" i="3"/>
  <c r="E43" i="4" l="1"/>
  <c r="E44" i="4" s="1"/>
  <c r="E52" i="3"/>
  <c r="E53" i="3" s="1"/>
  <c r="K52" i="3" l="1"/>
  <c r="F52" i="3"/>
  <c r="E45" i="4"/>
  <c r="G52" i="3"/>
  <c r="F43" i="4"/>
  <c r="G43" i="4"/>
  <c r="H43" i="4"/>
  <c r="J43" i="4"/>
  <c r="H52" i="3"/>
  <c r="F44" i="4" l="1"/>
  <c r="F45" i="4" s="1"/>
  <c r="G44" i="4"/>
  <c r="G45" i="4" s="1"/>
  <c r="H44" i="4"/>
  <c r="H45" i="4" s="1"/>
  <c r="J44" i="4"/>
  <c r="J45" i="4" s="1"/>
  <c r="K53" i="3"/>
  <c r="K54" i="3" s="1"/>
  <c r="G53" i="3"/>
  <c r="G54" i="3" s="1"/>
  <c r="F53" i="3"/>
  <c r="F54" i="3" s="1"/>
  <c r="H53" i="3"/>
  <c r="H54" i="3" s="1"/>
  <c r="E54" i="3"/>
  <c r="E47" i="4"/>
  <c r="E56" i="3" l="1"/>
  <c r="F47" i="4"/>
  <c r="G47" i="4" s="1"/>
  <c r="H47" i="4" s="1"/>
  <c r="I47" i="4" s="1"/>
  <c r="J47" i="4" s="1"/>
  <c r="F56" i="3"/>
  <c r="G56" i="3" s="1"/>
  <c r="H56" i="3" s="1"/>
  <c r="I56" i="3" s="1"/>
  <c r="M49" i="2"/>
  <c r="O49" i="2" s="1"/>
  <c r="M48" i="2"/>
  <c r="O48" i="2" s="1"/>
  <c r="M47" i="2"/>
  <c r="O47" i="2" s="1"/>
  <c r="M44" i="2"/>
  <c r="O44" i="2" s="1"/>
  <c r="M43" i="2"/>
  <c r="O43" i="2" s="1"/>
  <c r="M41" i="2"/>
  <c r="O41" i="2" s="1"/>
  <c r="M40" i="2"/>
  <c r="O40" i="2" s="1"/>
  <c r="M39" i="2"/>
  <c r="O39" i="2" s="1"/>
  <c r="M38" i="2"/>
  <c r="O38" i="2" s="1"/>
  <c r="M37" i="2"/>
  <c r="O37" i="2" s="1"/>
  <c r="M36" i="2"/>
  <c r="O36" i="2" s="1"/>
  <c r="M35" i="2"/>
  <c r="O35" i="2" s="1"/>
  <c r="M34" i="2"/>
  <c r="O34" i="2" s="1"/>
  <c r="M33" i="2"/>
  <c r="O33" i="2" s="1"/>
  <c r="M32" i="2"/>
  <c r="O32" i="2" s="1"/>
  <c r="M31" i="2"/>
  <c r="O31" i="2" s="1"/>
  <c r="M30" i="2"/>
  <c r="O30" i="2" s="1"/>
  <c r="M29" i="2"/>
  <c r="O29" i="2" s="1"/>
  <c r="M28" i="2"/>
  <c r="O28" i="2" s="1"/>
  <c r="M12" i="2"/>
  <c r="O12" i="2" s="1"/>
  <c r="M11" i="2"/>
  <c r="O11" i="2" s="1"/>
  <c r="M27" i="2" l="1"/>
  <c r="O27" i="2" s="1"/>
  <c r="M22" i="2"/>
  <c r="O22" i="2" s="1"/>
  <c r="M53" i="2"/>
  <c r="O53" i="2" s="1"/>
  <c r="M14" i="2"/>
  <c r="O14" i="2" s="1"/>
  <c r="M21" i="2"/>
  <c r="O21" i="2" s="1"/>
  <c r="M46" i="2"/>
  <c r="O46" i="2" s="1"/>
  <c r="M17" i="2"/>
  <c r="O17" i="2" s="1"/>
  <c r="M50" i="2"/>
  <c r="O50" i="2" s="1"/>
  <c r="M16" i="2"/>
  <c r="O16" i="2" s="1"/>
  <c r="M19" i="2"/>
  <c r="O19" i="2" s="1"/>
  <c r="M23" i="2"/>
  <c r="O23" i="2" s="1"/>
  <c r="M13" i="2"/>
  <c r="O13" i="2" s="1"/>
  <c r="M20" i="2"/>
  <c r="O20" i="2" s="1"/>
  <c r="M52" i="2"/>
  <c r="O52" i="2" s="1"/>
  <c r="M51" i="2"/>
  <c r="O51" i="2" s="1"/>
  <c r="M15" i="2"/>
  <c r="O15" i="2" s="1"/>
  <c r="M45" i="2"/>
  <c r="O45" i="2" s="1"/>
  <c r="M24" i="2"/>
  <c r="O24" i="2" s="1"/>
  <c r="M54" i="2"/>
  <c r="O54" i="2" s="1"/>
  <c r="H59" i="2" l="1"/>
  <c r="E59" i="2"/>
  <c r="E60" i="2" s="1"/>
  <c r="F59" i="2"/>
  <c r="J59" i="2"/>
  <c r="G59" i="2"/>
  <c r="G60" i="2" l="1"/>
  <c r="G61" i="2" s="1"/>
  <c r="J60" i="2"/>
  <c r="J61" i="2" s="1"/>
  <c r="F60" i="2"/>
  <c r="F61" i="2" s="1"/>
  <c r="H60" i="2"/>
  <c r="H61" i="2" s="1"/>
  <c r="E61" i="2" l="1"/>
  <c r="M18" i="2"/>
  <c r="O18" i="2" s="1"/>
  <c r="E63" i="2" l="1"/>
  <c r="F63" i="2" s="1"/>
  <c r="G63" i="2" s="1"/>
  <c r="H63" i="2" s="1"/>
  <c r="I63" i="2" s="1"/>
  <c r="J63" i="2" s="1"/>
  <c r="K59" i="2"/>
  <c r="K60" i="2" s="1"/>
  <c r="K61" i="2" l="1"/>
  <c r="M59" i="2"/>
  <c r="O59" i="2" s="1"/>
  <c r="H17" i="11" l="1" a="1"/>
  <c r="D10" i="5" a="1"/>
  <c r="K63" i="2"/>
  <c r="M60" i="2"/>
  <c r="M25" i="1"/>
  <c r="O25" i="1" s="1"/>
  <c r="M23" i="1"/>
  <c r="O23" i="1" s="1"/>
  <c r="M20" i="1"/>
  <c r="O20" i="1" s="1"/>
  <c r="M18" i="1"/>
  <c r="O18" i="1" s="1"/>
  <c r="M17" i="1"/>
  <c r="O17" i="1" s="1"/>
  <c r="M13" i="1"/>
  <c r="O13" i="1" s="1"/>
  <c r="M42" i="1"/>
  <c r="O42" i="1" s="1"/>
  <c r="M47" i="1"/>
  <c r="O47" i="1" s="1"/>
  <c r="M12" i="1"/>
  <c r="M26" i="1"/>
  <c r="O26" i="1" s="1"/>
  <c r="M28" i="1"/>
  <c r="O28" i="1" s="1"/>
  <c r="M27" i="1"/>
  <c r="O27" i="1" s="1"/>
  <c r="M29" i="1"/>
  <c r="O29" i="1" s="1"/>
  <c r="M30" i="1"/>
  <c r="O30" i="1" s="1"/>
  <c r="M31" i="1"/>
  <c r="O31" i="1" s="1"/>
  <c r="M32" i="1"/>
  <c r="O32" i="1" s="1"/>
  <c r="M33" i="1"/>
  <c r="O33" i="1" s="1"/>
  <c r="D12" i="5" l="1"/>
  <c r="D10" i="5"/>
  <c r="D15" i="5"/>
  <c r="D14" i="5"/>
  <c r="D13" i="5"/>
  <c r="D16" i="5"/>
  <c r="D11" i="5"/>
  <c r="H17" i="11"/>
  <c r="H20" i="11"/>
  <c r="H22" i="11"/>
  <c r="H19" i="11"/>
  <c r="H18" i="11"/>
  <c r="H23" i="11"/>
  <c r="H21" i="11"/>
  <c r="M61" i="2"/>
  <c r="I64" i="2" s="1"/>
  <c r="O12" i="1"/>
  <c r="M46" i="1"/>
  <c r="O46" i="1" s="1"/>
  <c r="M48" i="1"/>
  <c r="O48" i="1" s="1"/>
  <c r="M45" i="1"/>
  <c r="O45" i="1" s="1"/>
  <c r="M44" i="1"/>
  <c r="O44" i="1" s="1"/>
  <c r="M22" i="1"/>
  <c r="O22" i="1" s="1"/>
  <c r="M24" i="1"/>
  <c r="O24" i="1" s="1"/>
  <c r="M21" i="1"/>
  <c r="O21" i="1" s="1"/>
  <c r="M19" i="1"/>
  <c r="O19" i="1" s="1"/>
  <c r="M16" i="1"/>
  <c r="O16" i="1" s="1"/>
  <c r="M15" i="1"/>
  <c r="O15" i="1" s="1"/>
  <c r="D18" i="5" l="1"/>
  <c r="H25" i="11"/>
  <c r="F64" i="2"/>
  <c r="K64" i="2"/>
  <c r="J64" i="2"/>
  <c r="H64" i="2"/>
  <c r="E64" i="2"/>
  <c r="G64" i="2"/>
  <c r="M57" i="1"/>
  <c r="O57" i="1" s="1"/>
  <c r="M51" i="1"/>
  <c r="O51" i="1" s="1"/>
  <c r="M60" i="1"/>
  <c r="O60" i="1" s="1"/>
  <c r="M50" i="1"/>
  <c r="O50" i="1" s="1"/>
  <c r="M58" i="1"/>
  <c r="O58" i="1" s="1"/>
  <c r="K41" i="1"/>
  <c r="K40" i="1" s="1"/>
  <c r="J41" i="1"/>
  <c r="J40" i="1" s="1"/>
  <c r="G41" i="1"/>
  <c r="G40" i="1" s="1"/>
  <c r="E41" i="1"/>
  <c r="E40" i="1" s="1"/>
  <c r="H41" i="1"/>
  <c r="H40" i="1" s="1"/>
  <c r="M43" i="1"/>
  <c r="O43" i="1" s="1"/>
  <c r="K62" i="1" l="1"/>
  <c r="K64" i="1" s="1"/>
  <c r="L12" i="6"/>
  <c r="G62" i="1"/>
  <c r="G64" i="1" s="1"/>
  <c r="H12" i="6"/>
  <c r="J62" i="1"/>
  <c r="J63" i="1" s="1"/>
  <c r="K12" i="6"/>
  <c r="I12" i="6"/>
  <c r="H62" i="1"/>
  <c r="E62" i="1"/>
  <c r="E63" i="1" s="1"/>
  <c r="F12" i="6"/>
  <c r="F62" i="1"/>
  <c r="M40" i="1"/>
  <c r="M41" i="1"/>
  <c r="O41" i="1" s="1"/>
  <c r="E64" i="1" l="1"/>
  <c r="E65" i="1" s="1"/>
  <c r="E66" i="1" s="1"/>
  <c r="E67" i="1" s="1"/>
  <c r="G63" i="1"/>
  <c r="K63" i="1"/>
  <c r="K65" i="1" s="1"/>
  <c r="J64" i="1"/>
  <c r="K12" i="10"/>
  <c r="I14" i="6"/>
  <c r="M12" i="10"/>
  <c r="K14" i="6"/>
  <c r="H64" i="1"/>
  <c r="H63" i="1"/>
  <c r="M12" i="6"/>
  <c r="M14" i="6" s="1"/>
  <c r="H12" i="10"/>
  <c r="F14" i="6"/>
  <c r="N12" i="10"/>
  <c r="L14" i="6"/>
  <c r="J12" i="10"/>
  <c r="H14" i="6"/>
  <c r="F63" i="1"/>
  <c r="F64" i="1"/>
  <c r="O40" i="1"/>
  <c r="M62" i="1"/>
  <c r="G12" i="10" l="1"/>
  <c r="H65" i="1"/>
  <c r="H66" i="1" s="1"/>
  <c r="H67" i="1" s="1"/>
  <c r="H16" i="6"/>
  <c r="H17" i="6"/>
  <c r="L17" i="6"/>
  <c r="L16" i="6"/>
  <c r="K16" i="6"/>
  <c r="K17" i="6"/>
  <c r="I16" i="6"/>
  <c r="I17" i="6"/>
  <c r="F16" i="6"/>
  <c r="F17" i="6"/>
  <c r="K66" i="1"/>
  <c r="K67" i="1" s="1"/>
  <c r="M64" i="1"/>
  <c r="O64" i="1" s="1"/>
  <c r="M63" i="1"/>
  <c r="O63" i="1" s="1"/>
  <c r="E69" i="1"/>
  <c r="M56" i="1"/>
  <c r="O56" i="1" s="1"/>
  <c r="L19" i="6" l="1"/>
  <c r="M16" i="6"/>
  <c r="H19" i="6"/>
  <c r="K19" i="6"/>
  <c r="M17" i="6"/>
  <c r="I19" i="6"/>
  <c r="M65" i="1"/>
  <c r="F19" i="6"/>
  <c r="M14" i="1"/>
  <c r="O14" i="1" s="1"/>
  <c r="M19" i="6" l="1"/>
  <c r="J65" i="1"/>
  <c r="J66" i="1" l="1"/>
  <c r="J67" i="1" s="1"/>
  <c r="F65" i="1"/>
  <c r="F66" i="1" s="1"/>
  <c r="F67" i="1" s="1"/>
  <c r="G65" i="1" l="1"/>
  <c r="G66" i="1" s="1"/>
  <c r="O62" i="1"/>
  <c r="F69" i="1" l="1"/>
  <c r="G67" i="1" l="1"/>
  <c r="M66" i="1"/>
  <c r="C10" i="5" l="1" a="1"/>
  <c r="G17" i="11" a="1"/>
  <c r="M67" i="1"/>
  <c r="O65" i="1"/>
  <c r="G69" i="1"/>
  <c r="H69" i="1" s="1"/>
  <c r="I69" i="1" s="1"/>
  <c r="J69" i="1" s="1"/>
  <c r="K69" i="1" s="1"/>
  <c r="G17" i="11" l="1"/>
  <c r="G19" i="11"/>
  <c r="G20" i="11"/>
  <c r="G23" i="11"/>
  <c r="G18" i="11"/>
  <c r="G21" i="11"/>
  <c r="G22" i="11"/>
  <c r="C15" i="5"/>
  <c r="C14" i="5"/>
  <c r="C13" i="5"/>
  <c r="C12" i="5"/>
  <c r="C11" i="5"/>
  <c r="C16" i="5"/>
  <c r="C10" i="5"/>
  <c r="J70" i="1"/>
  <c r="I70" i="1"/>
  <c r="E70" i="1"/>
  <c r="F70" i="1"/>
  <c r="K70" i="1"/>
  <c r="G70" i="1"/>
  <c r="H70" i="1"/>
  <c r="C18" i="5" l="1"/>
  <c r="G25" i="11"/>
  <c r="J52" i="3"/>
  <c r="J53" i="3" s="1"/>
  <c r="M52" i="3"/>
  <c r="M53" i="3" l="1"/>
  <c r="M54" i="3" s="1"/>
  <c r="O52" i="3"/>
  <c r="G57" i="3" l="1"/>
  <c r="I57" i="3"/>
  <c r="F57" i="3"/>
  <c r="H57" i="3"/>
  <c r="E57" i="3"/>
  <c r="J54" i="3"/>
  <c r="E10" i="5" l="1" a="1"/>
  <c r="I17" i="11" a="1"/>
  <c r="J56" i="3"/>
  <c r="K56" i="3" s="1"/>
  <c r="K57" i="3" s="1"/>
  <c r="J57" i="3" l="1"/>
  <c r="I23" i="11"/>
  <c r="I17" i="11"/>
  <c r="I21" i="11"/>
  <c r="I18" i="11"/>
  <c r="I22" i="11"/>
  <c r="I20" i="11"/>
  <c r="I19" i="11"/>
  <c r="E10" i="5"/>
  <c r="E16" i="5"/>
  <c r="E11" i="5"/>
  <c r="E13" i="5"/>
  <c r="E14" i="5"/>
  <c r="E15" i="5"/>
  <c r="E12" i="5"/>
  <c r="I25" i="11"/>
  <c r="K43" i="4"/>
  <c r="K44" i="4" s="1"/>
  <c r="E18" i="5" l="1"/>
  <c r="K45" i="4"/>
  <c r="M43" i="4"/>
  <c r="J17" i="11" l="1" a="1"/>
  <c r="F10" i="5" a="1"/>
  <c r="M44" i="4"/>
  <c r="M45" i="4" s="1"/>
  <c r="I48" i="4" s="1"/>
  <c r="O43" i="4"/>
  <c r="K47" i="4"/>
  <c r="F10" i="5" l="1"/>
  <c r="F11" i="5"/>
  <c r="G11" i="5" s="1"/>
  <c r="F14" i="5"/>
  <c r="G14" i="5" s="1"/>
  <c r="F15" i="5"/>
  <c r="G15" i="5" s="1"/>
  <c r="F16" i="5"/>
  <c r="G16" i="5" s="1"/>
  <c r="F13" i="5"/>
  <c r="G13" i="5" s="1"/>
  <c r="F12" i="5"/>
  <c r="G12" i="5" s="1"/>
  <c r="J20" i="11"/>
  <c r="K20" i="11" s="1"/>
  <c r="J22" i="11"/>
  <c r="K22" i="11" s="1"/>
  <c r="J21" i="11"/>
  <c r="J19" i="11"/>
  <c r="J23" i="11"/>
  <c r="K23" i="11" s="1"/>
  <c r="J18" i="11"/>
  <c r="K18" i="11" s="1"/>
  <c r="J17" i="11"/>
  <c r="K19" i="11"/>
  <c r="K21" i="11"/>
  <c r="E48" i="4"/>
  <c r="G48" i="4"/>
  <c r="K48" i="4"/>
  <c r="F48" i="4"/>
  <c r="H48" i="4"/>
  <c r="J48" i="4"/>
  <c r="F18" i="5" l="1"/>
  <c r="G18" i="5" s="1"/>
  <c r="G10" i="5"/>
  <c r="J25" i="11"/>
  <c r="K17" i="11"/>
  <c r="K25" i="11" l="1"/>
  <c r="O25" i="11" s="1"/>
  <c r="M17" i="11"/>
  <c r="M18" i="11" s="1"/>
  <c r="M19" i="11" s="1"/>
  <c r="M20" i="11" s="1"/>
  <c r="M21" i="11" s="1"/>
  <c r="M22" i="11" s="1"/>
  <c r="M23" i="11" s="1"/>
  <c r="I10" i="5"/>
  <c r="I11" i="5" s="1"/>
  <c r="I12" i="5" s="1"/>
  <c r="I13" i="5" s="1"/>
  <c r="I14" i="5" s="1"/>
  <c r="I15" i="5" s="1"/>
  <c r="I16" i="5" s="1"/>
  <c r="K15" i="10"/>
  <c r="M15" i="10"/>
  <c r="M18" i="10" s="1"/>
  <c r="N15" i="10"/>
  <c r="N18" i="10" s="1"/>
  <c r="H15" i="10"/>
  <c r="H18" i="10" s="1"/>
  <c r="I15" i="10"/>
  <c r="I18" i="10" s="1"/>
  <c r="J15" i="10"/>
  <c r="J17" i="10" s="1"/>
  <c r="O12" i="10"/>
  <c r="G15" i="10"/>
  <c r="M17" i="10" l="1"/>
  <c r="M21" i="10" s="1"/>
  <c r="M23" i="10" s="1"/>
  <c r="M24" i="10" s="1"/>
  <c r="I17" i="10"/>
  <c r="I21" i="10" s="1"/>
  <c r="I23" i="10" s="1"/>
  <c r="I24" i="10" s="1"/>
  <c r="J18" i="10"/>
  <c r="J21" i="10" s="1"/>
  <c r="J23" i="10" s="1"/>
  <c r="J24" i="10" s="1"/>
  <c r="G18" i="10"/>
  <c r="G17" i="10"/>
  <c r="K17" i="10"/>
  <c r="H17" i="10"/>
  <c r="H21" i="10" s="1"/>
  <c r="H23" i="10" s="1"/>
  <c r="H24" i="10" s="1"/>
  <c r="N17" i="10"/>
  <c r="N21" i="10" s="1"/>
  <c r="N23" i="10" s="1"/>
  <c r="N24" i="10" s="1"/>
  <c r="K18" i="10"/>
  <c r="G21" i="10" l="1"/>
  <c r="G23" i="10" s="1"/>
  <c r="G24" i="10" s="1"/>
  <c r="K21" i="10"/>
  <c r="K23" i="10" s="1"/>
  <c r="K24" i="10" s="1"/>
</calcChain>
</file>

<file path=xl/sharedStrings.xml><?xml version="1.0" encoding="utf-8"?>
<sst xmlns="http://schemas.openxmlformats.org/spreadsheetml/2006/main" count="758" uniqueCount="429">
  <si>
    <t>LINEAS PRIMARIAS</t>
  </si>
  <si>
    <t>OBRAS PRELIMINARES</t>
  </si>
  <si>
    <t>Estudio de Coordinación de la Protección y Balance de Cargas</t>
  </si>
  <si>
    <t>Monitoreo e Inspección del Ministerio de Cultura ( MC ), incluye (LP, RP, y RS)</t>
  </si>
  <si>
    <t>Programa de Manejo de Residuos.</t>
  </si>
  <si>
    <t>Cartel para Obra</t>
  </si>
  <si>
    <t>Despeje de Árboles Dentro de La Franja de Servidumbre</t>
  </si>
  <si>
    <t>SUMINISTRO DE MATERIALES</t>
  </si>
  <si>
    <t>AISLADORES Y ACCESORIOS</t>
  </si>
  <si>
    <t>AISLADORES DE SUSPENSION Y ACCESORIOS</t>
  </si>
  <si>
    <t>ACCESORIOS PARA CONDUCTOR DE ALEACION DE ALUMINIO</t>
  </si>
  <si>
    <t>RETENIDAS Y ANCLAJES</t>
  </si>
  <si>
    <t>MATERIAL PARA PUESTA A TIERRA</t>
  </si>
  <si>
    <t>TRANSPORTE DE MATERIALES</t>
  </si>
  <si>
    <t>CONDUCTOR DE ALEACIÓN DE ALUMINIO</t>
  </si>
  <si>
    <t>EQUIPO DE PROTECCIÓN Y MANIOBRA</t>
  </si>
  <si>
    <t>INSTALACION DE POSTES</t>
  </si>
  <si>
    <t>MONTAJE DE ARMADOS</t>
  </si>
  <si>
    <t>MONTAJE DE CONDUCTORES</t>
  </si>
  <si>
    <t>REDES PRIMARIAS</t>
  </si>
  <si>
    <t>SUMINISTRO DE   MATERIALES</t>
  </si>
  <si>
    <t>TRANSFORMADORES DE DISTRIBUCIÓN</t>
  </si>
  <si>
    <t>TABLEROS DE DISTRIBUCIÓN</t>
  </si>
  <si>
    <t>CABLES DE ENERGÍA DE BAJA TENSIÓN</t>
  </si>
  <si>
    <t>REDES SECUNDARIAS</t>
  </si>
  <si>
    <t>CABLES Y CONDUCTORES DE ALUMINIO</t>
  </si>
  <si>
    <t>ACCESORIOS DE CABLES AUTOPORTANTES</t>
  </si>
  <si>
    <t>PUESTA A TIERRA</t>
  </si>
  <si>
    <t>CONEXIONES DOMICILIARIAS</t>
  </si>
  <si>
    <t>INSTALACIÓN DE RETENIDAS</t>
  </si>
  <si>
    <t>MONTAJE DE CONDUCTORES AUTOPORTANTES</t>
  </si>
  <si>
    <t>INSTALACIÓN DE PUESTA A TIERRA</t>
  </si>
  <si>
    <t>SISTEMA FOTOVOLTAICO DOMESTICO</t>
  </si>
  <si>
    <t>TOTAL GENERAL</t>
  </si>
  <si>
    <t>TOTAL</t>
  </si>
  <si>
    <t>GASTOS GENERALES 9.70%</t>
  </si>
  <si>
    <t>UTILIDAD  3.00%</t>
  </si>
  <si>
    <t>SUB TOTAL</t>
  </si>
  <si>
    <t>IMPUESTO GENERAL A LAS VENTAS I.G.V. 18%</t>
  </si>
  <si>
    <t>TOTAL GENERAL S/.</t>
  </si>
  <si>
    <t>AVANCE ACUMULADO EN S/.</t>
  </si>
  <si>
    <t>AVANCE ACUMULADO EN %</t>
  </si>
  <si>
    <t>VAL No. 01</t>
  </si>
  <si>
    <t>VAL No. 02</t>
  </si>
  <si>
    <t>VAL No. 03</t>
  </si>
  <si>
    <t>VAL No. 04</t>
  </si>
  <si>
    <t>VAL No. 05</t>
  </si>
  <si>
    <t>VAL No. 06</t>
  </si>
  <si>
    <t>ITEM</t>
  </si>
  <si>
    <t>DESCRIPCION DE PARTIDAS</t>
  </si>
  <si>
    <t>CALENDARIO VALORIZADO DE AVANCE DE OBRA</t>
  </si>
  <si>
    <t>PROYECTO</t>
  </si>
  <si>
    <t>EJECUTOR</t>
  </si>
  <si>
    <t>PLAZO</t>
  </si>
  <si>
    <t>MONTO</t>
  </si>
  <si>
    <t>SECCION</t>
  </si>
  <si>
    <t>: LINEAS PRIMARIAS</t>
  </si>
  <si>
    <t>: REDES PRIMARIAS</t>
  </si>
  <si>
    <t>: REDES SECUNDARIAS</t>
  </si>
  <si>
    <t>: SISTEMA FOTOVOLTAICO DOMÉSTICO</t>
  </si>
  <si>
    <t>MES</t>
  </si>
  <si>
    <t>Firma, Nombres y Apellidos del contratista o Representante legal o común, según corresponda</t>
  </si>
  <si>
    <t>: RESUMEN GENERAL</t>
  </si>
  <si>
    <t>LINEA PRIMARIA</t>
  </si>
  <si>
    <t>RED PRIMARIA</t>
  </si>
  <si>
    <t>RED SECUNDARIA</t>
  </si>
  <si>
    <t>SISTEMA FOTOVOLTAICO</t>
  </si>
  <si>
    <t>ACUMULADO</t>
  </si>
  <si>
    <t>: “AMPLIACIÓN DEL SERVICIO DE ENERGÍA ELÉCTRICA EN LA PROVINCIA DEL SANTA Y EN EL DISTRITO DE PAMPAROMAS – DEPARTAMENTO DE ANCASH”</t>
  </si>
  <si>
    <t>: CONSORCIO PACIFICO</t>
  </si>
  <si>
    <t>POSTES DE CONCRETO ARMADO CENTRIFUGADO</t>
  </si>
  <si>
    <t>OTROS MATERIALES DE CONCRETO ARMADO</t>
  </si>
  <si>
    <t>CONDUCTOR DE PUESTA A TIERRA</t>
  </si>
  <si>
    <t>MATERIAL DE FERRETERÍA PARA POSTES Y CRUCETAS</t>
  </si>
  <si>
    <t>TRAMO SUBTERRANEO</t>
  </si>
  <si>
    <t xml:space="preserve">Programa de Monitoreo Ambiental. </t>
  </si>
  <si>
    <t>Programa de Talleres de Información y Medidas Preventivas / Correctivas.</t>
  </si>
  <si>
    <t>Elaboración del Expediente Técnico Sustentatorio de Gestión de Servidumbre (1original + 3copias). Incluye Levantamiento Topografico, y presentacion digitalizada del Expediente</t>
  </si>
  <si>
    <t xml:space="preserve">INSTALACION DE POSTES </t>
  </si>
  <si>
    <t xml:space="preserve">   Excavación en terreno normal y rocoso</t>
  </si>
  <si>
    <t xml:space="preserve">   Transporte poste de almacén a punto de izaje</t>
  </si>
  <si>
    <t xml:space="preserve">   Izado de postes, relleno y compactación para cimentación </t>
  </si>
  <si>
    <t>TRANSPORTE DE MATERIALES DE ALMACEN EN OBRA A PUNTO DE INSTALACION</t>
  </si>
  <si>
    <t>MONTAJE DE REDES SUBTERRANEAS</t>
  </si>
  <si>
    <t>PRUEBAS Y PUESTA EN SERVICIO DE LAS LÍNEAS PRIMARIAS</t>
  </si>
  <si>
    <t>Excavación en terreno normal y rocoso</t>
  </si>
  <si>
    <t>Transporte poste de almacén a punto de izaje</t>
  </si>
  <si>
    <t>Izado de postes, relleno y compactación para cimentación</t>
  </si>
  <si>
    <t>GASTOS GENERALES (10.12%)</t>
  </si>
  <si>
    <t>UTILIDAD  (3.00%)</t>
  </si>
  <si>
    <t>IMPUESTO GENERAL A LAS VENTAS I.G.V. (18.00%)</t>
  </si>
  <si>
    <t>PRUEBAS Y PUESTA EN SERVICIO DE LAS REDES PRIMARIAS</t>
  </si>
  <si>
    <t>POSTES DE CONCRETO ARMADO</t>
  </si>
  <si>
    <t>CABLES, CONDUCTORES DE COBRE Y ACERO RECUBIERTO CON COBRE</t>
  </si>
  <si>
    <t>LUMINARIAS LÁMPARAS Y ACCESORIOS</t>
  </si>
  <si>
    <t>ACCESORIOS DE FERRETERÍA PARA POSTES</t>
  </si>
  <si>
    <t>PASTORALES, LUMINARIAS Y LÁMPARAS</t>
  </si>
  <si>
    <t>INSTALACIÓN DE CONEXIONES DOMICILIARIAS</t>
  </si>
  <si>
    <t>DESMONTAJE DE REDES SECUNDARIAS EXISTENTES</t>
  </si>
  <si>
    <t>PRUEBAS Y PUESTA EN SERVICIO DE LAS REDES SECUNDARIAS</t>
  </si>
  <si>
    <t>UNIDAD DE GENERACION</t>
  </si>
  <si>
    <t>UNIDAD DE CONTROL</t>
  </si>
  <si>
    <t>UNIDAD DE ALMACENAMIENTO</t>
  </si>
  <si>
    <t>UNIDAD DE INVERSOR DC/AC</t>
  </si>
  <si>
    <t>UNIDAD DE PROTECCION 220 VAC</t>
  </si>
  <si>
    <t>UNIDAD DE CARGA 220 VAC</t>
  </si>
  <si>
    <t>RED EQUIPOTENCIAL</t>
  </si>
  <si>
    <t>ACOMETIDA PARA SFV</t>
  </si>
  <si>
    <t>MONTAJE DE LA UNIDAD DE GENERACION Y ACOMETIDA</t>
  </si>
  <si>
    <t>MONTAJE DE UNIDAD DE CONTROL Y UNIDAD DE ALMACENAMIENTO</t>
  </si>
  <si>
    <t>MONTAJE DE LAS  UNIDADES EN CORRIENTE ALTERNA 220 AC</t>
  </si>
  <si>
    <t>SISTEMA DE PUESTA A TIERRA</t>
  </si>
  <si>
    <t>INSPECCION Y PRUEBAS</t>
  </si>
  <si>
    <t>MONTAJE ELECTROMECÁNICO</t>
  </si>
  <si>
    <t>METRADO BASE - LINEAS PRIMARIAS</t>
  </si>
  <si>
    <t>UBICACIÓN</t>
  </si>
  <si>
    <t>:</t>
  </si>
  <si>
    <t>SECCIÓN I</t>
  </si>
  <si>
    <t>DESCRIPCION</t>
  </si>
  <si>
    <t>MES 1</t>
  </si>
  <si>
    <t>MES 2</t>
  </si>
  <si>
    <t>MES 3</t>
  </si>
  <si>
    <t>MES 4</t>
  </si>
  <si>
    <t>MES 5</t>
  </si>
  <si>
    <t>MES 6</t>
  </si>
  <si>
    <t>TOTAL  S/.</t>
  </si>
  <si>
    <t>A</t>
  </si>
  <si>
    <t>B</t>
  </si>
  <si>
    <t>MONTAJE ELECTROMECANICO</t>
  </si>
  <si>
    <t>C</t>
  </si>
  <si>
    <t xml:space="preserve">TRANSPORTE DE MATERIALES   </t>
  </si>
  <si>
    <t>D</t>
  </si>
  <si>
    <t>TOTAL COSTO DIRECTO</t>
  </si>
  <si>
    <t>E</t>
  </si>
  <si>
    <t>F</t>
  </si>
  <si>
    <t>COSTO TOTAL S/ (No incluye I.G.V.)</t>
  </si>
  <si>
    <t xml:space="preserve"> UTILIDADES(3.%)</t>
  </si>
  <si>
    <t>“AMPLIACIÓN DEL SERVICIO DE ENERGÍA ELÉCTRICA EN LA PROVINCIA DEL SANTA Y EN EL DISTRITO DE PAMPAROMAS – DEPARTAMENTO DE ANCASH”</t>
  </si>
  <si>
    <t>ANCASH</t>
  </si>
  <si>
    <t>METRADO BASE - REDES PRIMARIAS</t>
  </si>
  <si>
    <t>METRADO BASE - REDES SECUNDARIAS</t>
  </si>
  <si>
    <t>METRADO BASE - SISTEMA FOTOVOLTAICO DOMESTICO</t>
  </si>
  <si>
    <t>CRONOGRAMA DE DESEMBOLSOS MENSUALES DE OBRA</t>
  </si>
  <si>
    <t>DEPARTAMENTO</t>
  </si>
  <si>
    <t>SUMINISTROS DE MATERIALES</t>
  </si>
  <si>
    <t>TOTAL
S/.</t>
  </si>
  <si>
    <t>COSTO DIRECTO ( C.D. )</t>
  </si>
  <si>
    <t>SUB-TOTAL  SIN I.G.V. (S/.)</t>
  </si>
  <si>
    <t>IMPUESTO GENERAL A LAS VENTAS IGV (18%)</t>
  </si>
  <si>
    <t xml:space="preserve">COSTO TOTAL  OBRA (Incluye I.G.V.) </t>
  </si>
  <si>
    <t xml:space="preserve"> UTILIDADES (3.00%)</t>
  </si>
  <si>
    <t>INFOR 01</t>
  </si>
  <si>
    <t>INFORME 02</t>
  </si>
  <si>
    <t>INFORME 03</t>
  </si>
  <si>
    <t>INFORME 04</t>
  </si>
  <si>
    <t xml:space="preserve">MONTO DE CONTRATO </t>
  </si>
  <si>
    <t>TOTAL (ONCLUYE IGV)</t>
  </si>
  <si>
    <t>TOTAL (INCLUIDO IGV)</t>
  </si>
  <si>
    <t>ACUMULADO (INCLUIDO IGV)</t>
  </si>
  <si>
    <t>ESTUDIO DIFINITIVO</t>
  </si>
  <si>
    <t>PLAZO ESTUDIO DIFINITIVO</t>
  </si>
  <si>
    <t>PLAZO EJECUCION DE OBRA</t>
  </si>
  <si>
    <t>: 120 DIAS CALENDARIOS</t>
  </si>
  <si>
    <t>EJECUCION DE OBRA</t>
  </si>
  <si>
    <t>POSTES DE FIBRA DE VIDRIO</t>
  </si>
  <si>
    <t>: 1'729,608.32</t>
  </si>
  <si>
    <t>: 436,720.22</t>
  </si>
  <si>
    <t>: 1'054,705.75</t>
  </si>
  <si>
    <t>: 384,112.41</t>
  </si>
  <si>
    <t>MES 7</t>
  </si>
  <si>
    <t xml:space="preserve"> MES 8</t>
  </si>
  <si>
    <t>MES 9</t>
  </si>
  <si>
    <t>: 3,841,290.50</t>
  </si>
  <si>
    <t>VAL No. 07</t>
  </si>
  <si>
    <t>S/. 33.03</t>
  </si>
  <si>
    <t>S/. 10,493.02</t>
  </si>
  <si>
    <t>S/. 11,617.27</t>
  </si>
  <si>
    <t>S/. 1,873.75</t>
  </si>
  <si>
    <t>S/. 4,290.62</t>
  </si>
  <si>
    <t>S/. 858.12</t>
  </si>
  <si>
    <t>S/. 3,505.86</t>
  </si>
  <si>
    <t>S/. 3,747.64</t>
  </si>
  <si>
    <t>S/. 4,073.82</t>
  </si>
  <si>
    <t>S/. 3,802.24</t>
  </si>
  <si>
    <t>S/. 2,308.50</t>
  </si>
  <si>
    <t>S/. 604.29</t>
  </si>
  <si>
    <t>S/. 564.00</t>
  </si>
  <si>
    <t>S/. 342.43</t>
  </si>
  <si>
    <t>S/. 3,158.47</t>
  </si>
  <si>
    <t>S/. 2,947.90</t>
  </si>
  <si>
    <t>S/. 1,789.80</t>
  </si>
  <si>
    <t>S/. 322.35</t>
  </si>
  <si>
    <t>S/. 713.78</t>
  </si>
  <si>
    <t>S/. 345.38</t>
  </si>
  <si>
    <t>S/. 3,551.15</t>
  </si>
  <si>
    <t>S/. 3,796.05</t>
  </si>
  <si>
    <t>S/. 1,836.80</t>
  </si>
  <si>
    <t>S/. 1,396.63</t>
  </si>
  <si>
    <t>S/. 1,492.95</t>
  </si>
  <si>
    <t>S/. 722.39</t>
  </si>
  <si>
    <t>S/. 1,529.76</t>
  </si>
  <si>
    <t>S/. 1,635.26</t>
  </si>
  <si>
    <t>S/. 791.26</t>
  </si>
  <si>
    <t>S/. 3,417.00</t>
  </si>
  <si>
    <t>S/. 3,652.66</t>
  </si>
  <si>
    <t>S/. 1,767.42</t>
  </si>
  <si>
    <t>S/. 7,473.05</t>
  </si>
  <si>
    <t>S/. 6,974.84</t>
  </si>
  <si>
    <t>S/. 498.20</t>
  </si>
  <si>
    <t>S/. 27,653.69</t>
  </si>
  <si>
    <t>S/. 25,810.11</t>
  </si>
  <si>
    <t>S/. 1,843.58</t>
  </si>
  <si>
    <t>S/. 16,956.97</t>
  </si>
  <si>
    <t>S/. 15,826.51</t>
  </si>
  <si>
    <t>S/. 1,130.46</t>
  </si>
  <si>
    <t>S/. 1,761.75</t>
  </si>
  <si>
    <t>S/. 1,644.30</t>
  </si>
  <si>
    <t>S/. 117.45</t>
  </si>
  <si>
    <t>S/. 848.21</t>
  </si>
  <si>
    <t>S/. 2,022.66</t>
  </si>
  <si>
    <t>S/. 978.71</t>
  </si>
  <si>
    <t>S/. 214.74</t>
  </si>
  <si>
    <t>S/. 291.33</t>
  </si>
  <si>
    <t>S/. 645.08</t>
  </si>
  <si>
    <t>S/. 312.14</t>
  </si>
  <si>
    <t>S/. 45.48</t>
  </si>
  <si>
    <t>S/. 84.90</t>
  </si>
  <si>
    <t>S/. 51.54</t>
  </si>
  <si>
    <t>S/. 57.94</t>
  </si>
  <si>
    <t>S/. 35.18</t>
  </si>
  <si>
    <t>S/. 73.31</t>
  </si>
  <si>
    <t>S/. 136.84</t>
  </si>
  <si>
    <t>S/. 83.08</t>
  </si>
  <si>
    <t>S/. 85.14</t>
  </si>
  <si>
    <t>S/. 42.57</t>
  </si>
  <si>
    <t>S/. 140.63</t>
  </si>
  <si>
    <t>S/. 311.40</t>
  </si>
  <si>
    <t>S/. 150.68</t>
  </si>
  <si>
    <t>S/. 26.70</t>
  </si>
  <si>
    <t>S/. 59.11</t>
  </si>
  <si>
    <t>S/. 28.60</t>
  </si>
  <si>
    <t>S/. 103.92</t>
  </si>
  <si>
    <t>S/. 230.10</t>
  </si>
  <si>
    <t>S/. 111.34</t>
  </si>
  <si>
    <t>S/. 315.77</t>
  </si>
  <si>
    <t>S/. 699.21</t>
  </si>
  <si>
    <t>S/. 338.33</t>
  </si>
  <si>
    <t>S/. 252.66</t>
  </si>
  <si>
    <t>S/. 18.05</t>
  </si>
  <si>
    <t>S/. 4,167.72</t>
  </si>
  <si>
    <t>S/. 297.69</t>
  </si>
  <si>
    <t>S/. 600.92</t>
  </si>
  <si>
    <t>S/. 42.92</t>
  </si>
  <si>
    <t>S/. 65.52</t>
  </si>
  <si>
    <t>S/. 4.68</t>
  </si>
  <si>
    <t>S/. 2,429.85</t>
  </si>
  <si>
    <t>S/. 5,794.26</t>
  </si>
  <si>
    <t>S/. 5,233.53</t>
  </si>
  <si>
    <t>S/. 3,177.50</t>
  </si>
  <si>
    <t>S/. 1,065.84</t>
  </si>
  <si>
    <t>S/. 1,139.35</t>
  </si>
  <si>
    <t>S/. 1,029.09</t>
  </si>
  <si>
    <t>S/. 73.51</t>
  </si>
  <si>
    <t>S/. 3,430.64</t>
  </si>
  <si>
    <t>S/. 4,431.24</t>
  </si>
  <si>
    <t>S/. 4,002.41</t>
  </si>
  <si>
    <t>S/. 1,000.60</t>
  </si>
  <si>
    <t>S/. 413.60</t>
  </si>
  <si>
    <t>S/. 4,273.84</t>
  </si>
  <si>
    <t>S/. 3,584.51</t>
  </si>
  <si>
    <t>S/. 380.96</t>
  </si>
  <si>
    <t>S/. 1,632.68</t>
  </si>
  <si>
    <t>S/. 707.50</t>
  </si>
  <si>
    <t>S/. 180.76</t>
  </si>
  <si>
    <t>S/. 2,711.42</t>
  </si>
  <si>
    <t>S/. 2,078.75</t>
  </si>
  <si>
    <t>S/. 9,816.84</t>
  </si>
  <si>
    <t>S/. 10,263.07</t>
  </si>
  <si>
    <t>S/. 10,813.50</t>
  </si>
  <si>
    <t>S/. 26,168.02</t>
  </si>
  <si>
    <t>S/. 28,971.73</t>
  </si>
  <si>
    <t>S/. 4,672.86</t>
  </si>
  <si>
    <t>S/. 6,042.45</t>
  </si>
  <si>
    <t>S/. 1,208.49</t>
  </si>
  <si>
    <t>S/. 28,293.84</t>
  </si>
  <si>
    <t>S/. 26,407.58</t>
  </si>
  <si>
    <t>S/. 16,033.18</t>
  </si>
  <si>
    <t>S/. 2,888.50</t>
  </si>
  <si>
    <t>S/. 3,087.71</t>
  </si>
  <si>
    <t>S/. 1,494.05</t>
  </si>
  <si>
    <t>S/. 12,193.51</t>
  </si>
  <si>
    <t>S/. 13,034.44</t>
  </si>
  <si>
    <t>S/. 6,306.99</t>
  </si>
  <si>
    <t>S/. 8,641.93</t>
  </si>
  <si>
    <t>S/. 9,237.93</t>
  </si>
  <si>
    <t>S/. 4,469.96</t>
  </si>
  <si>
    <t>S/. 6,698.81</t>
  </si>
  <si>
    <t>S/. 6,252.22</t>
  </si>
  <si>
    <t>S/. 3,795.99</t>
  </si>
  <si>
    <t>S/. 4,220.67</t>
  </si>
  <si>
    <t>S/. 4,511.75</t>
  </si>
  <si>
    <t>S/. 2,183.11</t>
  </si>
  <si>
    <t>S/. 2,827.67</t>
  </si>
  <si>
    <t>S/. 3,022.68</t>
  </si>
  <si>
    <t>S/. 1,462.59</t>
  </si>
  <si>
    <t>S/. 14,289.97</t>
  </si>
  <si>
    <t>S/. 2,756.77</t>
  </si>
  <si>
    <t>S/. 10,682.47</t>
  </si>
  <si>
    <t>S/. 6,891.91</t>
  </si>
  <si>
    <t>S/. 279.51</t>
  </si>
  <si>
    <t>S/. 559.02</t>
  </si>
  <si>
    <t>S/. 644.98</t>
  </si>
  <si>
    <t>S/. 391.59</t>
  </si>
  <si>
    <t>S/. 35.63</t>
  </si>
  <si>
    <t>S/. 17.81</t>
  </si>
  <si>
    <t>S/. 844.61</t>
  </si>
  <si>
    <t>S/. 422.30</t>
  </si>
  <si>
    <t>S/. 2,530.27</t>
  </si>
  <si>
    <t>S/. 1,265.14</t>
  </si>
  <si>
    <t>S/. 157.08</t>
  </si>
  <si>
    <t>S/. 95.37</t>
  </si>
  <si>
    <t>S/. 274.68</t>
  </si>
  <si>
    <t>S/. 137.34</t>
  </si>
  <si>
    <t>S/. 155.72</t>
  </si>
  <si>
    <t>S/. 77.86</t>
  </si>
  <si>
    <t>S/. 15,821.04</t>
  </si>
  <si>
    <t>S/. 616.73</t>
  </si>
  <si>
    <t>S/. 340.26</t>
  </si>
  <si>
    <t>S/. 8,165.70</t>
  </si>
  <si>
    <t>S/. 5,808.61</t>
  </si>
  <si>
    <t>S/. 12,861.91</t>
  </si>
  <si>
    <t>S/. 11,617.21</t>
  </si>
  <si>
    <t>S/. 6,638.41</t>
  </si>
  <si>
    <t>S/. 1,906.02</t>
  </si>
  <si>
    <t>S/. 2,461.94</t>
  </si>
  <si>
    <t>S/. 2,223.69</t>
  </si>
  <si>
    <t>S/. 1,747.19</t>
  </si>
  <si>
    <t>S/. 11,619.01</t>
  </si>
  <si>
    <t>S/. 18,957.33</t>
  </si>
  <si>
    <t>S/. 17,122.75</t>
  </si>
  <si>
    <t>S/. 16,511.23</t>
  </si>
  <si>
    <t>S/. 6,892.27</t>
  </si>
  <si>
    <t>S/. 11,245.29</t>
  </si>
  <si>
    <t>S/. 7,255.02</t>
  </si>
  <si>
    <t>S/. 2,202.55</t>
  </si>
  <si>
    <t>S/. 3,593.63</t>
  </si>
  <si>
    <t>S/. 2,318.47</t>
  </si>
  <si>
    <t>S/. 5,001.98</t>
  </si>
  <si>
    <t>S/. 6,002.38</t>
  </si>
  <si>
    <t>S/. 2,000.79</t>
  </si>
  <si>
    <t>S/. 4,417.77</t>
  </si>
  <si>
    <t>S/. 10,194.86</t>
  </si>
  <si>
    <t>S/. 5,777.09</t>
  </si>
  <si>
    <t>S/. 1,139.88</t>
  </si>
  <si>
    <t>S/. 2,963.68</t>
  </si>
  <si>
    <t>S/. 4,165.01</t>
  </si>
  <si>
    <t>S/. 24,990.06</t>
  </si>
  <si>
    <t>S/. 4,072.34</t>
  </si>
  <si>
    <t>S/. 21,999.80</t>
  </si>
  <si>
    <t>S/. 9,298.46</t>
  </si>
  <si>
    <t>S/. 17,357.12</t>
  </si>
  <si>
    <t>S/. 19,216.81</t>
  </si>
  <si>
    <t>S/. 619.90</t>
  </si>
  <si>
    <t>S/. 4,496.54</t>
  </si>
  <si>
    <t>S/. 8,393.55</t>
  </si>
  <si>
    <t>S/. 9,292.86</t>
  </si>
  <si>
    <t>S/. 299.77</t>
  </si>
  <si>
    <t>S/. 13,547.04</t>
  </si>
  <si>
    <t>S/. 25,287.81</t>
  </si>
  <si>
    <t>S/. 27,997.22</t>
  </si>
  <si>
    <t>S/. 903.14</t>
  </si>
  <si>
    <t>S/. 7,458.52</t>
  </si>
  <si>
    <t>S/. 13,922.56</t>
  </si>
  <si>
    <t>S/. 15,414.27</t>
  </si>
  <si>
    <t>S/. 497.23</t>
  </si>
  <si>
    <t>S/. 1,475.14</t>
  </si>
  <si>
    <t>S/. 2,753.59</t>
  </si>
  <si>
    <t>S/. 3,048.61</t>
  </si>
  <si>
    <t>S/. 98.34</t>
  </si>
  <si>
    <t>S/. 5,594.55</t>
  </si>
  <si>
    <t>S/. 10,443.16</t>
  </si>
  <si>
    <t>S/. 11,562.07</t>
  </si>
  <si>
    <t>S/. 372.97</t>
  </si>
  <si>
    <t>S/. 556.84</t>
  </si>
  <si>
    <t>S/. 1,039.44</t>
  </si>
  <si>
    <t>S/. 1,150.81</t>
  </si>
  <si>
    <t>S/. 37.12</t>
  </si>
  <si>
    <t>S/. 2,199.68</t>
  </si>
  <si>
    <t>S/. 4,106.07</t>
  </si>
  <si>
    <t>S/. 4,546.00</t>
  </si>
  <si>
    <t>S/. 146.65</t>
  </si>
  <si>
    <t>S/. 321.13</t>
  </si>
  <si>
    <t>S/. 599.44</t>
  </si>
  <si>
    <t>S/. 663.66</t>
  </si>
  <si>
    <t>S/. 21.41</t>
  </si>
  <si>
    <t>S/. 957.96</t>
  </si>
  <si>
    <t>S/. 291.42</t>
  </si>
  <si>
    <t>S/. 10.05</t>
  </si>
  <si>
    <t>S/. 928.55</t>
  </si>
  <si>
    <t>S/. 32.02</t>
  </si>
  <si>
    <t>S/. 548.16</t>
  </si>
  <si>
    <t>S/. 18.90</t>
  </si>
  <si>
    <t>S/. 103.30</t>
  </si>
  <si>
    <t>S/. 3.56</t>
  </si>
  <si>
    <t>S/. 775.11</t>
  </si>
  <si>
    <t>S/. 26.73</t>
  </si>
  <si>
    <t>S/. 253.34</t>
  </si>
  <si>
    <t>S/. 8.74</t>
  </si>
  <si>
    <t>S/. 1,481.99</t>
  </si>
  <si>
    <t>S/. 51.10</t>
  </si>
  <si>
    <t>S/. 33.55</t>
  </si>
  <si>
    <t>S/. 1.16</t>
  </si>
  <si>
    <t>S/. 5,720.72</t>
  </si>
  <si>
    <t>S/. 1,980.25</t>
  </si>
  <si>
    <t>S/. 2,676.15</t>
  </si>
  <si>
    <t>S/. 3,177.92</t>
  </si>
  <si>
    <t>S/. 113.61</t>
  </si>
  <si>
    <t>S/. 3,408.38</t>
  </si>
  <si>
    <t>S/. 454.45</t>
  </si>
  <si>
    <t>S/. 2,864.86</t>
  </si>
  <si>
    <t>S/. 8,276.27</t>
  </si>
  <si>
    <t>S/. 668.06</t>
  </si>
  <si>
    <t>S/. 18,037.65</t>
  </si>
  <si>
    <t>S/. 4,119.97</t>
  </si>
  <si>
    <t>MES 10</t>
  </si>
  <si>
    <t xml:space="preserve"> MES 11</t>
  </si>
  <si>
    <t>: 3'605,146.68</t>
  </si>
  <si>
    <t>: 210 DIAS CALENDARIOS</t>
  </si>
  <si>
    <t>: 330 DIAS CALENDARIOS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</si>
</sst>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%"/>
    <numFmt numFmtId="165" formatCode="_(* #,##0.00_);_(* \(#,##0.00\);_(* &quot;-&quot;??_);_(@_)"/>
    <numFmt numFmtId="166" formatCode="0.0%"/>
    <numFmt numFmtId="167" formatCode="#,##0.0000000"/>
    <numFmt numFmtId="168" formatCode="#,###,##0.00"/>
    <numFmt numFmtId="169" formatCode="0.000000000"/>
    <numFmt numFmtId="170" formatCode="#,##0.000"/>
    <numFmt numFmtId="171" formatCode="#,##0.000000"/>
  </numFmts>
  <fonts count="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7"/>
      <name val="Arial"/>
      <family val="2"/>
    </font>
    <font>
      <sz val="10"/>
      <color theme="4" tint="-0.499984740745262"/>
      <name val="Arial"/>
      <family val="2"/>
    </font>
    <font>
      <sz val="10"/>
      <color theme="0" tint="-0.3499862666707357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color theme="4" tint="-0.499984740745262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name val="Arial"/>
      <family val="2"/>
    </font>
    <font>
      <sz val="12"/>
      <name val="Arial"/>
      <family val="2"/>
    </font>
    <font>
      <b/>
      <u/>
      <sz val="11"/>
      <name val="Arial"/>
      <family val="2"/>
    </font>
    <font>
      <b/>
      <sz val="9"/>
      <color theme="4" tint="-0.499984740745262"/>
      <name val="Arial"/>
      <family val="2"/>
    </font>
    <font>
      <sz val="14"/>
      <name val="Arial"/>
      <family val="2"/>
    </font>
    <font>
      <sz val="11"/>
      <color theme="4" tint="-0.499984740745262"/>
      <name val="Arial"/>
      <family val="2"/>
    </font>
    <font>
      <b/>
      <sz val="26"/>
      <name val="Arial"/>
      <family val="2"/>
    </font>
    <font>
      <sz val="16"/>
      <color theme="4" tint="-0.499984740745262"/>
      <name val="Arial"/>
      <family val="2"/>
    </font>
    <font>
      <b/>
      <sz val="22"/>
      <name val="Arial"/>
      <family val="2"/>
    </font>
    <font>
      <b/>
      <sz val="10"/>
      <name val="Times New Roman"/>
      <family val="1"/>
    </font>
    <font>
      <i/>
      <sz val="12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4"/>
      <color theme="4" tint="-0.499984740745262"/>
      <name val="Times New Roman"/>
      <family val="1"/>
    </font>
    <font>
      <sz val="12"/>
      <color theme="4" tint="-0.499984740745262"/>
      <name val="Arial"/>
      <family val="2"/>
    </font>
    <font>
      <b/>
      <sz val="14"/>
      <color theme="4" tint="-0.499984740745262"/>
      <name val="Arial"/>
      <family val="2"/>
    </font>
    <font>
      <b/>
      <u/>
      <sz val="12"/>
      <name val="Arial"/>
      <family val="2"/>
    </font>
    <font>
      <sz val="14"/>
      <color theme="4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12">
    <xf numFmtId="0" fontId="0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0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10" fillId="0" borderId="0"/>
  </cellStyleXfs>
  <cellXfs count="4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" fontId="9" fillId="0" borderId="1" xfId="0" applyNumberFormat="1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7" fillId="0" borderId="5" xfId="0" applyNumberFormat="1" applyFont="1" applyBorder="1" applyAlignment="1">
      <alignment vertical="center"/>
    </xf>
    <xf numFmtId="10" fontId="9" fillId="0" borderId="1" xfId="2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8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9" fontId="1" fillId="0" borderId="0" xfId="1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4" fontId="0" fillId="0" borderId="2" xfId="0" applyNumberForma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4" fontId="5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4" fontId="0" fillId="0" borderId="7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4" fontId="2" fillId="0" borderId="3" xfId="0" applyNumberFormat="1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10" fontId="9" fillId="0" borderId="0" xfId="2" applyNumberFormat="1" applyFont="1" applyBorder="1" applyAlignment="1">
      <alignment vertical="center"/>
    </xf>
    <xf numFmtId="164" fontId="5" fillId="0" borderId="0" xfId="1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4" fontId="9" fillId="0" borderId="5" xfId="0" applyNumberFormat="1" applyFont="1" applyBorder="1" applyAlignment="1">
      <alignment vertical="center"/>
    </xf>
    <xf numFmtId="4" fontId="0" fillId="0" borderId="0" xfId="0" applyNumberFormat="1" applyBorder="1" applyAlignment="1">
      <alignment horizontal="center"/>
    </xf>
    <xf numFmtId="4" fontId="11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0" fillId="0" borderId="0" xfId="3"/>
    <xf numFmtId="0" fontId="10" fillId="0" borderId="0" xfId="3" applyAlignment="1">
      <alignment horizontal="center" vertical="center"/>
    </xf>
    <xf numFmtId="0" fontId="10" fillId="0" borderId="0" xfId="3" applyAlignment="1">
      <alignment horizontal="center"/>
    </xf>
    <xf numFmtId="0" fontId="10" fillId="0" borderId="14" xfId="3" applyBorder="1"/>
    <xf numFmtId="0" fontId="12" fillId="0" borderId="0" xfId="0" applyFont="1" applyBorder="1" applyAlignment="1">
      <alignment vertical="center"/>
    </xf>
    <xf numFmtId="0" fontId="10" fillId="0" borderId="0" xfId="3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4" fontId="0" fillId="0" borderId="0" xfId="0" applyNumberFormat="1"/>
    <xf numFmtId="0" fontId="17" fillId="0" borderId="0" xfId="0" applyFont="1" applyBorder="1" applyAlignment="1">
      <alignment vertical="center"/>
    </xf>
    <xf numFmtId="0" fontId="10" fillId="0" borderId="0" xfId="3" applyBorder="1"/>
    <xf numFmtId="4" fontId="0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2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4" fontId="11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" fontId="5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7" xfId="0" applyFont="1" applyBorder="1" applyAlignment="1">
      <alignment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2" fontId="0" fillId="0" borderId="3" xfId="0" applyNumberFormat="1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2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4" fontId="11" fillId="0" borderId="7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4" fontId="20" fillId="0" borderId="1" xfId="0" applyNumberFormat="1" applyFont="1" applyBorder="1" applyAlignment="1">
      <alignment horizontal="center" vertical="center"/>
    </xf>
    <xf numFmtId="4" fontId="20" fillId="0" borderId="5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4" fontId="21" fillId="0" borderId="1" xfId="0" applyNumberFormat="1" applyFont="1" applyBorder="1" applyAlignment="1">
      <alignment horizontal="center" vertical="center"/>
    </xf>
    <xf numFmtId="4" fontId="21" fillId="0" borderId="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4" fontId="5" fillId="0" borderId="0" xfId="0" applyNumberFormat="1" applyFont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0" fontId="19" fillId="0" borderId="1" xfId="5" applyNumberFormat="1" applyFont="1" applyBorder="1" applyAlignment="1">
      <alignment horizontal="center" vertical="center"/>
    </xf>
    <xf numFmtId="10" fontId="18" fillId="0" borderId="1" xfId="5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2" fontId="5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5" fontId="4" fillId="0" borderId="16" xfId="4" applyFont="1" applyBorder="1" applyAlignment="1">
      <alignment vertical="center"/>
    </xf>
    <xf numFmtId="165" fontId="4" fillId="0" borderId="3" xfId="4" applyFont="1" applyBorder="1" applyAlignment="1">
      <alignment vertical="center"/>
    </xf>
    <xf numFmtId="165" fontId="11" fillId="0" borderId="17" xfId="3" applyNumberFormat="1" applyFont="1" applyBorder="1" applyAlignment="1">
      <alignment vertical="center"/>
    </xf>
    <xf numFmtId="165" fontId="11" fillId="0" borderId="19" xfId="3" applyNumberFormat="1" applyFont="1" applyBorder="1" applyAlignment="1">
      <alignment vertical="center"/>
    </xf>
    <xf numFmtId="165" fontId="11" fillId="0" borderId="24" xfId="3" applyNumberFormat="1" applyFont="1" applyBorder="1" applyAlignment="1">
      <alignment vertical="center"/>
    </xf>
    <xf numFmtId="0" fontId="5" fillId="0" borderId="20" xfId="3" applyFont="1" applyBorder="1" applyAlignment="1">
      <alignment horizontal="center" vertical="center"/>
    </xf>
    <xf numFmtId="0" fontId="5" fillId="0" borderId="21" xfId="3" applyFont="1" applyBorder="1" applyAlignment="1">
      <alignment vertical="center"/>
    </xf>
    <xf numFmtId="0" fontId="5" fillId="0" borderId="22" xfId="3" applyFont="1" applyBorder="1" applyAlignment="1">
      <alignment vertical="center"/>
    </xf>
    <xf numFmtId="0" fontId="11" fillId="0" borderId="23" xfId="3" applyFont="1" applyBorder="1" applyAlignment="1">
      <alignment vertical="center"/>
    </xf>
    <xf numFmtId="0" fontId="11" fillId="0" borderId="24" xfId="3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0" fontId="25" fillId="0" borderId="10" xfId="3" applyFont="1" applyBorder="1" applyAlignment="1">
      <alignment horizontal="center" vertical="center"/>
    </xf>
    <xf numFmtId="165" fontId="25" fillId="0" borderId="11" xfId="3" applyNumberFormat="1" applyFont="1" applyBorder="1" applyAlignment="1">
      <alignment vertical="center"/>
    </xf>
    <xf numFmtId="165" fontId="25" fillId="0" borderId="12" xfId="3" applyNumberFormat="1" applyFont="1" applyBorder="1" applyAlignment="1">
      <alignment vertical="center"/>
    </xf>
    <xf numFmtId="165" fontId="25" fillId="0" borderId="13" xfId="3" applyNumberFormat="1" applyFont="1" applyBorder="1" applyAlignment="1">
      <alignment vertical="center"/>
    </xf>
    <xf numFmtId="165" fontId="25" fillId="0" borderId="24" xfId="3" applyNumberFormat="1" applyFont="1" applyBorder="1" applyAlignment="1">
      <alignment vertical="center"/>
    </xf>
    <xf numFmtId="0" fontId="11" fillId="3" borderId="10" xfId="3" applyFont="1" applyFill="1" applyBorder="1" applyAlignment="1">
      <alignment horizontal="center" vertical="center"/>
    </xf>
    <xf numFmtId="0" fontId="11" fillId="3" borderId="11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11" fillId="3" borderId="13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/>
    </xf>
    <xf numFmtId="0" fontId="25" fillId="0" borderId="18" xfId="3" applyFont="1" applyBorder="1" applyAlignment="1">
      <alignment horizontal="center" vertical="center"/>
    </xf>
    <xf numFmtId="0" fontId="26" fillId="0" borderId="0" xfId="6" applyFont="1" applyFill="1" applyBorder="1" applyAlignment="1">
      <alignment horizontal="centerContinuous" vertical="center"/>
    </xf>
    <xf numFmtId="0" fontId="27" fillId="0" borderId="0" xfId="7" applyFont="1" applyFill="1" applyAlignment="1">
      <alignment horizontal="centerContinuous" vertical="center"/>
    </xf>
    <xf numFmtId="0" fontId="10" fillId="0" borderId="0" xfId="7" applyFont="1" applyFill="1" applyAlignment="1">
      <alignment vertical="center"/>
    </xf>
    <xf numFmtId="0" fontId="28" fillId="0" borderId="0" xfId="7" applyFont="1" applyFill="1" applyAlignment="1">
      <alignment vertical="center"/>
    </xf>
    <xf numFmtId="0" fontId="29" fillId="4" borderId="0" xfId="7" applyFont="1" applyFill="1" applyAlignment="1">
      <alignment vertical="center"/>
    </xf>
    <xf numFmtId="0" fontId="30" fillId="0" borderId="25" xfId="6" applyFont="1" applyFill="1" applyBorder="1" applyAlignment="1">
      <alignment horizontal="centerContinuous" vertical="center"/>
    </xf>
    <xf numFmtId="0" fontId="31" fillId="0" borderId="26" xfId="6" applyFont="1" applyFill="1" applyBorder="1" applyAlignment="1">
      <alignment horizontal="centerContinuous" vertical="center"/>
    </xf>
    <xf numFmtId="0" fontId="10" fillId="0" borderId="27" xfId="7" applyFont="1" applyFill="1" applyBorder="1" applyAlignment="1">
      <alignment horizontal="centerContinuous" vertical="center"/>
    </xf>
    <xf numFmtId="0" fontId="31" fillId="0" borderId="28" xfId="6" applyFont="1" applyFill="1" applyBorder="1" applyAlignment="1">
      <alignment horizontal="left" vertical="center"/>
    </xf>
    <xf numFmtId="0" fontId="31" fillId="0" borderId="0" xfId="6" applyFont="1" applyFill="1" applyBorder="1" applyAlignment="1">
      <alignment horizontal="centerContinuous" vertical="center"/>
    </xf>
    <xf numFmtId="0" fontId="10" fillId="0" borderId="29" xfId="7" applyFont="1" applyFill="1" applyBorder="1" applyAlignment="1">
      <alignment vertical="center"/>
    </xf>
    <xf numFmtId="49" fontId="32" fillId="0" borderId="0" xfId="8" applyNumberFormat="1" applyFont="1" applyFill="1" applyBorder="1" applyAlignment="1">
      <alignment vertical="center" wrapText="1"/>
    </xf>
    <xf numFmtId="0" fontId="33" fillId="0" borderId="0" xfId="7" applyFont="1" applyFill="1" applyAlignment="1">
      <alignment vertical="center"/>
    </xf>
    <xf numFmtId="0" fontId="33" fillId="4" borderId="0" xfId="7" applyFont="1" applyFill="1" applyAlignment="1">
      <alignment vertical="center"/>
    </xf>
    <xf numFmtId="0" fontId="34" fillId="0" borderId="28" xfId="8" applyFont="1" applyFill="1" applyBorder="1" applyAlignment="1">
      <alignment horizontal="left" vertical="center"/>
    </xf>
    <xf numFmtId="0" fontId="31" fillId="0" borderId="0" xfId="6" applyFont="1" applyFill="1" applyBorder="1" applyAlignment="1">
      <alignment horizontal="centerContinuous" vertical="center" wrapText="1"/>
    </xf>
    <xf numFmtId="0" fontId="35" fillId="0" borderId="28" xfId="7" applyFont="1" applyFill="1" applyBorder="1" applyAlignment="1">
      <alignment horizontal="left" vertical="center"/>
    </xf>
    <xf numFmtId="0" fontId="35" fillId="0" borderId="0" xfId="7" applyFont="1" applyFill="1" applyBorder="1" applyAlignment="1">
      <alignment horizontal="left" vertical="center"/>
    </xf>
    <xf numFmtId="0" fontId="10" fillId="0" borderId="0" xfId="7" applyFont="1" applyFill="1" applyBorder="1" applyAlignment="1">
      <alignment horizontal="left" vertical="center"/>
    </xf>
    <xf numFmtId="0" fontId="33" fillId="4" borderId="0" xfId="7" applyFont="1" applyFill="1" applyBorder="1" applyAlignment="1">
      <alignment vertical="center"/>
    </xf>
    <xf numFmtId="0" fontId="29" fillId="4" borderId="0" xfId="7" applyFont="1" applyFill="1" applyBorder="1" applyAlignment="1">
      <alignment vertical="center"/>
    </xf>
    <xf numFmtId="0" fontId="36" fillId="0" borderId="28" xfId="7" applyFont="1" applyFill="1" applyBorder="1" applyAlignment="1">
      <alignment horizontal="left" vertical="center"/>
    </xf>
    <xf numFmtId="0" fontId="15" fillId="0" borderId="0" xfId="7" applyFont="1" applyFill="1" applyBorder="1" applyAlignment="1">
      <alignment horizontal="right" vertical="center"/>
    </xf>
    <xf numFmtId="0" fontId="15" fillId="0" borderId="0" xfId="7" applyFont="1" applyFill="1" applyBorder="1" applyAlignment="1">
      <alignment horizontal="left" vertical="center"/>
    </xf>
    <xf numFmtId="0" fontId="36" fillId="0" borderId="0" xfId="7" applyFont="1" applyFill="1" applyBorder="1" applyAlignment="1">
      <alignment horizontal="left" vertical="center"/>
    </xf>
    <xf numFmtId="17" fontId="27" fillId="0" borderId="29" xfId="8" applyNumberFormat="1" applyFont="1" applyFill="1" applyBorder="1" applyAlignment="1">
      <alignment horizontal="right" vertical="center"/>
    </xf>
    <xf numFmtId="0" fontId="37" fillId="0" borderId="28" xfId="9" applyFont="1" applyFill="1" applyBorder="1" applyAlignment="1">
      <alignment horizontal="center" vertical="center"/>
    </xf>
    <xf numFmtId="0" fontId="37" fillId="0" borderId="0" xfId="7" applyFont="1" applyFill="1" applyBorder="1" applyAlignment="1">
      <alignment horizontal="left" vertical="center"/>
    </xf>
    <xf numFmtId="0" fontId="37" fillId="0" borderId="0" xfId="7" applyFont="1" applyFill="1" applyBorder="1" applyAlignment="1">
      <alignment vertical="center"/>
    </xf>
    <xf numFmtId="0" fontId="36" fillId="5" borderId="10" xfId="7" applyFont="1" applyFill="1" applyBorder="1" applyAlignment="1">
      <alignment horizontal="center" vertical="center"/>
    </xf>
    <xf numFmtId="0" fontId="36" fillId="5" borderId="30" xfId="7" applyFont="1" applyFill="1" applyBorder="1" applyAlignment="1">
      <alignment vertical="center"/>
    </xf>
    <xf numFmtId="0" fontId="36" fillId="5" borderId="31" xfId="7" applyFont="1" applyFill="1" applyBorder="1" applyAlignment="1">
      <alignment vertical="center"/>
    </xf>
    <xf numFmtId="0" fontId="36" fillId="5" borderId="13" xfId="9" applyFont="1" applyFill="1" applyBorder="1" applyAlignment="1">
      <alignment horizontal="center" vertical="center" wrapText="1"/>
    </xf>
    <xf numFmtId="0" fontId="38" fillId="0" borderId="32" xfId="7" applyFont="1" applyFill="1" applyBorder="1" applyAlignment="1">
      <alignment vertical="center"/>
    </xf>
    <xf numFmtId="0" fontId="38" fillId="0" borderId="0" xfId="7" applyFont="1" applyFill="1" applyBorder="1" applyAlignment="1">
      <alignment vertical="center"/>
    </xf>
    <xf numFmtId="0" fontId="38" fillId="0" borderId="0" xfId="7" applyFont="1" applyFill="1" applyBorder="1" applyAlignment="1">
      <alignment horizontal="centerContinuous" vertical="center"/>
    </xf>
    <xf numFmtId="166" fontId="38" fillId="0" borderId="33" xfId="2" applyNumberFormat="1" applyFont="1" applyFill="1" applyBorder="1" applyAlignment="1">
      <alignment horizontal="center" vertical="center"/>
    </xf>
    <xf numFmtId="2" fontId="37" fillId="0" borderId="32" xfId="7" applyNumberFormat="1" applyFont="1" applyFill="1" applyBorder="1" applyAlignment="1">
      <alignment horizontal="center" vertical="center"/>
    </xf>
    <xf numFmtId="0" fontId="37" fillId="0" borderId="0" xfId="6" applyFont="1" applyFill="1" applyBorder="1" applyAlignment="1">
      <alignment horizontal="left" vertical="center"/>
    </xf>
    <xf numFmtId="43" fontId="37" fillId="0" borderId="0" xfId="7" applyNumberFormat="1" applyFont="1" applyFill="1" applyBorder="1" applyAlignment="1">
      <alignment horizontal="left" vertical="center"/>
    </xf>
    <xf numFmtId="4" fontId="37" fillId="0" borderId="24" xfId="2" applyNumberFormat="1" applyFont="1" applyFill="1" applyBorder="1" applyAlignment="1">
      <alignment horizontal="center" vertical="center"/>
    </xf>
    <xf numFmtId="4" fontId="28" fillId="0" borderId="0" xfId="7" applyNumberFormat="1" applyFont="1" applyFill="1" applyAlignment="1">
      <alignment vertical="center"/>
    </xf>
    <xf numFmtId="4" fontId="29" fillId="4" borderId="0" xfId="7" applyNumberFormat="1" applyFont="1" applyFill="1" applyAlignment="1">
      <alignment vertical="center"/>
    </xf>
    <xf numFmtId="167" fontId="29" fillId="4" borderId="0" xfId="7" applyNumberFormat="1" applyFont="1" applyFill="1" applyBorder="1" applyAlignment="1">
      <alignment vertical="center"/>
    </xf>
    <xf numFmtId="0" fontId="39" fillId="0" borderId="0" xfId="7" applyFont="1" applyFill="1" applyBorder="1" applyAlignment="1">
      <alignment vertical="center"/>
    </xf>
    <xf numFmtId="43" fontId="37" fillId="0" borderId="0" xfId="7" applyNumberFormat="1" applyFont="1" applyFill="1" applyBorder="1" applyAlignment="1">
      <alignment vertical="center"/>
    </xf>
    <xf numFmtId="10" fontId="40" fillId="0" borderId="0" xfId="2" applyNumberFormat="1" applyFont="1" applyFill="1" applyAlignment="1">
      <alignment vertical="center"/>
    </xf>
    <xf numFmtId="2" fontId="37" fillId="0" borderId="10" xfId="7" applyNumberFormat="1" applyFont="1" applyFill="1" applyBorder="1" applyAlignment="1">
      <alignment horizontal="center" vertical="center"/>
    </xf>
    <xf numFmtId="0" fontId="31" fillId="0" borderId="34" xfId="7" applyFont="1" applyFill="1" applyBorder="1" applyAlignment="1">
      <alignment vertical="center"/>
    </xf>
    <xf numFmtId="0" fontId="26" fillId="0" borderId="34" xfId="7" applyFont="1" applyFill="1" applyBorder="1" applyAlignment="1">
      <alignment vertical="center"/>
    </xf>
    <xf numFmtId="4" fontId="26" fillId="0" borderId="34" xfId="8" quotePrefix="1" applyNumberFormat="1" applyFont="1" applyFill="1" applyBorder="1" applyAlignment="1">
      <alignment horizontal="center" vertical="center"/>
    </xf>
    <xf numFmtId="4" fontId="26" fillId="0" borderId="13" xfId="8" quotePrefix="1" applyNumberFormat="1" applyFont="1" applyFill="1" applyBorder="1" applyAlignment="1">
      <alignment horizontal="center" vertical="center"/>
    </xf>
    <xf numFmtId="0" fontId="31" fillId="0" borderId="0" xfId="7" applyFont="1" applyFill="1" applyBorder="1" applyAlignment="1">
      <alignment vertical="center"/>
    </xf>
    <xf numFmtId="0" fontId="26" fillId="0" borderId="0" xfId="7" applyFont="1" applyFill="1" applyBorder="1" applyAlignment="1">
      <alignment vertical="center"/>
    </xf>
    <xf numFmtId="0" fontId="37" fillId="0" borderId="32" xfId="7" applyFont="1" applyFill="1" applyBorder="1" applyAlignment="1">
      <alignment horizontal="center" vertical="center"/>
    </xf>
    <xf numFmtId="0" fontId="37" fillId="0" borderId="0" xfId="7" applyFont="1" applyFill="1" applyBorder="1" applyAlignment="1">
      <alignment horizontal="center" vertical="center"/>
    </xf>
    <xf numFmtId="10" fontId="41" fillId="6" borderId="0" xfId="2" applyNumberFormat="1" applyFont="1" applyFill="1" applyBorder="1" applyAlignment="1">
      <alignment horizontal="right" vertical="center"/>
    </xf>
    <xf numFmtId="4" fontId="42" fillId="0" borderId="0" xfId="7" applyNumberFormat="1" applyFont="1" applyFill="1" applyAlignment="1">
      <alignment vertical="center"/>
    </xf>
    <xf numFmtId="10" fontId="41" fillId="4" borderId="0" xfId="2" applyNumberFormat="1" applyFont="1" applyFill="1" applyBorder="1" applyAlignment="1">
      <alignment horizontal="right" vertical="center"/>
    </xf>
    <xf numFmtId="0" fontId="37" fillId="0" borderId="35" xfId="7" applyFont="1" applyFill="1" applyBorder="1" applyAlignment="1">
      <alignment horizontal="center" vertical="center"/>
    </xf>
    <xf numFmtId="0" fontId="31" fillId="0" borderId="26" xfId="7" applyFont="1" applyFill="1" applyBorder="1" applyAlignment="1">
      <alignment vertical="center"/>
    </xf>
    <xf numFmtId="0" fontId="31" fillId="0" borderId="26" xfId="6" applyFont="1" applyFill="1" applyBorder="1" applyAlignment="1">
      <alignment horizontal="left" vertical="center"/>
    </xf>
    <xf numFmtId="4" fontId="26" fillId="0" borderId="33" xfId="6" applyNumberFormat="1" applyFont="1" applyFill="1" applyBorder="1" applyAlignment="1">
      <alignment horizontal="center" vertical="center"/>
    </xf>
    <xf numFmtId="2" fontId="26" fillId="0" borderId="36" xfId="7" applyNumberFormat="1" applyFont="1" applyFill="1" applyBorder="1" applyAlignment="1">
      <alignment horizontal="center" vertical="center"/>
    </xf>
    <xf numFmtId="0" fontId="31" fillId="0" borderId="37" xfId="7" applyFont="1" applyFill="1" applyBorder="1" applyAlignment="1">
      <alignment vertical="center"/>
    </xf>
    <xf numFmtId="0" fontId="26" fillId="0" borderId="37" xfId="7" applyFont="1" applyFill="1" applyBorder="1" applyAlignment="1">
      <alignment vertical="center"/>
    </xf>
    <xf numFmtId="4" fontId="26" fillId="0" borderId="37" xfId="6" applyNumberFormat="1" applyFont="1" applyFill="1" applyBorder="1" applyAlignment="1">
      <alignment horizontal="center" vertical="center"/>
    </xf>
    <xf numFmtId="4" fontId="26" fillId="0" borderId="38" xfId="6" applyNumberFormat="1" applyFont="1" applyFill="1" applyBorder="1" applyAlignment="1">
      <alignment horizontal="center" vertical="center"/>
    </xf>
    <xf numFmtId="0" fontId="38" fillId="0" borderId="36" xfId="7" applyFont="1" applyFill="1" applyBorder="1" applyAlignment="1">
      <alignment horizontal="center" vertical="center"/>
    </xf>
    <xf numFmtId="0" fontId="31" fillId="0" borderId="39" xfId="7" applyFont="1" applyFill="1" applyBorder="1" applyAlignment="1">
      <alignment vertical="center"/>
    </xf>
    <xf numFmtId="0" fontId="31" fillId="0" borderId="37" xfId="6" applyFont="1" applyFill="1" applyBorder="1" applyAlignment="1">
      <alignment horizontal="left" vertical="center"/>
    </xf>
    <xf numFmtId="0" fontId="10" fillId="0" borderId="38" xfId="7" applyFont="1" applyFill="1" applyBorder="1" applyAlignment="1">
      <alignment vertical="center"/>
    </xf>
    <xf numFmtId="0" fontId="22" fillId="0" borderId="26" xfId="10" applyFont="1" applyFill="1" applyBorder="1" applyAlignment="1">
      <alignment vertical="center"/>
    </xf>
    <xf numFmtId="0" fontId="22" fillId="0" borderId="0" xfId="10" applyFont="1" applyFill="1" applyBorder="1" applyAlignment="1">
      <alignment vertical="center"/>
    </xf>
    <xf numFmtId="4" fontId="10" fillId="0" borderId="0" xfId="7" applyNumberFormat="1" applyFont="1" applyFill="1" applyAlignment="1">
      <alignment vertical="center"/>
    </xf>
    <xf numFmtId="0" fontId="29" fillId="0" borderId="0" xfId="7" applyFont="1" applyFill="1" applyAlignment="1">
      <alignment vertical="center"/>
    </xf>
    <xf numFmtId="0" fontId="29" fillId="0" borderId="0" xfId="7" applyFont="1" applyFill="1" applyBorder="1" applyAlignment="1">
      <alignment vertical="center"/>
    </xf>
    <xf numFmtId="0" fontId="10" fillId="0" borderId="0" xfId="7" applyFont="1" applyFill="1" applyBorder="1" applyAlignment="1">
      <alignment vertical="center"/>
    </xf>
    <xf numFmtId="0" fontId="28" fillId="0" borderId="0" xfId="7" applyFont="1" applyFill="1" applyBorder="1" applyAlignment="1">
      <alignment vertical="center"/>
    </xf>
    <xf numFmtId="0" fontId="28" fillId="0" borderId="0" xfId="8" applyFont="1" applyBorder="1" applyAlignment="1">
      <alignment vertical="center"/>
    </xf>
    <xf numFmtId="168" fontId="44" fillId="0" borderId="0" xfId="8" applyNumberFormat="1" applyFont="1" applyBorder="1" applyAlignment="1">
      <alignment vertical="center"/>
    </xf>
    <xf numFmtId="168" fontId="28" fillId="0" borderId="0" xfId="8" applyNumberFormat="1" applyFont="1" applyBorder="1" applyAlignment="1">
      <alignment vertical="center"/>
    </xf>
    <xf numFmtId="2" fontId="28" fillId="0" borderId="0" xfId="8" applyNumberFormat="1" applyFont="1" applyBorder="1" applyAlignment="1">
      <alignment vertical="center"/>
    </xf>
    <xf numFmtId="0" fontId="28" fillId="0" borderId="0" xfId="8" applyFont="1" applyAlignment="1">
      <alignment vertical="center"/>
    </xf>
    <xf numFmtId="0" fontId="31" fillId="0" borderId="0" xfId="11" quotePrefix="1" applyFont="1" applyAlignment="1">
      <alignment horizontal="left" vertical="center"/>
    </xf>
    <xf numFmtId="0" fontId="31" fillId="0" borderId="0" xfId="8" applyFont="1" applyBorder="1" applyAlignment="1">
      <alignment horizontal="centerContinuous" vertical="center"/>
    </xf>
    <xf numFmtId="0" fontId="31" fillId="0" borderId="0" xfId="11" quotePrefix="1" applyFont="1" applyAlignment="1">
      <alignment horizontal="center" vertical="center"/>
    </xf>
    <xf numFmtId="4" fontId="31" fillId="0" borderId="0" xfId="8" applyNumberFormat="1" applyFont="1" applyFill="1" applyBorder="1" applyAlignment="1">
      <alignment horizontal="centerContinuous" vertical="center" wrapText="1"/>
    </xf>
    <xf numFmtId="4" fontId="15" fillId="0" borderId="0" xfId="8" applyNumberFormat="1" applyFont="1" applyFill="1" applyBorder="1" applyAlignment="1">
      <alignment horizontal="centerContinuous" vertical="center" wrapText="1"/>
    </xf>
    <xf numFmtId="0" fontId="46" fillId="0" borderId="0" xfId="8" applyFont="1" applyFill="1" applyAlignment="1">
      <alignment horizontal="centerContinuous" vertical="center" wrapText="1"/>
    </xf>
    <xf numFmtId="0" fontId="10" fillId="0" borderId="0" xfId="8" applyFont="1" applyAlignment="1">
      <alignment horizontal="centerContinuous" vertical="center" wrapText="1"/>
    </xf>
    <xf numFmtId="0" fontId="34" fillId="0" borderId="0" xfId="11" applyFont="1" applyAlignment="1">
      <alignment horizontal="centerContinuous" vertical="center" wrapText="1"/>
    </xf>
    <xf numFmtId="0" fontId="32" fillId="0" borderId="0" xfId="11" applyFont="1" applyBorder="1" applyAlignment="1">
      <alignment horizontal="left" vertical="center" wrapText="1"/>
    </xf>
    <xf numFmtId="168" fontId="32" fillId="0" borderId="0" xfId="11" applyNumberFormat="1" applyFont="1" applyBorder="1" applyAlignment="1">
      <alignment horizontal="left" vertical="center" wrapText="1"/>
    </xf>
    <xf numFmtId="0" fontId="31" fillId="0" borderId="0" xfId="11" applyFont="1" applyAlignment="1">
      <alignment horizontal="left" vertical="center"/>
    </xf>
    <xf numFmtId="0" fontId="47" fillId="0" borderId="0" xfId="8" applyFont="1" applyBorder="1" applyAlignment="1">
      <alignment horizontal="right" vertical="center"/>
    </xf>
    <xf numFmtId="0" fontId="10" fillId="0" borderId="0" xfId="8" applyFont="1" applyAlignment="1">
      <alignment vertical="center"/>
    </xf>
    <xf numFmtId="0" fontId="10" fillId="0" borderId="0" xfId="8" applyFont="1" applyAlignment="1">
      <alignment horizontal="center" vertical="center"/>
    </xf>
    <xf numFmtId="2" fontId="48" fillId="0" borderId="0" xfId="8" applyNumberFormat="1" applyFont="1" applyFill="1" applyBorder="1" applyAlignment="1">
      <alignment horizontal="center" vertical="center"/>
    </xf>
    <xf numFmtId="2" fontId="38" fillId="0" borderId="0" xfId="8" applyNumberFormat="1" applyFont="1" applyFill="1" applyBorder="1" applyAlignment="1">
      <alignment horizontal="center" vertical="center"/>
    </xf>
    <xf numFmtId="17" fontId="26" fillId="0" borderId="0" xfId="8" applyNumberFormat="1" applyFont="1" applyFill="1" applyBorder="1" applyAlignment="1">
      <alignment horizontal="right" vertical="center"/>
    </xf>
    <xf numFmtId="0" fontId="31" fillId="0" borderId="0" xfId="8" applyFont="1" applyFill="1" applyBorder="1" applyAlignment="1">
      <alignment vertical="center"/>
    </xf>
    <xf numFmtId="9" fontId="31" fillId="0" borderId="0" xfId="2" applyFont="1" applyAlignment="1">
      <alignment horizontal="center" vertical="center"/>
    </xf>
    <xf numFmtId="166" fontId="30" fillId="0" borderId="0" xfId="2" applyNumberFormat="1" applyFont="1" applyAlignment="1">
      <alignment horizontal="center" vertical="center"/>
    </xf>
    <xf numFmtId="0" fontId="37" fillId="0" borderId="0" xfId="9" quotePrefix="1" applyFont="1" applyFill="1" applyBorder="1" applyAlignment="1">
      <alignment horizontal="center" vertical="center"/>
    </xf>
    <xf numFmtId="0" fontId="37" fillId="0" borderId="0" xfId="8" applyFont="1" applyBorder="1" applyAlignment="1">
      <alignment horizontal="left" vertical="center"/>
    </xf>
    <xf numFmtId="0" fontId="37" fillId="0" borderId="0" xfId="8" applyFont="1" applyBorder="1" applyAlignment="1">
      <alignment vertical="center"/>
    </xf>
    <xf numFmtId="0" fontId="10" fillId="0" borderId="0" xfId="8" applyFont="1" applyBorder="1" applyAlignment="1">
      <alignment horizontal="center" vertical="center"/>
    </xf>
    <xf numFmtId="0" fontId="49" fillId="0" borderId="0" xfId="8" applyFont="1" applyFill="1" applyBorder="1" applyAlignment="1">
      <alignment horizontal="center" vertical="center"/>
    </xf>
    <xf numFmtId="2" fontId="7" fillId="0" borderId="0" xfId="8" applyNumberFormat="1" applyFont="1" applyFill="1" applyBorder="1" applyAlignment="1">
      <alignment horizontal="center" vertical="center"/>
    </xf>
    <xf numFmtId="0" fontId="30" fillId="5" borderId="10" xfId="8" applyFont="1" applyFill="1" applyBorder="1" applyAlignment="1">
      <alignment horizontal="center" vertical="center"/>
    </xf>
    <xf numFmtId="0" fontId="30" fillId="5" borderId="13" xfId="9" applyFont="1" applyFill="1" applyBorder="1" applyAlignment="1">
      <alignment horizontal="center" vertical="center" wrapText="1"/>
    </xf>
    <xf numFmtId="0" fontId="30" fillId="5" borderId="11" xfId="8" applyFont="1" applyFill="1" applyBorder="1" applyAlignment="1">
      <alignment horizontal="center" vertical="center"/>
    </xf>
    <xf numFmtId="0" fontId="38" fillId="0" borderId="32" xfId="8" applyFont="1" applyFill="1" applyBorder="1" applyAlignment="1">
      <alignment vertical="center"/>
    </xf>
    <xf numFmtId="0" fontId="38" fillId="0" borderId="0" xfId="8" applyFont="1" applyFill="1" applyBorder="1" applyAlignment="1">
      <alignment vertical="center"/>
    </xf>
    <xf numFmtId="0" fontId="38" fillId="0" borderId="0" xfId="8" applyFont="1" applyFill="1" applyBorder="1" applyAlignment="1">
      <alignment horizontal="centerContinuous" vertical="center"/>
    </xf>
    <xf numFmtId="0" fontId="38" fillId="0" borderId="29" xfId="8" applyFont="1" applyFill="1" applyBorder="1" applyAlignment="1">
      <alignment horizontal="centerContinuous" vertical="center"/>
    </xf>
    <xf numFmtId="4" fontId="41" fillId="0" borderId="24" xfId="2" applyNumberFormat="1" applyFont="1" applyFill="1" applyBorder="1" applyAlignment="1">
      <alignment horizontal="center" vertical="center"/>
    </xf>
    <xf numFmtId="4" fontId="41" fillId="0" borderId="41" xfId="8" applyNumberFormat="1" applyFont="1" applyFill="1" applyBorder="1" applyAlignment="1">
      <alignment horizontal="center" vertical="center"/>
    </xf>
    <xf numFmtId="4" fontId="50" fillId="0" borderId="5" xfId="8" applyNumberFormat="1" applyFont="1" applyFill="1" applyBorder="1" applyAlignment="1">
      <alignment horizontal="center" vertical="center"/>
    </xf>
    <xf numFmtId="4" fontId="50" fillId="0" borderId="42" xfId="8" applyNumberFormat="1" applyFont="1" applyFill="1" applyBorder="1" applyAlignment="1">
      <alignment horizontal="center" vertical="center"/>
    </xf>
    <xf numFmtId="4" fontId="51" fillId="0" borderId="0" xfId="8" applyNumberFormat="1" applyFont="1" applyFill="1" applyBorder="1" applyAlignment="1">
      <alignment horizontal="center" vertical="center"/>
    </xf>
    <xf numFmtId="4" fontId="52" fillId="0" borderId="0" xfId="8" applyNumberFormat="1" applyFont="1" applyFill="1" applyBorder="1" applyAlignment="1">
      <alignment vertical="center"/>
    </xf>
    <xf numFmtId="168" fontId="53" fillId="0" borderId="0" xfId="6" applyNumberFormat="1" applyFont="1" applyBorder="1" applyAlignment="1">
      <alignment horizontal="left" vertical="center"/>
    </xf>
    <xf numFmtId="168" fontId="44" fillId="0" borderId="0" xfId="8" applyNumberFormat="1" applyFont="1" applyFill="1" applyBorder="1" applyAlignment="1">
      <alignment vertical="center"/>
    </xf>
    <xf numFmtId="168" fontId="28" fillId="0" borderId="0" xfId="8" applyNumberFormat="1" applyFont="1" applyFill="1" applyBorder="1" applyAlignment="1">
      <alignment vertical="center"/>
    </xf>
    <xf numFmtId="2" fontId="28" fillId="0" borderId="0" xfId="8" applyNumberFormat="1" applyFont="1" applyFill="1" applyBorder="1" applyAlignment="1">
      <alignment vertical="center"/>
    </xf>
    <xf numFmtId="0" fontId="28" fillId="0" borderId="0" xfId="8" applyFont="1" applyFill="1" applyBorder="1" applyAlignment="1">
      <alignment vertical="center"/>
    </xf>
    <xf numFmtId="0" fontId="28" fillId="0" borderId="0" xfId="8" applyFont="1" applyFill="1" applyAlignment="1">
      <alignment vertical="center"/>
    </xf>
    <xf numFmtId="2" fontId="38" fillId="0" borderId="32" xfId="8" applyNumberFormat="1" applyFont="1" applyFill="1" applyBorder="1" applyAlignment="1">
      <alignment horizontal="center" vertical="center"/>
    </xf>
    <xf numFmtId="0" fontId="54" fillId="0" borderId="0" xfId="8" applyFont="1" applyFill="1" applyBorder="1" applyAlignment="1">
      <alignment vertical="center"/>
    </xf>
    <xf numFmtId="4" fontId="41" fillId="0" borderId="24" xfId="2" applyNumberFormat="1" applyFont="1" applyFill="1" applyBorder="1" applyAlignment="1">
      <alignment horizontal="right" vertical="center" indent="1"/>
    </xf>
    <xf numFmtId="4" fontId="41" fillId="0" borderId="5" xfId="8" applyNumberFormat="1" applyFont="1" applyFill="1" applyBorder="1" applyAlignment="1">
      <alignment horizontal="right" vertical="center" indent="1"/>
    </xf>
    <xf numFmtId="4" fontId="55" fillId="0" borderId="0" xfId="8" applyNumberFormat="1" applyFont="1" applyFill="1" applyBorder="1" applyAlignment="1">
      <alignment horizontal="center" vertical="center"/>
    </xf>
    <xf numFmtId="169" fontId="44" fillId="0" borderId="0" xfId="8" applyNumberFormat="1" applyFont="1" applyFill="1" applyBorder="1" applyAlignment="1">
      <alignment vertical="center"/>
    </xf>
    <xf numFmtId="2" fontId="44" fillId="0" borderId="0" xfId="8" applyNumberFormat="1" applyFont="1" applyFill="1" applyBorder="1" applyAlignment="1">
      <alignment vertical="center"/>
    </xf>
    <xf numFmtId="0" fontId="38" fillId="0" borderId="29" xfId="8" quotePrefix="1" applyFont="1" applyFill="1" applyBorder="1" applyAlignment="1">
      <alignment horizontal="left" vertical="center"/>
    </xf>
    <xf numFmtId="170" fontId="55" fillId="0" borderId="0" xfId="8" applyNumberFormat="1" applyFont="1" applyFill="1" applyBorder="1" applyAlignment="1">
      <alignment horizontal="center" vertical="center"/>
    </xf>
    <xf numFmtId="0" fontId="38" fillId="0" borderId="29" xfId="8" applyFont="1" applyFill="1" applyBorder="1" applyAlignment="1">
      <alignment vertical="center"/>
    </xf>
    <xf numFmtId="0" fontId="41" fillId="0" borderId="32" xfId="8" applyFont="1" applyFill="1" applyBorder="1" applyAlignment="1">
      <alignment horizontal="right" vertical="center" indent="1"/>
    </xf>
    <xf numFmtId="0" fontId="50" fillId="0" borderId="5" xfId="8" applyFont="1" applyFill="1" applyBorder="1" applyAlignment="1">
      <alignment horizontal="right" vertical="center" indent="1"/>
    </xf>
    <xf numFmtId="0" fontId="50" fillId="0" borderId="42" xfId="8" applyFont="1" applyFill="1" applyBorder="1" applyAlignment="1">
      <alignment horizontal="right" vertical="center" indent="1"/>
    </xf>
    <xf numFmtId="0" fontId="38" fillId="0" borderId="10" xfId="8" applyFont="1" applyFill="1" applyBorder="1" applyAlignment="1">
      <alignment horizontal="center" vertical="center"/>
    </xf>
    <xf numFmtId="0" fontId="31" fillId="0" borderId="12" xfId="8" applyFont="1" applyFill="1" applyBorder="1" applyAlignment="1">
      <alignment vertical="center"/>
    </xf>
    <xf numFmtId="0" fontId="31" fillId="0" borderId="34" xfId="8" applyFont="1" applyFill="1" applyBorder="1" applyAlignment="1">
      <alignment vertical="center"/>
    </xf>
    <xf numFmtId="0" fontId="38" fillId="0" borderId="43" xfId="8" applyFont="1" applyFill="1" applyBorder="1" applyAlignment="1">
      <alignment vertical="center"/>
    </xf>
    <xf numFmtId="168" fontId="30" fillId="0" borderId="13" xfId="8" quotePrefix="1" applyNumberFormat="1" applyFont="1" applyFill="1" applyBorder="1" applyAlignment="1">
      <alignment horizontal="right" vertical="center" indent="1"/>
    </xf>
    <xf numFmtId="168" fontId="52" fillId="0" borderId="0" xfId="8" applyNumberFormat="1" applyFont="1" applyFill="1" applyBorder="1" applyAlignment="1">
      <alignment vertical="center"/>
    </xf>
    <xf numFmtId="0" fontId="38" fillId="0" borderId="32" xfId="8" applyFont="1" applyFill="1" applyBorder="1" applyAlignment="1">
      <alignment horizontal="center" vertical="center"/>
    </xf>
    <xf numFmtId="0" fontId="38" fillId="0" borderId="44" xfId="6" applyFont="1" applyFill="1" applyBorder="1" applyAlignment="1">
      <alignment horizontal="left" vertical="center"/>
    </xf>
    <xf numFmtId="0" fontId="38" fillId="0" borderId="29" xfId="8" applyFont="1" applyFill="1" applyBorder="1" applyAlignment="1">
      <alignment horizontal="right" vertical="center"/>
    </xf>
    <xf numFmtId="168" fontId="41" fillId="0" borderId="24" xfId="2" applyNumberFormat="1" applyFont="1" applyFill="1" applyBorder="1" applyAlignment="1">
      <alignment horizontal="right" vertical="center" indent="1"/>
    </xf>
    <xf numFmtId="168" fontId="41" fillId="0" borderId="32" xfId="8" applyNumberFormat="1" applyFont="1" applyFill="1" applyBorder="1" applyAlignment="1">
      <alignment horizontal="right" vertical="center" indent="1"/>
    </xf>
    <xf numFmtId="168" fontId="50" fillId="0" borderId="5" xfId="8" applyNumberFormat="1" applyFont="1" applyFill="1" applyBorder="1" applyAlignment="1">
      <alignment horizontal="right" vertical="center" indent="1"/>
    </xf>
    <xf numFmtId="168" fontId="50" fillId="0" borderId="29" xfId="8" applyNumberFormat="1" applyFont="1" applyFill="1" applyBorder="1" applyAlignment="1">
      <alignment horizontal="right" vertical="center" indent="1"/>
    </xf>
    <xf numFmtId="0" fontId="38" fillId="0" borderId="44" xfId="8" applyFont="1" applyFill="1" applyBorder="1" applyAlignment="1">
      <alignment vertical="center"/>
    </xf>
    <xf numFmtId="0" fontId="38" fillId="0" borderId="29" xfId="8" applyFont="1" applyFill="1" applyBorder="1" applyAlignment="1">
      <alignment horizontal="left" vertical="center"/>
    </xf>
    <xf numFmtId="168" fontId="41" fillId="0" borderId="24" xfId="8" quotePrefix="1" applyNumberFormat="1" applyFont="1" applyFill="1" applyBorder="1" applyAlignment="1">
      <alignment horizontal="right" vertical="center" indent="1"/>
    </xf>
    <xf numFmtId="0" fontId="38" fillId="0" borderId="25" xfId="8" applyFont="1" applyFill="1" applyBorder="1" applyAlignment="1">
      <alignment horizontal="center" vertical="center"/>
    </xf>
    <xf numFmtId="0" fontId="31" fillId="0" borderId="45" xfId="8" applyFont="1" applyFill="1" applyBorder="1" applyAlignment="1">
      <alignment vertical="center"/>
    </xf>
    <xf numFmtId="0" fontId="31" fillId="0" borderId="26" xfId="8" applyFont="1" applyFill="1" applyBorder="1" applyAlignment="1">
      <alignment vertical="center"/>
    </xf>
    <xf numFmtId="168" fontId="30" fillId="0" borderId="33" xfId="6" applyNumberFormat="1" applyFont="1" applyFill="1" applyBorder="1" applyAlignment="1">
      <alignment horizontal="right" vertical="center" indent="1"/>
    </xf>
    <xf numFmtId="168" fontId="41" fillId="0" borderId="35" xfId="8" applyNumberFormat="1" applyFont="1" applyFill="1" applyBorder="1" applyAlignment="1">
      <alignment horizontal="right" vertical="center" indent="1"/>
    </xf>
    <xf numFmtId="168" fontId="50" fillId="0" borderId="46" xfId="8" applyNumberFormat="1" applyFont="1" applyFill="1" applyBorder="1" applyAlignment="1">
      <alignment horizontal="right" vertical="center" indent="1"/>
    </xf>
    <xf numFmtId="168" fontId="50" fillId="0" borderId="27" xfId="8" applyNumberFormat="1" applyFont="1" applyFill="1" applyBorder="1" applyAlignment="1">
      <alignment horizontal="right" vertical="center" indent="1"/>
    </xf>
    <xf numFmtId="0" fontId="38" fillId="0" borderId="28" xfId="8" applyFont="1" applyFill="1" applyBorder="1" applyAlignment="1">
      <alignment horizontal="center" vertical="center"/>
    </xf>
    <xf numFmtId="0" fontId="31" fillId="0" borderId="44" xfId="8" applyFont="1" applyFill="1" applyBorder="1" applyAlignment="1">
      <alignment vertical="center"/>
    </xf>
    <xf numFmtId="0" fontId="31" fillId="0" borderId="0" xfId="6" applyFont="1" applyFill="1" applyBorder="1" applyAlignment="1">
      <alignment horizontal="left" vertical="center"/>
    </xf>
    <xf numFmtId="4" fontId="30" fillId="0" borderId="24" xfId="2" applyNumberFormat="1" applyFont="1" applyFill="1" applyBorder="1" applyAlignment="1">
      <alignment horizontal="right" vertical="center" indent="1"/>
    </xf>
    <xf numFmtId="0" fontId="38" fillId="0" borderId="47" xfId="8" applyFont="1" applyFill="1" applyBorder="1" applyAlignment="1">
      <alignment horizontal="center" vertical="center"/>
    </xf>
    <xf numFmtId="0" fontId="31" fillId="0" borderId="39" xfId="8" applyFont="1" applyFill="1" applyBorder="1" applyAlignment="1">
      <alignment vertical="center"/>
    </xf>
    <xf numFmtId="0" fontId="31" fillId="0" borderId="37" xfId="8" applyFont="1" applyFill="1" applyBorder="1" applyAlignment="1">
      <alignment vertical="center"/>
    </xf>
    <xf numFmtId="168" fontId="30" fillId="0" borderId="38" xfId="6" applyNumberFormat="1" applyFont="1" applyFill="1" applyBorder="1" applyAlignment="1">
      <alignment horizontal="right" vertical="center" indent="1"/>
    </xf>
    <xf numFmtId="168" fontId="41" fillId="0" borderId="36" xfId="8" applyNumberFormat="1" applyFont="1" applyFill="1" applyBorder="1" applyAlignment="1">
      <alignment horizontal="right" vertical="center" indent="1"/>
    </xf>
    <xf numFmtId="168" fontId="50" fillId="0" borderId="48" xfId="8" applyNumberFormat="1" applyFont="1" applyFill="1" applyBorder="1" applyAlignment="1">
      <alignment horizontal="right" vertical="center" indent="1"/>
    </xf>
    <xf numFmtId="168" fontId="50" fillId="0" borderId="49" xfId="8" applyNumberFormat="1" applyFont="1" applyFill="1" applyBorder="1" applyAlignment="1">
      <alignment horizontal="right" vertical="center" indent="1"/>
    </xf>
    <xf numFmtId="0" fontId="48" fillId="0" borderId="47" xfId="8" applyFont="1" applyFill="1" applyBorder="1" applyAlignment="1">
      <alignment vertical="center"/>
    </xf>
    <xf numFmtId="0" fontId="48" fillId="0" borderId="39" xfId="8" applyFont="1" applyFill="1" applyBorder="1" applyAlignment="1">
      <alignment vertical="center"/>
    </xf>
    <xf numFmtId="0" fontId="38" fillId="0" borderId="37" xfId="8" applyFont="1" applyFill="1" applyBorder="1" applyAlignment="1">
      <alignment horizontal="left" vertical="center"/>
    </xf>
    <xf numFmtId="0" fontId="38" fillId="0" borderId="37" xfId="8" applyFont="1" applyFill="1" applyBorder="1" applyAlignment="1">
      <alignment vertical="center"/>
    </xf>
    <xf numFmtId="0" fontId="48" fillId="0" borderId="37" xfId="8" applyFont="1" applyFill="1" applyBorder="1" applyAlignment="1">
      <alignment vertical="center"/>
    </xf>
    <xf numFmtId="168" fontId="41" fillId="0" borderId="38" xfId="6" applyNumberFormat="1" applyFont="1" applyFill="1" applyBorder="1" applyAlignment="1">
      <alignment horizontal="right" vertical="center" indent="1"/>
    </xf>
    <xf numFmtId="168" fontId="41" fillId="0" borderId="41" xfId="6" applyNumberFormat="1" applyFont="1" applyFill="1" applyBorder="1" applyAlignment="1">
      <alignment horizontal="right" vertical="center" indent="1"/>
    </xf>
    <xf numFmtId="0" fontId="48" fillId="0" borderId="50" xfId="8" applyFont="1" applyFill="1" applyBorder="1" applyAlignment="1">
      <alignment vertical="center"/>
    </xf>
    <xf numFmtId="0" fontId="30" fillId="0" borderId="12" xfId="8" applyFont="1" applyFill="1" applyBorder="1" applyAlignment="1">
      <alignment vertical="center"/>
    </xf>
    <xf numFmtId="0" fontId="48" fillId="0" borderId="34" xfId="8" applyFont="1" applyFill="1" applyBorder="1" applyAlignment="1">
      <alignment vertical="center"/>
    </xf>
    <xf numFmtId="168" fontId="30" fillId="0" borderId="13" xfId="6" applyNumberFormat="1" applyFont="1" applyFill="1" applyBorder="1" applyAlignment="1">
      <alignment horizontal="right" vertical="center" indent="1"/>
    </xf>
    <xf numFmtId="168" fontId="30" fillId="0" borderId="10" xfId="6" applyNumberFormat="1" applyFont="1" applyFill="1" applyBorder="1" applyAlignment="1">
      <alignment horizontal="right" vertical="center" indent="1"/>
    </xf>
    <xf numFmtId="0" fontId="41" fillId="0" borderId="0" xfId="8" applyFont="1" applyFill="1" applyAlignment="1">
      <alignment vertical="center"/>
    </xf>
    <xf numFmtId="4" fontId="30" fillId="0" borderId="0" xfId="6" applyNumberFormat="1" applyFont="1" applyFill="1" applyBorder="1" applyAlignment="1">
      <alignment horizontal="center" vertical="center"/>
    </xf>
    <xf numFmtId="4" fontId="50" fillId="0" borderId="0" xfId="8" applyNumberFormat="1" applyFont="1" applyFill="1" applyAlignment="1">
      <alignment horizontal="center" vertical="center"/>
    </xf>
    <xf numFmtId="0" fontId="15" fillId="0" borderId="0" xfId="8" applyFont="1" applyFill="1" applyAlignment="1">
      <alignment horizontal="center" vertical="center"/>
    </xf>
    <xf numFmtId="10" fontId="30" fillId="0" borderId="0" xfId="2" applyNumberFormat="1" applyFont="1" applyFill="1" applyBorder="1" applyAlignment="1">
      <alignment horizontal="center" vertical="center"/>
    </xf>
    <xf numFmtId="10" fontId="53" fillId="0" borderId="0" xfId="2" applyNumberFormat="1" applyFont="1" applyFill="1" applyBorder="1" applyAlignment="1">
      <alignment horizontal="center" vertical="center"/>
    </xf>
    <xf numFmtId="0" fontId="41" fillId="0" borderId="0" xfId="8" applyFont="1" applyAlignment="1">
      <alignment vertical="center"/>
    </xf>
    <xf numFmtId="4" fontId="50" fillId="0" borderId="0" xfId="8" applyNumberFormat="1" applyFont="1" applyFill="1" applyBorder="1" applyAlignment="1">
      <alignment horizontal="center" vertical="center"/>
    </xf>
    <xf numFmtId="4" fontId="41" fillId="0" borderId="0" xfId="8" applyNumberFormat="1" applyFont="1" applyFill="1" applyBorder="1" applyAlignment="1">
      <alignment horizontal="center" vertical="center"/>
    </xf>
    <xf numFmtId="0" fontId="50" fillId="0" borderId="0" xfId="8" applyFont="1" applyAlignment="1">
      <alignment horizontal="center" vertical="center"/>
    </xf>
    <xf numFmtId="171" fontId="30" fillId="0" borderId="0" xfId="6" applyNumberFormat="1" applyFont="1" applyBorder="1" applyAlignment="1">
      <alignment horizontal="center" vertical="center"/>
    </xf>
    <xf numFmtId="0" fontId="11" fillId="3" borderId="51" xfId="3" applyFont="1" applyFill="1" applyBorder="1" applyAlignment="1">
      <alignment horizontal="center" vertical="center"/>
    </xf>
    <xf numFmtId="0" fontId="25" fillId="0" borderId="52" xfId="3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/>
    </xf>
    <xf numFmtId="0" fontId="5" fillId="0" borderId="54" xfId="3" applyFont="1" applyBorder="1" applyAlignment="1">
      <alignment horizontal="center" vertical="center"/>
    </xf>
    <xf numFmtId="17" fontId="25" fillId="0" borderId="15" xfId="3" applyNumberFormat="1" applyFont="1" applyBorder="1" applyAlignment="1">
      <alignment horizontal="center" vertical="center"/>
    </xf>
    <xf numFmtId="17" fontId="25" fillId="0" borderId="18" xfId="3" applyNumberFormat="1" applyFont="1" applyBorder="1" applyAlignment="1">
      <alignment horizontal="center" vertical="center"/>
    </xf>
    <xf numFmtId="0" fontId="25" fillId="0" borderId="55" xfId="3" applyFont="1" applyBorder="1" applyAlignment="1">
      <alignment horizontal="center" vertical="center"/>
    </xf>
    <xf numFmtId="165" fontId="4" fillId="0" borderId="7" xfId="4" applyFont="1" applyBorder="1" applyAlignment="1">
      <alignment vertical="center"/>
    </xf>
    <xf numFmtId="165" fontId="11" fillId="0" borderId="56" xfId="3" applyNumberFormat="1" applyFont="1" applyBorder="1" applyAlignment="1">
      <alignment vertical="center"/>
    </xf>
    <xf numFmtId="17" fontId="25" fillId="0" borderId="55" xfId="3" applyNumberFormat="1" applyFont="1" applyBorder="1" applyAlignment="1">
      <alignment horizontal="center" vertical="center"/>
    </xf>
    <xf numFmtId="17" fontId="25" fillId="0" borderId="53" xfId="3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/>
    </xf>
    <xf numFmtId="4" fontId="10" fillId="0" borderId="0" xfId="3" applyNumberFormat="1"/>
    <xf numFmtId="4" fontId="26" fillId="0" borderId="0" xfId="8" applyNumberFormat="1" applyFont="1" applyFill="1" applyAlignment="1">
      <alignment horizontal="center" vertical="center"/>
    </xf>
    <xf numFmtId="4" fontId="26" fillId="0" borderId="0" xfId="2" applyNumberFormat="1" applyFont="1" applyFill="1" applyBorder="1" applyAlignment="1">
      <alignment horizontal="center" vertical="center"/>
    </xf>
    <xf numFmtId="17" fontId="25" fillId="0" borderId="20" xfId="3" applyNumberFormat="1" applyFont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43" fontId="0" fillId="0" borderId="0" xfId="0" applyNumberFormat="1" applyAlignment="1">
      <alignment vertical="center"/>
    </xf>
    <xf numFmtId="4" fontId="33" fillId="4" borderId="0" xfId="7" applyNumberFormat="1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30" fillId="5" borderId="11" xfId="8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wrapText="1"/>
    </xf>
    <xf numFmtId="0" fontId="12" fillId="0" borderId="5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49" fontId="26" fillId="0" borderId="28" xfId="8" applyNumberFormat="1" applyFont="1" applyFill="1" applyBorder="1" applyAlignment="1">
      <alignment horizontal="center" vertical="center" wrapText="1"/>
    </xf>
    <xf numFmtId="49" fontId="26" fillId="0" borderId="0" xfId="8" applyNumberFormat="1" applyFont="1" applyFill="1" applyBorder="1" applyAlignment="1">
      <alignment horizontal="center" vertical="center" wrapText="1"/>
    </xf>
    <xf numFmtId="49" fontId="26" fillId="0" borderId="29" xfId="8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43" fillId="0" borderId="0" xfId="8" applyFont="1" applyBorder="1" applyAlignment="1">
      <alignment horizontal="center" vertical="center"/>
    </xf>
    <xf numFmtId="49" fontId="45" fillId="0" borderId="0" xfId="8" applyNumberFormat="1" applyFont="1" applyBorder="1" applyAlignment="1">
      <alignment horizontal="center" vertical="center" wrapText="1"/>
    </xf>
    <xf numFmtId="0" fontId="30" fillId="5" borderId="11" xfId="8" applyFont="1" applyFill="1" applyBorder="1" applyAlignment="1">
      <alignment horizontal="center" vertical="center"/>
    </xf>
    <xf numFmtId="0" fontId="30" fillId="5" borderId="12" xfId="8" applyFont="1" applyFill="1" applyBorder="1" applyAlignment="1">
      <alignment horizontal="center" vertical="center"/>
    </xf>
    <xf numFmtId="0" fontId="30" fillId="5" borderId="40" xfId="8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6" fillId="5" borderId="31" xfId="7" applyFont="1" applyFill="1" applyBorder="1" applyAlignment="1">
      <alignment horizontal="center" vertical="center"/>
    </xf>
    <xf numFmtId="4" fontId="22" fillId="0" borderId="0" xfId="10" applyNumberFormat="1" applyFont="1" applyFill="1" applyBorder="1" applyAlignment="1">
      <alignment vertical="center"/>
    </xf>
    <xf numFmtId="4" fontId="22" fillId="0" borderId="0" xfId="10" applyNumberFormat="1" applyFont="1" applyFill="1" applyBorder="1" applyAlignment="1">
      <alignment horizontal="center" vertical="center"/>
    </xf>
    <xf numFmtId="4" fontId="41" fillId="0" borderId="42" xfId="8" applyNumberFormat="1" applyFont="1" applyFill="1" applyBorder="1" applyAlignment="1">
      <alignment horizontal="right" vertical="center" indent="1"/>
    </xf>
    <xf numFmtId="168" fontId="41" fillId="0" borderId="29" xfId="6" applyNumberFormat="1" applyFont="1" applyFill="1" applyBorder="1" applyAlignment="1">
      <alignment horizontal="right" vertical="center" indent="1"/>
    </xf>
    <xf numFmtId="0" fontId="25" fillId="0" borderId="20" xfId="3" applyFont="1" applyBorder="1" applyAlignment="1">
      <alignment horizontal="center" vertical="center"/>
    </xf>
    <xf numFmtId="165" fontId="4" fillId="0" borderId="21" xfId="4" applyFont="1" applyBorder="1" applyAlignment="1">
      <alignment vertical="center"/>
    </xf>
    <xf numFmtId="165" fontId="11" fillId="0" borderId="23" xfId="3" applyNumberFormat="1" applyFont="1" applyBorder="1" applyAlignment="1">
      <alignment vertical="center"/>
    </xf>
    <xf numFmtId="0" fontId="5" fillId="0" borderId="51" xfId="3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5" fillId="0" borderId="12" xfId="3" applyFont="1" applyBorder="1" applyAlignment="1">
      <alignment vertical="center"/>
    </xf>
    <xf numFmtId="0" fontId="11" fillId="0" borderId="50" xfId="3" applyFont="1" applyBorder="1" applyAlignment="1">
      <alignment vertical="center"/>
    </xf>
    <xf numFmtId="0" fontId="11" fillId="0" borderId="0" xfId="3" applyFont="1" applyBorder="1" applyAlignment="1">
      <alignment vertical="center"/>
    </xf>
    <xf numFmtId="165" fontId="11" fillId="0" borderId="57" xfId="3" applyNumberFormat="1" applyFont="1" applyBorder="1" applyAlignment="1">
      <alignment vertical="center"/>
    </xf>
    <xf numFmtId="0" fontId="11" fillId="0" borderId="34" xfId="3" applyFont="1" applyBorder="1" applyAlignment="1">
      <alignment vertical="center"/>
    </xf>
    <xf numFmtId="4" fontId="9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4" fontId="10" fillId="0" borderId="0" xfId="3" applyNumberFormat="1" applyAlignment="1">
      <alignment vertical="center"/>
    </xf>
  </cellXfs>
  <cellStyles count="12">
    <cellStyle name="Cancel" xfId="8" xr:uid="{00000000-0005-0000-0000-000000000000}"/>
    <cellStyle name="Cancel_Resumen RS Grupo 3" xfId="7" xr:uid="{00000000-0005-0000-0000-000001000000}"/>
    <cellStyle name="Millares 2" xfId="4" xr:uid="{00000000-0005-0000-0000-000002000000}"/>
    <cellStyle name="Normal" xfId="0" builtinId="0"/>
    <cellStyle name="Normal 2" xfId="3" xr:uid="{00000000-0005-0000-0000-000004000000}"/>
    <cellStyle name="Normal_FORMATO" xfId="9" xr:uid="{00000000-0005-0000-0000-000005000000}"/>
    <cellStyle name="Normal_M y P Suministro S.E." xfId="6" xr:uid="{00000000-0005-0000-0000-000006000000}"/>
    <cellStyle name="Normal_METRADOR" xfId="11" xr:uid="{00000000-0005-0000-0000-000007000000}"/>
    <cellStyle name="Normal_Resumen RS Grupo 3" xfId="10" xr:uid="{00000000-0005-0000-0000-000008000000}"/>
    <cellStyle name="Percent" xfId="5" xr:uid="{00000000-0005-0000-0000-000009000000}"/>
    <cellStyle name="Porcentaje" xfId="1" builtinId="5"/>
    <cellStyle name="Porcentaje 2" xfId="2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CURVA DE AVANCE DE OBRA </a:t>
            </a:r>
          </a:p>
          <a:p>
            <a:pPr>
              <a:defRPr/>
            </a:pPr>
            <a:r>
              <a:rPr lang="es-PE" b="1"/>
              <a:t>RESUMEN GENERAL</a:t>
            </a:r>
          </a:p>
        </c:rich>
      </c:tx>
      <c:layout>
        <c:manualLayout>
          <c:xMode val="edge"/>
          <c:yMode val="edge"/>
          <c:x val="0.40263975687231335"/>
          <c:y val="4.6791469013030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5.9935898176240891E-2"/>
          <c:y val="4.4006245320568869E-2"/>
          <c:w val="0.85167823719840297"/>
          <c:h val="0.80908380989528095"/>
        </c:manualLayout>
      </c:layout>
      <c:lineChart>
        <c:grouping val="standard"/>
        <c:varyColors val="0"/>
        <c:ser>
          <c:idx val="0"/>
          <c:order val="0"/>
          <c:tx>
            <c:strRef>
              <c:f>'ESTUIDIO + OBRA'!$B$13:$B$23</c:f>
              <c:strCache>
                <c:ptCount val="11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 MES 8</c:v>
                </c:pt>
                <c:pt idx="8">
                  <c:v>MES 9</c:v>
                </c:pt>
                <c:pt idx="9">
                  <c:v>MES 10</c:v>
                </c:pt>
                <c:pt idx="10">
                  <c:v> MES 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'ESTUIDIO + OBRA'!$B$13:$B$23</c:f>
              <c:strCache>
                <c:ptCount val="11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 MES 8</c:v>
                </c:pt>
                <c:pt idx="8">
                  <c:v>MES 9</c:v>
                </c:pt>
                <c:pt idx="9">
                  <c:v>MES 10</c:v>
                </c:pt>
                <c:pt idx="10">
                  <c:v> MES 11</c:v>
                </c:pt>
              </c:strCache>
            </c:strRef>
          </c:cat>
          <c:val>
            <c:numRef>
              <c:f>'ESTUIDIO + OBRA'!$M$13:$M$23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70843.14</c:v>
                </c:pt>
                <c:pt idx="2">
                  <c:v>141686.28</c:v>
                </c:pt>
                <c:pt idx="3">
                  <c:v>236143.82</c:v>
                </c:pt>
                <c:pt idx="4">
                  <c:v>257503.02000000002</c:v>
                </c:pt>
                <c:pt idx="5">
                  <c:v>371318.92200000002</c:v>
                </c:pt>
                <c:pt idx="6">
                  <c:v>739572.66999999993</c:v>
                </c:pt>
                <c:pt idx="7">
                  <c:v>1630191.7850000001</c:v>
                </c:pt>
                <c:pt idx="8">
                  <c:v>2580331.92</c:v>
                </c:pt>
                <c:pt idx="9">
                  <c:v>3261497.8</c:v>
                </c:pt>
                <c:pt idx="10">
                  <c:v>3841290.5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1-4784-A04C-E9B5FBBA13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602528"/>
        <c:axId val="111118400"/>
      </c:lineChart>
      <c:catAx>
        <c:axId val="17760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118400"/>
        <c:crosses val="autoZero"/>
        <c:auto val="1"/>
        <c:lblAlgn val="ctr"/>
        <c:lblOffset val="100"/>
        <c:noMultiLvlLbl val="0"/>
      </c:catAx>
      <c:valAx>
        <c:axId val="1111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b="1"/>
                  <a:t>SOLES</a:t>
                </a:r>
              </a:p>
            </c:rich>
          </c:tx>
          <c:layout>
            <c:manualLayout>
              <c:xMode val="edge"/>
              <c:yMode val="edge"/>
              <c:x val="0"/>
              <c:y val="0.41641644493877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602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49663420860304"/>
          <c:y val="0.50961379997155654"/>
          <c:w val="9.2616150731014424E-2"/>
          <c:h val="4.3763818242745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CURVA DE AVANCE DE OBRA </a:t>
            </a:r>
          </a:p>
          <a:p>
            <a:pPr>
              <a:defRPr/>
            </a:pPr>
            <a:r>
              <a:rPr lang="es-PE" b="1"/>
              <a:t>RESUMEN GENERAL</a:t>
            </a:r>
          </a:p>
        </c:rich>
      </c:tx>
      <c:layout>
        <c:manualLayout>
          <c:xMode val="edge"/>
          <c:yMode val="edge"/>
          <c:x val="0.40263975687231335"/>
          <c:y val="4.6791469013030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5.9935898176240891E-2"/>
          <c:y val="4.4006245320568869E-2"/>
          <c:w val="0.85167823719840297"/>
          <c:h val="0.809083809895280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RESUMEN!$B$10:$B$16</c:f>
              <c:strCache>
                <c:ptCount val="7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</c:strCache>
            </c:strRef>
          </c:cat>
          <c:val>
            <c:numRef>
              <c:f>RESUMEN!$I$10:$I$16</c:f>
              <c:numCache>
                <c:formatCode>_(* #,##0.00_);_(* \(#,##0.00\);_(* "-"??_);_(@_)</c:formatCode>
                <c:ptCount val="7"/>
                <c:pt idx="0">
                  <c:v>21359.200000000004</c:v>
                </c:pt>
                <c:pt idx="1">
                  <c:v>135175.10200000001</c:v>
                </c:pt>
                <c:pt idx="2">
                  <c:v>503428.85</c:v>
                </c:pt>
                <c:pt idx="3">
                  <c:v>1394047.9650000001</c:v>
                </c:pt>
                <c:pt idx="4">
                  <c:v>2344188.1</c:v>
                </c:pt>
                <c:pt idx="5">
                  <c:v>3025353.98</c:v>
                </c:pt>
                <c:pt idx="6">
                  <c:v>3605146.68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C-44FC-A2AB-32448B0CBA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602528"/>
        <c:axId val="111118400"/>
      </c:lineChart>
      <c:catAx>
        <c:axId val="17760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118400"/>
        <c:crosses val="autoZero"/>
        <c:auto val="1"/>
        <c:lblAlgn val="ctr"/>
        <c:lblOffset val="100"/>
        <c:noMultiLvlLbl val="0"/>
      </c:catAx>
      <c:valAx>
        <c:axId val="1111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b="1"/>
                  <a:t>SOLES</a:t>
                </a:r>
              </a:p>
            </c:rich>
          </c:tx>
          <c:layout>
            <c:manualLayout>
              <c:xMode val="edge"/>
              <c:yMode val="edge"/>
              <c:x val="0"/>
              <c:y val="0.41641644493877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602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49663420860304"/>
          <c:y val="0.50961379997155654"/>
          <c:w val="9.2616150731014424E-2"/>
          <c:h val="4.3763818242745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52761</xdr:colOff>
      <xdr:row>26</xdr:row>
      <xdr:rowOff>13063</xdr:rowOff>
    </xdr:from>
    <xdr:to>
      <xdr:col>12</xdr:col>
      <xdr:colOff>1407583</xdr:colOff>
      <xdr:row>61</xdr:row>
      <xdr:rowOff>116404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71438</xdr:colOff>
      <xdr:row>19</xdr:row>
      <xdr:rowOff>59531</xdr:rowOff>
    </xdr:from>
    <xdr:to>
      <xdr:col>8</xdr:col>
      <xdr:colOff>1133473</xdr:colOff>
      <xdr:row>54</xdr:row>
      <xdr:rowOff>11905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\27pse-OECF-II\SPres-resumen\Pr-21\RpCH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os%20General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GV\GESTION%202002\PPTO-2002\DECRETO%20DE%20URGENCIA\PSE%20SANDIA%20II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garet\hdd2\DEP\27pse-OECF-II\SPres-resumen\Pr-21\RpCH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RTovar/101%20LT%2033kV%20Jahuay-Oco&#241;a/00%20RAFO/METRADO%20DISGREGADO%20LP-RP-R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UPERVISION%20CHIMBOTE/CRONOGRAMA%20VALORIZADO%20CUTIVALU.xlsm-FECHADO%20JKVBVB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RTovar/105%20NAMBALLE/CD%20NAMBALLE/04-Volumen%20IV/004_Valor%20Referencial%20Namballe%20-%20NAMBALL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RTovar/105%20NAMBALLE/CD%20NAMBALLE/04-Volumen%20IV/Estudio%20de%20Mercado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RAFO/210%20STGO_CHCO/005%20Valor%20referecncial%20-13LOCALIDADES_Stgo.Chuco%20-(RAFO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GV\GESTION%202002\PPTO-2002\DECRETO%20DE%20URGENCIA\PSE%20SANDIA%20II\DEP\27pse-OECF-II\SPres-resumen\Pr-21\RpCH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dor\Mis%20documentos\Grupo%203\Grupo3%20LP\01.-%20CORONGO%20II\Presup-LP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YECTO\ENPROCES\VARIOS\AYAC-SFR\COY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A_CAPILLA\C\GAGO\PARAMETROS_JIMB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2A.%20Anteproyecto-NSeasme\S2%20Valor%20Refer\Anexo%20Inversion%20de%20activos%20P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ltimo%20-%20revidar\tasas%20de%20Crecimiento%2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c37\Configuraci&#243;n%20local\Temp\criterio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nvitadodep\Mis%20documentos\Grupo3\VALOR%20REFERENCIAL%20E.R.%20GRUPO%202\1.%20Presup%20RP%20ZONA%20NORTE%20-%20GRUPO%20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rt\CTGAR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RTovar1/CD%20Grupo%2016/Formato_VReferencial_DGER-MEM%202011.03.10%20Grupo%201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"/>
      <sheetName val="Proyecciones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J"/>
      <sheetName val=""/>
      <sheetName val="AIJA-II"/>
      <sheetName val="Recursos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BASE_LP_RP"/>
      <sheetName val="MFT TOC"/>
      <sheetName val="I-115 Res Mod ET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Hoja2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A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#�REF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Baremos"/>
      <sheetName val="BASE MATERIALES"/>
      <sheetName val="DataEq"/>
      <sheetName val="Eq_Menores"/>
      <sheetName val="Res_Sem"/>
      <sheetName val="RS"/>
      <sheetName val="Flujo Energia 9906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PT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Fundacion"/>
      <sheetName val="cantidades"/>
      <sheetName val="CONFIGURACIÓN"/>
      <sheetName val="ING. DATOS"/>
      <sheetName val="Unit-op-cartel"/>
      <sheetName val="CALCULO"/>
      <sheetName val="METRADO MON RS"/>
      <sheetName val="__REF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/>
      <sheetData sheetId="1"/>
      <sheetData sheetId="2" refreshError="1"/>
      <sheetData sheetId="3" refreshError="1"/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7">
          <cell r="D7">
            <v>0.25</v>
          </cell>
        </row>
        <row r="14">
          <cell r="A14">
            <v>90</v>
          </cell>
        </row>
        <row r="33">
          <cell r="A33">
            <v>-18.82235517762004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BASE"/>
      <sheetName val="#¡REF"/>
    </sheetNames>
    <sheetDataSet>
      <sheetData sheetId="0" refreshError="1">
        <row r="2">
          <cell r="D2" t="str">
            <v>: PSE TARAPOTO  I ETAPA y RS</v>
          </cell>
        </row>
        <row r="3">
          <cell r="D3" t="str">
            <v>: 99-056-EM/DEP</v>
          </cell>
        </row>
        <row r="4">
          <cell r="D4" t="str">
            <v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ida"/>
      <sheetName val="detalle"/>
      <sheetName val="rubros"/>
      <sheetName val="DATOS"/>
      <sheetName val="PROYECTO"/>
      <sheetName val="Hoja1"/>
    </sheetNames>
    <sheetDataSet>
      <sheetData sheetId="0"/>
      <sheetData sheetId="1">
        <row r="16">
          <cell r="B16" t="str">
            <v>E1</v>
          </cell>
          <cell r="F16" t="str">
            <v>TOT. MAT-1</v>
          </cell>
        </row>
        <row r="17">
          <cell r="B17" t="str">
            <v>ARANDCUADPLAN57X57X5</v>
          </cell>
          <cell r="F17">
            <v>0</v>
          </cell>
        </row>
        <row r="18">
          <cell r="B18" t="str">
            <v>FLEJE19MM</v>
          </cell>
          <cell r="F18">
            <v>0</v>
          </cell>
        </row>
        <row r="19">
          <cell r="B19" t="str">
            <v>CBIMIS25410N</v>
          </cell>
          <cell r="F19">
            <v>0</v>
          </cell>
        </row>
        <row r="20">
          <cell r="B20" t="str">
            <v>CONECT35FASEAISLPERF</v>
          </cell>
          <cell r="F20">
            <v>0</v>
          </cell>
        </row>
        <row r="21">
          <cell r="B21" t="str">
            <v>CCOBREN2XY2X10</v>
          </cell>
          <cell r="F21">
            <v>0</v>
          </cell>
        </row>
        <row r="22">
          <cell r="B22" t="str">
            <v>CORREAPLASTNEGRA</v>
          </cell>
          <cell r="F22">
            <v>0</v>
          </cell>
        </row>
        <row r="23">
          <cell r="B23" t="str">
            <v>PORTALIN10</v>
          </cell>
          <cell r="F23">
            <v>0</v>
          </cell>
        </row>
        <row r="24">
          <cell r="B24" t="str">
            <v>PERNMAQ13D203TYCT</v>
          </cell>
          <cell r="F24">
            <v>0</v>
          </cell>
        </row>
        <row r="25">
          <cell r="B25" t="str">
            <v>CAJADERIVACOM38022005B</v>
          </cell>
          <cell r="F25">
            <v>0</v>
          </cell>
        </row>
        <row r="26">
          <cell r="B26" t="str">
            <v>CAJADERIVACOM44022005B</v>
          </cell>
          <cell r="F26">
            <v>0</v>
          </cell>
        </row>
        <row r="27">
          <cell r="B27" t="str">
            <v>PERNGANCHO16D203</v>
          </cell>
          <cell r="F27">
            <v>0</v>
          </cell>
        </row>
        <row r="28">
          <cell r="B28" t="str">
            <v>GRPASUSPANGALUM25</v>
          </cell>
          <cell r="F28">
            <v>0</v>
          </cell>
        </row>
        <row r="29">
          <cell r="B29" t="str">
            <v>CINTAAUTOFUND</v>
          </cell>
          <cell r="F29">
            <v>0</v>
          </cell>
        </row>
        <row r="32">
          <cell r="B32" t="str">
            <v xml:space="preserve">ARMADO TIPO </v>
          </cell>
          <cell r="F32">
            <v>0</v>
          </cell>
        </row>
        <row r="33">
          <cell r="B33" t="str">
            <v>E1/S</v>
          </cell>
          <cell r="F33" t="str">
            <v>TOT. MAT-1</v>
          </cell>
        </row>
        <row r="34">
          <cell r="B34" t="str">
            <v>ARANDCUADPLAN57X57X5</v>
          </cell>
          <cell r="F34">
            <v>0</v>
          </cell>
        </row>
        <row r="35">
          <cell r="B35" t="str">
            <v>FLEJE19MM</v>
          </cell>
          <cell r="F35">
            <v>0</v>
          </cell>
        </row>
        <row r="36">
          <cell r="B36" t="str">
            <v>CBIMIS25410N</v>
          </cell>
          <cell r="F36">
            <v>0</v>
          </cell>
        </row>
        <row r="37">
          <cell r="B37" t="str">
            <v>CONECT35FASEAISLPERF</v>
          </cell>
          <cell r="F37">
            <v>0</v>
          </cell>
        </row>
        <row r="38">
          <cell r="B38" t="str">
            <v>CCOBREN2XY2X10</v>
          </cell>
          <cell r="F38">
            <v>0</v>
          </cell>
        </row>
        <row r="39">
          <cell r="B39" t="str">
            <v>CORREAPLASTNEGRA</v>
          </cell>
          <cell r="F39">
            <v>0</v>
          </cell>
        </row>
        <row r="40">
          <cell r="B40" t="str">
            <v>PORTALIN10</v>
          </cell>
          <cell r="F40">
            <v>0</v>
          </cell>
        </row>
        <row r="41">
          <cell r="B41" t="str">
            <v>PERNMAQ13D203TYCT</v>
          </cell>
          <cell r="F41">
            <v>0</v>
          </cell>
        </row>
        <row r="42">
          <cell r="B42" t="str">
            <v>CAJADERIVACOM22005B</v>
          </cell>
          <cell r="F42">
            <v>0</v>
          </cell>
        </row>
        <row r="43">
          <cell r="B43" t="str">
            <v>PERNGANCHO16D203</v>
          </cell>
          <cell r="F43">
            <v>0</v>
          </cell>
        </row>
        <row r="44">
          <cell r="B44" t="str">
            <v>GRPASUSPANGALUM25</v>
          </cell>
          <cell r="F44">
            <v>0</v>
          </cell>
        </row>
        <row r="45">
          <cell r="B45" t="str">
            <v>CINTAAUTOFUND</v>
          </cell>
          <cell r="F45">
            <v>0</v>
          </cell>
        </row>
        <row r="48">
          <cell r="B48" t="str">
            <v xml:space="preserve">ARMADO TIPO </v>
          </cell>
          <cell r="F48">
            <v>0</v>
          </cell>
        </row>
        <row r="49">
          <cell r="B49" t="str">
            <v>E1B</v>
          </cell>
          <cell r="F49" t="str">
            <v>TOT. MAT-1</v>
          </cell>
        </row>
        <row r="50">
          <cell r="B50" t="str">
            <v>ARANDCUADPLAN57X57X5</v>
          </cell>
          <cell r="F50">
            <v>0</v>
          </cell>
        </row>
        <row r="51">
          <cell r="B51" t="str">
            <v>CORREAPLASTNEGRA</v>
          </cell>
          <cell r="F51">
            <v>0</v>
          </cell>
        </row>
        <row r="52">
          <cell r="B52" t="str">
            <v>PERNMAQ13D203TYCT</v>
          </cell>
          <cell r="F52">
            <v>0</v>
          </cell>
        </row>
        <row r="53">
          <cell r="B53" t="str">
            <v>DISTCP080</v>
          </cell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60">
          <cell r="B60" t="str">
            <v xml:space="preserve">ARMADO TIPO </v>
          </cell>
          <cell r="F60">
            <v>0</v>
          </cell>
        </row>
        <row r="61">
          <cell r="B61" t="str">
            <v>E'1</v>
          </cell>
          <cell r="F61" t="str">
            <v>TOT. MAT-1</v>
          </cell>
        </row>
        <row r="62">
          <cell r="B62" t="str">
            <v>ARANDCUADPLAN57X57X5</v>
          </cell>
          <cell r="F62">
            <v>0</v>
          </cell>
        </row>
        <row r="63">
          <cell r="B63" t="str">
            <v>FLEJE19MM</v>
          </cell>
          <cell r="F63">
            <v>0</v>
          </cell>
        </row>
        <row r="64">
          <cell r="B64" t="str">
            <v>CBIMIS25410N</v>
          </cell>
          <cell r="F64">
            <v>0</v>
          </cell>
        </row>
        <row r="65">
          <cell r="B65" t="str">
            <v>CONECT35FASEAISLPERF</v>
          </cell>
          <cell r="F65">
            <v>0</v>
          </cell>
        </row>
        <row r="66">
          <cell r="B66" t="str">
            <v>CCOBREN2XY2X10</v>
          </cell>
          <cell r="F66">
            <v>0</v>
          </cell>
        </row>
        <row r="67">
          <cell r="B67" t="str">
            <v>CORREAPLASTNEGRA</v>
          </cell>
          <cell r="F67">
            <v>0</v>
          </cell>
        </row>
        <row r="68">
          <cell r="B68" t="str">
            <v>PORTALIN10</v>
          </cell>
          <cell r="F68">
            <v>0</v>
          </cell>
        </row>
        <row r="69">
          <cell r="B69" t="str">
            <v>PERNMAQ13D305TYCT</v>
          </cell>
          <cell r="F69">
            <v>0</v>
          </cell>
        </row>
        <row r="70">
          <cell r="B70" t="str">
            <v>CAJADERIVACOM38022005B</v>
          </cell>
          <cell r="F70">
            <v>0</v>
          </cell>
        </row>
        <row r="71">
          <cell r="B71" t="str">
            <v>CAJADERIVACOM44022005B</v>
          </cell>
          <cell r="F71">
            <v>0</v>
          </cell>
        </row>
        <row r="72">
          <cell r="B72" t="str">
            <v>PERNGANCHO16D305</v>
          </cell>
          <cell r="F72">
            <v>0</v>
          </cell>
        </row>
        <row r="73">
          <cell r="B73" t="str">
            <v>GRPASUSPANGALUM25</v>
          </cell>
          <cell r="F73">
            <v>0</v>
          </cell>
        </row>
        <row r="74">
          <cell r="B74" t="str">
            <v>CINTAAUTOFUND</v>
          </cell>
          <cell r="F74">
            <v>0</v>
          </cell>
        </row>
        <row r="77">
          <cell r="B77" t="str">
            <v xml:space="preserve">ARMADO TIPO </v>
          </cell>
          <cell r="F77">
            <v>0</v>
          </cell>
        </row>
        <row r="78">
          <cell r="B78" t="str">
            <v>E'1/S</v>
          </cell>
          <cell r="F78" t="str">
            <v>TOT. MAT-1</v>
          </cell>
        </row>
        <row r="79">
          <cell r="B79" t="str">
            <v>ARANDCUADPLAN57X57X5</v>
          </cell>
          <cell r="F79">
            <v>0</v>
          </cell>
        </row>
        <row r="80">
          <cell r="B80" t="str">
            <v>FLEJE19MM</v>
          </cell>
          <cell r="F80">
            <v>0</v>
          </cell>
        </row>
        <row r="81">
          <cell r="B81" t="str">
            <v>CBIMIS25410N</v>
          </cell>
          <cell r="F81">
            <v>0</v>
          </cell>
        </row>
        <row r="82">
          <cell r="B82" t="str">
            <v>CONECT35FASEAISLPERF</v>
          </cell>
          <cell r="F82">
            <v>0</v>
          </cell>
        </row>
        <row r="83">
          <cell r="B83" t="str">
            <v>CCOBREN2XY2X10</v>
          </cell>
          <cell r="F83">
            <v>0</v>
          </cell>
        </row>
        <row r="84">
          <cell r="B84" t="str">
            <v>CORREAPLASTNEGRA</v>
          </cell>
          <cell r="F84">
            <v>0</v>
          </cell>
        </row>
        <row r="85">
          <cell r="B85" t="str">
            <v>PORTALIN10</v>
          </cell>
          <cell r="F85">
            <v>0</v>
          </cell>
        </row>
        <row r="86">
          <cell r="B86" t="str">
            <v>PERNMAQ13D305TYCT</v>
          </cell>
          <cell r="F86">
            <v>0</v>
          </cell>
        </row>
        <row r="87">
          <cell r="B87" t="str">
            <v>CAJADERIVACOM22005B</v>
          </cell>
          <cell r="F87">
            <v>0</v>
          </cell>
        </row>
        <row r="88">
          <cell r="B88" t="str">
            <v>PERNGANCHO16D305</v>
          </cell>
          <cell r="F88">
            <v>0</v>
          </cell>
        </row>
        <row r="89">
          <cell r="B89" t="str">
            <v>GRPASUSPANGALUM25</v>
          </cell>
          <cell r="F89">
            <v>0</v>
          </cell>
        </row>
        <row r="90">
          <cell r="B90" t="str">
            <v>CINTAAUTOFUND</v>
          </cell>
          <cell r="F90">
            <v>0</v>
          </cell>
        </row>
        <row r="93">
          <cell r="B93" t="str">
            <v xml:space="preserve">ARMADO TIPO </v>
          </cell>
          <cell r="F93">
            <v>0</v>
          </cell>
        </row>
        <row r="94">
          <cell r="B94" t="str">
            <v>E'1B</v>
          </cell>
          <cell r="F94" t="str">
            <v>TOT. MAT-1</v>
          </cell>
        </row>
        <row r="95">
          <cell r="B95" t="str">
            <v>ARANDCUADPLAN57X57X5</v>
          </cell>
          <cell r="F95">
            <v>0</v>
          </cell>
        </row>
        <row r="96">
          <cell r="B96" t="str">
            <v>CORREAPLASTNEGRA</v>
          </cell>
          <cell r="F96">
            <v>0</v>
          </cell>
        </row>
        <row r="97">
          <cell r="B97" t="str">
            <v>PERNMAQ13D305TYCT</v>
          </cell>
          <cell r="F97">
            <v>0</v>
          </cell>
        </row>
        <row r="98">
          <cell r="B98" t="str">
            <v>DISTCP080</v>
          </cell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5">
          <cell r="B105" t="str">
            <v xml:space="preserve">ARMADO TIPO </v>
          </cell>
          <cell r="F105">
            <v>0</v>
          </cell>
        </row>
        <row r="106">
          <cell r="B106" t="str">
            <v>E2</v>
          </cell>
          <cell r="F106" t="str">
            <v>TOT. MAT-1</v>
          </cell>
        </row>
        <row r="107">
          <cell r="B107" t="str">
            <v>CONECT25NEUTDESCUÑA</v>
          </cell>
          <cell r="F107">
            <v>0</v>
          </cell>
        </row>
        <row r="108">
          <cell r="B108" t="str">
            <v>CONECT35FASEAISLPERF</v>
          </cell>
          <cell r="F108">
            <v>0</v>
          </cell>
        </row>
        <row r="109">
          <cell r="B109" t="str">
            <v>ARANDCUADPLAN57X57X5</v>
          </cell>
          <cell r="F109">
            <v>0</v>
          </cell>
        </row>
        <row r="110">
          <cell r="B110" t="str">
            <v>CORREAPLASTNEGRA</v>
          </cell>
          <cell r="F110">
            <v>0</v>
          </cell>
        </row>
        <row r="111">
          <cell r="B111" t="str">
            <v>CCOBREN2XY2X10</v>
          </cell>
          <cell r="F111">
            <v>0</v>
          </cell>
        </row>
        <row r="112">
          <cell r="B112" t="str">
            <v>FLEJE19MM</v>
          </cell>
          <cell r="F112">
            <v>0</v>
          </cell>
        </row>
        <row r="113">
          <cell r="B113" t="str">
            <v>PERNMAQ13D203TYCT</v>
          </cell>
          <cell r="F113">
            <v>0</v>
          </cell>
        </row>
        <row r="114">
          <cell r="B114" t="str">
            <v>PORTALIN10</v>
          </cell>
          <cell r="F114">
            <v>0</v>
          </cell>
        </row>
        <row r="115">
          <cell r="B115" t="str">
            <v>CAJADERIVACOM38022005B</v>
          </cell>
          <cell r="F115">
            <v>0</v>
          </cell>
        </row>
        <row r="116">
          <cell r="B116" t="str">
            <v>CAJADERIVACOM44022005B</v>
          </cell>
          <cell r="F116">
            <v>0</v>
          </cell>
        </row>
        <row r="117">
          <cell r="B117" t="str">
            <v>CBIMIS25410N</v>
          </cell>
          <cell r="F117">
            <v>0</v>
          </cell>
        </row>
        <row r="118">
          <cell r="B118" t="str">
            <v>CONECT35FASEAISLPERF</v>
          </cell>
          <cell r="F118">
            <v>0</v>
          </cell>
        </row>
        <row r="119">
          <cell r="B119" t="str">
            <v>TUERCAOJAL16D</v>
          </cell>
          <cell r="F119">
            <v>0</v>
          </cell>
        </row>
        <row r="120">
          <cell r="B120" t="str">
            <v>PERNOJAL16D203TYCT</v>
          </cell>
          <cell r="F120">
            <v>0</v>
          </cell>
        </row>
        <row r="121">
          <cell r="B121" t="str">
            <v>GRPAANCLCONIALUM25</v>
          </cell>
          <cell r="F121">
            <v>0</v>
          </cell>
        </row>
        <row r="122">
          <cell r="B122" t="str">
            <v>CINTAAUTOFUND</v>
          </cell>
          <cell r="F122">
            <v>0</v>
          </cell>
        </row>
        <row r="125">
          <cell r="B125" t="str">
            <v xml:space="preserve">ARMADO TIPO </v>
          </cell>
          <cell r="F125">
            <v>0</v>
          </cell>
        </row>
        <row r="126">
          <cell r="B126" t="str">
            <v>E2/S</v>
          </cell>
          <cell r="F126" t="str">
            <v>TOT. MAT-1</v>
          </cell>
        </row>
        <row r="127">
          <cell r="B127" t="str">
            <v>CONECT25NEUTDESCUÑA</v>
          </cell>
          <cell r="F127">
            <v>0</v>
          </cell>
        </row>
        <row r="128">
          <cell r="B128" t="str">
            <v>CONECT35FASEAISLPERF</v>
          </cell>
          <cell r="F128">
            <v>0</v>
          </cell>
        </row>
        <row r="129">
          <cell r="B129" t="str">
            <v>ARANDCUADPLAN57X57X5</v>
          </cell>
          <cell r="F129">
            <v>0</v>
          </cell>
        </row>
        <row r="130">
          <cell r="B130" t="str">
            <v>CORREAPLASTNEGRA</v>
          </cell>
          <cell r="F130">
            <v>0</v>
          </cell>
        </row>
        <row r="131">
          <cell r="B131" t="str">
            <v>CCOBREN2XY2X10</v>
          </cell>
          <cell r="F131">
            <v>0</v>
          </cell>
        </row>
        <row r="132">
          <cell r="B132" t="str">
            <v>FLEJE19MM</v>
          </cell>
          <cell r="F132">
            <v>0</v>
          </cell>
        </row>
        <row r="133">
          <cell r="B133" t="str">
            <v>PERNMAQ13D203TYCT</v>
          </cell>
          <cell r="F133">
            <v>0</v>
          </cell>
        </row>
        <row r="134">
          <cell r="B134" t="str">
            <v>PORTALIN10</v>
          </cell>
          <cell r="F134">
            <v>0</v>
          </cell>
        </row>
        <row r="135">
          <cell r="B135" t="str">
            <v>CAJADERIVACOM22005B</v>
          </cell>
          <cell r="F135">
            <v>0</v>
          </cell>
        </row>
        <row r="136">
          <cell r="B136" t="str">
            <v>CBIMIS25410N</v>
          </cell>
          <cell r="F136">
            <v>0</v>
          </cell>
        </row>
        <row r="137">
          <cell r="B137" t="str">
            <v>CONECT35FASEAISLPERF</v>
          </cell>
          <cell r="F137">
            <v>0</v>
          </cell>
        </row>
        <row r="138">
          <cell r="B138" t="str">
            <v>TUERCAOJAL16D</v>
          </cell>
          <cell r="F138">
            <v>0</v>
          </cell>
        </row>
        <row r="139">
          <cell r="B139" t="str">
            <v>PERNOJAL16D203TYCT</v>
          </cell>
          <cell r="F139">
            <v>0</v>
          </cell>
        </row>
        <row r="140">
          <cell r="B140" t="str">
            <v>GRPAANCLCONIALUM25</v>
          </cell>
          <cell r="F140">
            <v>0</v>
          </cell>
        </row>
        <row r="141">
          <cell r="B141" t="str">
            <v>CINTAAUTOFUND</v>
          </cell>
          <cell r="F141">
            <v>0</v>
          </cell>
        </row>
        <row r="144">
          <cell r="B144" t="str">
            <v xml:space="preserve">ARMADO TIPO </v>
          </cell>
          <cell r="F144">
            <v>0</v>
          </cell>
        </row>
        <row r="145">
          <cell r="B145" t="str">
            <v>E2B</v>
          </cell>
          <cell r="F145" t="str">
            <v>TOT. MAT-1</v>
          </cell>
        </row>
        <row r="146">
          <cell r="B146" t="str">
            <v>ARANDCUADPLAN57X57X5</v>
          </cell>
          <cell r="F146">
            <v>0</v>
          </cell>
        </row>
        <row r="147">
          <cell r="B147" t="str">
            <v>CORREAPLASTNEGRA</v>
          </cell>
          <cell r="F147">
            <v>0</v>
          </cell>
        </row>
        <row r="148">
          <cell r="B148" t="str">
            <v>PERNMAQ13D203TYCT</v>
          </cell>
          <cell r="F148">
            <v>0</v>
          </cell>
        </row>
        <row r="149">
          <cell r="B149" t="str">
            <v>DISTCP080</v>
          </cell>
          <cell r="F149">
            <v>0</v>
          </cell>
        </row>
        <row r="150">
          <cell r="B150" t="str">
            <v>CONECT25NEUTDESCUÑA</v>
          </cell>
          <cell r="F150">
            <v>0</v>
          </cell>
        </row>
        <row r="151">
          <cell r="B151" t="str">
            <v>CONECT35FASEAISLPERF</v>
          </cell>
          <cell r="F151">
            <v>0</v>
          </cell>
        </row>
        <row r="152">
          <cell r="B152" t="str">
            <v>GRPAANCLCONIALUM25</v>
          </cell>
          <cell r="F152">
            <v>0</v>
          </cell>
        </row>
        <row r="153">
          <cell r="F153">
            <v>0</v>
          </cell>
        </row>
        <row r="156">
          <cell r="B156" t="str">
            <v xml:space="preserve">ARMADO TIPO </v>
          </cell>
          <cell r="F156">
            <v>0</v>
          </cell>
        </row>
        <row r="157">
          <cell r="B157" t="str">
            <v>E'2</v>
          </cell>
          <cell r="F157" t="str">
            <v>TOT. MAT-1</v>
          </cell>
        </row>
        <row r="158">
          <cell r="B158" t="str">
            <v>CONECT25NEUTDESCUÑA</v>
          </cell>
          <cell r="F158">
            <v>0</v>
          </cell>
        </row>
        <row r="159">
          <cell r="B159" t="str">
            <v>CONECT35FASEAISLPERF</v>
          </cell>
          <cell r="F159">
            <v>0</v>
          </cell>
        </row>
        <row r="160">
          <cell r="B160" t="str">
            <v>ARANDCUADPLAN57X57X5</v>
          </cell>
          <cell r="F160">
            <v>0</v>
          </cell>
        </row>
        <row r="161">
          <cell r="B161" t="str">
            <v>CORREAPLASTNEGRA</v>
          </cell>
          <cell r="F161">
            <v>0</v>
          </cell>
        </row>
        <row r="162">
          <cell r="B162" t="str">
            <v>CCOBREN2XY2X10</v>
          </cell>
          <cell r="F162">
            <v>0</v>
          </cell>
        </row>
        <row r="163">
          <cell r="B163" t="str">
            <v>FLEJE19MM</v>
          </cell>
          <cell r="F163">
            <v>0</v>
          </cell>
        </row>
        <row r="164">
          <cell r="B164" t="str">
            <v>PERNMAQ13D305TYCT</v>
          </cell>
          <cell r="F164">
            <v>0</v>
          </cell>
        </row>
        <row r="165">
          <cell r="B165" t="str">
            <v>PORTALIN10</v>
          </cell>
          <cell r="F165">
            <v>0</v>
          </cell>
        </row>
        <row r="166">
          <cell r="B166" t="str">
            <v>CAJADERIVACOM38022005B</v>
          </cell>
          <cell r="F166">
            <v>0</v>
          </cell>
        </row>
        <row r="167">
          <cell r="B167" t="str">
            <v>CAJADERIVACOM44022005B</v>
          </cell>
          <cell r="F167">
            <v>0</v>
          </cell>
        </row>
        <row r="168">
          <cell r="B168" t="str">
            <v>CBIMIS25410N</v>
          </cell>
          <cell r="F168">
            <v>0</v>
          </cell>
        </row>
        <row r="169">
          <cell r="B169" t="str">
            <v>CONECT35FASEAISLPERF</v>
          </cell>
          <cell r="F169">
            <v>0</v>
          </cell>
        </row>
        <row r="170">
          <cell r="B170" t="str">
            <v>TUERCAOJAL16D</v>
          </cell>
          <cell r="F170">
            <v>0</v>
          </cell>
        </row>
        <row r="171">
          <cell r="B171" t="str">
            <v>PERNOJAL16D305TYCT</v>
          </cell>
          <cell r="F171">
            <v>0</v>
          </cell>
        </row>
        <row r="172">
          <cell r="B172" t="str">
            <v>GRPAANCLCONIALUM25</v>
          </cell>
          <cell r="F172">
            <v>0</v>
          </cell>
        </row>
        <row r="173">
          <cell r="B173" t="str">
            <v>CINTAAUTOFUND</v>
          </cell>
          <cell r="F173">
            <v>0</v>
          </cell>
        </row>
        <row r="176">
          <cell r="B176" t="str">
            <v xml:space="preserve">ARMADO TIPO </v>
          </cell>
          <cell r="F176">
            <v>0</v>
          </cell>
        </row>
        <row r="177">
          <cell r="B177" t="str">
            <v>E'2/S</v>
          </cell>
          <cell r="F177" t="str">
            <v>TOT. MAT-1</v>
          </cell>
        </row>
        <row r="178">
          <cell r="B178" t="str">
            <v>CONECT25NEUTDESCUÑA</v>
          </cell>
          <cell r="F178">
            <v>0</v>
          </cell>
        </row>
        <row r="179">
          <cell r="B179" t="str">
            <v>CONECT35FASEAISLPERF</v>
          </cell>
          <cell r="F179">
            <v>0</v>
          </cell>
        </row>
        <row r="180">
          <cell r="B180" t="str">
            <v>ARANDCUADPLAN57X57X5</v>
          </cell>
          <cell r="F180">
            <v>0</v>
          </cell>
        </row>
        <row r="181">
          <cell r="B181" t="str">
            <v>CORREAPLASTNEGRA</v>
          </cell>
          <cell r="F181">
            <v>0</v>
          </cell>
        </row>
        <row r="182">
          <cell r="B182" t="str">
            <v>CCOBREN2XY2X10</v>
          </cell>
          <cell r="F182">
            <v>0</v>
          </cell>
        </row>
        <row r="183">
          <cell r="B183" t="str">
            <v>FLEJE19MM</v>
          </cell>
          <cell r="F183">
            <v>0</v>
          </cell>
        </row>
        <row r="184">
          <cell r="B184" t="str">
            <v>PERNMAQ13D305TYCT</v>
          </cell>
          <cell r="F184">
            <v>0</v>
          </cell>
        </row>
        <row r="185">
          <cell r="B185" t="str">
            <v>PORTALIN10</v>
          </cell>
          <cell r="F185">
            <v>0</v>
          </cell>
        </row>
        <row r="186">
          <cell r="B186" t="str">
            <v>CAJADERIVACOM22005B</v>
          </cell>
          <cell r="F186">
            <v>0</v>
          </cell>
        </row>
        <row r="187">
          <cell r="B187" t="str">
            <v>CBIMIS25410N</v>
          </cell>
          <cell r="F187">
            <v>0</v>
          </cell>
        </row>
        <row r="188">
          <cell r="B188" t="str">
            <v>CONECT35FASEAISLPERF</v>
          </cell>
          <cell r="F188">
            <v>0</v>
          </cell>
        </row>
        <row r="189">
          <cell r="B189" t="str">
            <v>TUERCAOJAL16D</v>
          </cell>
          <cell r="F189">
            <v>0</v>
          </cell>
        </row>
        <row r="190">
          <cell r="B190" t="str">
            <v>PERNOJAL16D305TYCT</v>
          </cell>
          <cell r="F190">
            <v>0</v>
          </cell>
        </row>
        <row r="191">
          <cell r="B191" t="str">
            <v>GRPAANCLCONIALUM25</v>
          </cell>
          <cell r="F191">
            <v>0</v>
          </cell>
        </row>
        <row r="192">
          <cell r="B192" t="str">
            <v>CINTAAUTOFUND</v>
          </cell>
          <cell r="F192">
            <v>0</v>
          </cell>
        </row>
        <row r="195">
          <cell r="B195" t="str">
            <v xml:space="preserve">ARMADO TIPO </v>
          </cell>
          <cell r="F195">
            <v>0</v>
          </cell>
        </row>
        <row r="196">
          <cell r="B196" t="str">
            <v>E'2B</v>
          </cell>
          <cell r="F196" t="str">
            <v>TOT. MAT-1</v>
          </cell>
        </row>
        <row r="197">
          <cell r="B197" t="str">
            <v>ARANDCUADPLAN57X57X5</v>
          </cell>
          <cell r="F197">
            <v>0</v>
          </cell>
        </row>
        <row r="198">
          <cell r="B198" t="str">
            <v>CORREAPLASTNEGRA</v>
          </cell>
          <cell r="F198">
            <v>0</v>
          </cell>
        </row>
        <row r="199">
          <cell r="B199" t="str">
            <v>PERNMAQ13D305TYCT</v>
          </cell>
          <cell r="F199">
            <v>0</v>
          </cell>
        </row>
        <row r="200">
          <cell r="B200" t="str">
            <v>DISTCP080</v>
          </cell>
          <cell r="F200">
            <v>0</v>
          </cell>
        </row>
        <row r="201">
          <cell r="B201" t="str">
            <v>CONECT25NEUTDESCUÑA</v>
          </cell>
          <cell r="F201">
            <v>0</v>
          </cell>
        </row>
        <row r="202">
          <cell r="B202" t="str">
            <v>CONECT35FASEAISLPERF</v>
          </cell>
          <cell r="F202">
            <v>0</v>
          </cell>
        </row>
        <row r="203">
          <cell r="B203" t="str">
            <v>GRPAANCLCONIALUM25</v>
          </cell>
          <cell r="F203">
            <v>0</v>
          </cell>
        </row>
        <row r="204">
          <cell r="F204">
            <v>0</v>
          </cell>
        </row>
        <row r="207">
          <cell r="B207" t="str">
            <v xml:space="preserve">ARMADO TIPO </v>
          </cell>
          <cell r="F207">
            <v>0</v>
          </cell>
        </row>
        <row r="208">
          <cell r="B208" t="str">
            <v>E3</v>
          </cell>
          <cell r="F208" t="str">
            <v>TOT. MAT-1</v>
          </cell>
        </row>
        <row r="209">
          <cell r="B209" t="str">
            <v>CINTAAUTOFUND</v>
          </cell>
          <cell r="F209">
            <v>0</v>
          </cell>
        </row>
        <row r="210">
          <cell r="B210" t="str">
            <v>CCOBREN2XY2X10</v>
          </cell>
          <cell r="F210">
            <v>0</v>
          </cell>
        </row>
        <row r="211">
          <cell r="B211" t="str">
            <v>ARANDCUADPLAN57X57X5</v>
          </cell>
          <cell r="F211">
            <v>0</v>
          </cell>
        </row>
        <row r="212">
          <cell r="B212" t="str">
            <v>CORREAPLASTNEGRA</v>
          </cell>
          <cell r="F212">
            <v>0</v>
          </cell>
        </row>
        <row r="213">
          <cell r="B213" t="str">
            <v>FLEJE19MM</v>
          </cell>
          <cell r="F213">
            <v>0</v>
          </cell>
        </row>
        <row r="214">
          <cell r="B214" t="str">
            <v>PERNMAQ13D203TYCT</v>
          </cell>
          <cell r="F214">
            <v>0</v>
          </cell>
        </row>
        <row r="215">
          <cell r="B215" t="str">
            <v>PORTALIN10</v>
          </cell>
          <cell r="F215">
            <v>0</v>
          </cell>
        </row>
        <row r="216">
          <cell r="B216" t="str">
            <v>CAJADERIVACOM38022005B</v>
          </cell>
          <cell r="F216">
            <v>0</v>
          </cell>
        </row>
        <row r="217">
          <cell r="B217" t="str">
            <v>CAJADERIVACOM44022005B</v>
          </cell>
          <cell r="F217">
            <v>0</v>
          </cell>
        </row>
        <row r="218">
          <cell r="B218" t="str">
            <v>CBIMAIS16410F</v>
          </cell>
          <cell r="F218">
            <v>0</v>
          </cell>
        </row>
        <row r="219">
          <cell r="B219" t="str">
            <v>CBIMIS25410N</v>
          </cell>
          <cell r="F219">
            <v>0</v>
          </cell>
        </row>
        <row r="220">
          <cell r="B220" t="str">
            <v>PERNOJAL16D203TYCT</v>
          </cell>
          <cell r="F220">
            <v>0</v>
          </cell>
        </row>
        <row r="221">
          <cell r="B221" t="str">
            <v>GRPAANCLCONIALUM25</v>
          </cell>
          <cell r="F221">
            <v>0</v>
          </cell>
        </row>
        <row r="222">
          <cell r="B222" t="str">
            <v>CINTAAUTOFUND</v>
          </cell>
          <cell r="F222">
            <v>0</v>
          </cell>
        </row>
        <row r="225">
          <cell r="B225" t="str">
            <v xml:space="preserve">ARMADO TIPO </v>
          </cell>
          <cell r="F225">
            <v>0</v>
          </cell>
        </row>
        <row r="226">
          <cell r="B226" t="str">
            <v>E3/S</v>
          </cell>
          <cell r="F226" t="str">
            <v>TOT. MAT-1</v>
          </cell>
        </row>
        <row r="227">
          <cell r="B227" t="str">
            <v>CINTAAUTOFUND</v>
          </cell>
          <cell r="F227">
            <v>0</v>
          </cell>
        </row>
        <row r="228">
          <cell r="B228" t="str">
            <v>CCOBREN2XY2X10</v>
          </cell>
          <cell r="F228">
            <v>0</v>
          </cell>
        </row>
        <row r="229">
          <cell r="B229" t="str">
            <v>ARANDCUADPLAN57X57X5</v>
          </cell>
          <cell r="F229">
            <v>0</v>
          </cell>
        </row>
        <row r="230">
          <cell r="B230" t="str">
            <v>CORREAPLASTNEGRA</v>
          </cell>
          <cell r="F230">
            <v>0</v>
          </cell>
        </row>
        <row r="231">
          <cell r="B231" t="str">
            <v>FLEJE19MM</v>
          </cell>
          <cell r="F231">
            <v>0</v>
          </cell>
        </row>
        <row r="232">
          <cell r="B232" t="str">
            <v>PERNMAQ13D203TYCT</v>
          </cell>
          <cell r="F232">
            <v>0</v>
          </cell>
        </row>
        <row r="233">
          <cell r="B233" t="str">
            <v>PORTALIN10</v>
          </cell>
          <cell r="F233">
            <v>0</v>
          </cell>
        </row>
        <row r="234">
          <cell r="B234" t="str">
            <v>CAJADERIVACOM44022005B</v>
          </cell>
          <cell r="F234">
            <v>0</v>
          </cell>
        </row>
        <row r="235">
          <cell r="B235" t="str">
            <v>CBIMAIS16410F</v>
          </cell>
          <cell r="F235">
            <v>0</v>
          </cell>
        </row>
        <row r="236">
          <cell r="B236" t="str">
            <v>CBIMIS25410N</v>
          </cell>
          <cell r="F236">
            <v>0</v>
          </cell>
        </row>
        <row r="237">
          <cell r="B237" t="str">
            <v>PERNOJAL16D203TYCT</v>
          </cell>
          <cell r="F237">
            <v>0</v>
          </cell>
        </row>
        <row r="238">
          <cell r="B238" t="str">
            <v>GRPAANCLCONIALUM25</v>
          </cell>
          <cell r="F238">
            <v>0</v>
          </cell>
        </row>
        <row r="239">
          <cell r="B239" t="str">
            <v>CINTAAUTOFUND</v>
          </cell>
          <cell r="F239">
            <v>0</v>
          </cell>
        </row>
        <row r="242">
          <cell r="B242" t="str">
            <v xml:space="preserve">ARMADO TIPO </v>
          </cell>
          <cell r="F242">
            <v>0</v>
          </cell>
        </row>
        <row r="243">
          <cell r="B243" t="str">
            <v>E3B</v>
          </cell>
          <cell r="F243" t="str">
            <v>TOT. MAT-1</v>
          </cell>
        </row>
        <row r="244">
          <cell r="B244" t="str">
            <v>CINTAAUTOFUND</v>
          </cell>
          <cell r="F244">
            <v>0</v>
          </cell>
        </row>
        <row r="245">
          <cell r="B245" t="str">
            <v>CCOBREN2XY2X10</v>
          </cell>
          <cell r="F245">
            <v>0</v>
          </cell>
        </row>
        <row r="246">
          <cell r="B246" t="str">
            <v>ARANDCUADPLAN57X57X5</v>
          </cell>
          <cell r="F246">
            <v>0</v>
          </cell>
        </row>
        <row r="247">
          <cell r="B247" t="str">
            <v>CORREAPLASTNEGRA</v>
          </cell>
          <cell r="F247">
            <v>0</v>
          </cell>
        </row>
        <row r="248">
          <cell r="B248" t="str">
            <v>FLEJE19MM</v>
          </cell>
          <cell r="F248">
            <v>0</v>
          </cell>
        </row>
        <row r="249">
          <cell r="B249" t="str">
            <v>PERNMAQ13D203TYCT</v>
          </cell>
          <cell r="F249">
            <v>0</v>
          </cell>
        </row>
        <row r="250">
          <cell r="B250" t="str">
            <v>PORTALIN10</v>
          </cell>
          <cell r="F250">
            <v>0</v>
          </cell>
        </row>
        <row r="251">
          <cell r="B251" t="str">
            <v>CAJADERIVACOM44022005B</v>
          </cell>
          <cell r="F251">
            <v>0</v>
          </cell>
        </row>
        <row r="252">
          <cell r="B252" t="str">
            <v>CBIMAIS16410F</v>
          </cell>
          <cell r="F252">
            <v>0</v>
          </cell>
        </row>
        <row r="253">
          <cell r="B253" t="str">
            <v>CBIMIS25410N</v>
          </cell>
          <cell r="F253">
            <v>0</v>
          </cell>
        </row>
        <row r="254">
          <cell r="B254" t="str">
            <v>PERNOJAL16D203TYCT</v>
          </cell>
          <cell r="F254">
            <v>0</v>
          </cell>
        </row>
        <row r="255">
          <cell r="B255" t="str">
            <v>GRPAANCLCONIALUM25</v>
          </cell>
          <cell r="F255">
            <v>0</v>
          </cell>
        </row>
        <row r="256">
          <cell r="B256" t="str">
            <v>DISTCP080</v>
          </cell>
          <cell r="F256">
            <v>0</v>
          </cell>
        </row>
        <row r="257">
          <cell r="B257" t="str">
            <v>CINTAAUTOFUND</v>
          </cell>
          <cell r="F257">
            <v>0</v>
          </cell>
        </row>
        <row r="260">
          <cell r="B260" t="str">
            <v xml:space="preserve">ARMADO TIPO </v>
          </cell>
          <cell r="F260">
            <v>0</v>
          </cell>
        </row>
        <row r="261">
          <cell r="B261" t="str">
            <v>E'3</v>
          </cell>
          <cell r="F261" t="str">
            <v>TOT. MAT-1</v>
          </cell>
        </row>
        <row r="262">
          <cell r="B262" t="str">
            <v>CINTAAUTOFUND</v>
          </cell>
          <cell r="F262">
            <v>0</v>
          </cell>
        </row>
        <row r="263">
          <cell r="B263" t="str">
            <v>CCOBREN2XY2X10</v>
          </cell>
          <cell r="F263">
            <v>0</v>
          </cell>
        </row>
        <row r="264">
          <cell r="B264" t="str">
            <v>ARANDCUADPLAN57X57X5</v>
          </cell>
          <cell r="F264">
            <v>0</v>
          </cell>
        </row>
        <row r="265">
          <cell r="B265" t="str">
            <v>CORREAPLASTNEGRA</v>
          </cell>
          <cell r="F265">
            <v>0</v>
          </cell>
        </row>
        <row r="266">
          <cell r="B266" t="str">
            <v>FLEJE19MM</v>
          </cell>
          <cell r="F266">
            <v>0</v>
          </cell>
        </row>
        <row r="267">
          <cell r="B267" t="str">
            <v>PERNMAQ13D305TYCT</v>
          </cell>
          <cell r="F267">
            <v>0</v>
          </cell>
        </row>
        <row r="268">
          <cell r="B268" t="str">
            <v>PORTALIN10</v>
          </cell>
          <cell r="F268">
            <v>0</v>
          </cell>
        </row>
        <row r="269">
          <cell r="B269" t="str">
            <v>CAJADERIVACOM38022005B</v>
          </cell>
          <cell r="F269">
            <v>0</v>
          </cell>
        </row>
        <row r="270">
          <cell r="B270" t="str">
            <v>CAJADERIVACOM44022005B</v>
          </cell>
          <cell r="F270">
            <v>0</v>
          </cell>
        </row>
        <row r="271">
          <cell r="B271" t="str">
            <v>CBIMAIS16410F</v>
          </cell>
          <cell r="F271">
            <v>0</v>
          </cell>
        </row>
        <row r="272">
          <cell r="B272" t="str">
            <v>CBIMIS25410N</v>
          </cell>
          <cell r="F272">
            <v>0</v>
          </cell>
        </row>
        <row r="273">
          <cell r="B273" t="str">
            <v>PERNOJAL16D305TYCT</v>
          </cell>
          <cell r="F273">
            <v>0</v>
          </cell>
        </row>
        <row r="274">
          <cell r="B274" t="str">
            <v>GRPAANCLCONIALUM25</v>
          </cell>
          <cell r="F274">
            <v>0</v>
          </cell>
        </row>
        <row r="275">
          <cell r="B275" t="str">
            <v>CINTAAUTOFUND</v>
          </cell>
          <cell r="F275">
            <v>0</v>
          </cell>
        </row>
        <row r="278">
          <cell r="B278" t="str">
            <v xml:space="preserve">ARMADO TIPO </v>
          </cell>
          <cell r="F278">
            <v>0</v>
          </cell>
        </row>
        <row r="279">
          <cell r="B279" t="str">
            <v>E'3/S</v>
          </cell>
          <cell r="F279" t="str">
            <v>TOT. MAT-1</v>
          </cell>
        </row>
        <row r="280">
          <cell r="B280" t="str">
            <v>CINTAAUTOFUND</v>
          </cell>
          <cell r="F280">
            <v>0</v>
          </cell>
        </row>
        <row r="281">
          <cell r="B281" t="str">
            <v>CCOBREN2XY2X10</v>
          </cell>
          <cell r="F281">
            <v>0</v>
          </cell>
        </row>
        <row r="282">
          <cell r="B282" t="str">
            <v>ARANDCUADPLAN57X57X5</v>
          </cell>
          <cell r="F282">
            <v>0</v>
          </cell>
        </row>
        <row r="283">
          <cell r="B283" t="str">
            <v>CORREAPLASTNEGRA</v>
          </cell>
          <cell r="F283">
            <v>0</v>
          </cell>
        </row>
        <row r="284">
          <cell r="B284" t="str">
            <v>FLEJE19MM</v>
          </cell>
          <cell r="F284">
            <v>0</v>
          </cell>
        </row>
        <row r="285">
          <cell r="B285" t="str">
            <v>PERNMAQ13D305TYCT</v>
          </cell>
          <cell r="F285">
            <v>0</v>
          </cell>
        </row>
        <row r="286">
          <cell r="B286" t="str">
            <v>PORTALIN10</v>
          </cell>
          <cell r="F286">
            <v>0</v>
          </cell>
        </row>
        <row r="287">
          <cell r="B287" t="str">
            <v>CAJADERIVACOM44022005B</v>
          </cell>
          <cell r="F287">
            <v>0</v>
          </cell>
        </row>
        <row r="288">
          <cell r="B288" t="str">
            <v>CBIMAIS16410F</v>
          </cell>
          <cell r="F288">
            <v>0</v>
          </cell>
        </row>
        <row r="289">
          <cell r="B289" t="str">
            <v>CBIMIS25410N</v>
          </cell>
          <cell r="F289">
            <v>0</v>
          </cell>
        </row>
        <row r="290">
          <cell r="B290" t="str">
            <v>PERNOJAL16D305TYCT</v>
          </cell>
          <cell r="F290">
            <v>0</v>
          </cell>
        </row>
        <row r="291">
          <cell r="B291" t="str">
            <v>GRPAANCLCONIALUM25</v>
          </cell>
          <cell r="F291">
            <v>0</v>
          </cell>
        </row>
        <row r="292">
          <cell r="B292" t="str">
            <v>CINTAAUTOFUND</v>
          </cell>
          <cell r="F292">
            <v>0</v>
          </cell>
        </row>
        <row r="295">
          <cell r="B295" t="str">
            <v xml:space="preserve">ARMADO TIPO </v>
          </cell>
          <cell r="F295">
            <v>0</v>
          </cell>
        </row>
        <row r="296">
          <cell r="B296" t="str">
            <v>E'3B</v>
          </cell>
          <cell r="F296" t="str">
            <v>TOT. MAT-1</v>
          </cell>
        </row>
        <row r="297">
          <cell r="B297" t="str">
            <v>CINTAAUTOFUND</v>
          </cell>
          <cell r="F297">
            <v>0</v>
          </cell>
        </row>
        <row r="298">
          <cell r="B298" t="str">
            <v>CCOBREN2XY2X10</v>
          </cell>
          <cell r="F298">
            <v>0</v>
          </cell>
        </row>
        <row r="299">
          <cell r="B299" t="str">
            <v>ARANDCUADPLAN57X57X5</v>
          </cell>
          <cell r="F299">
            <v>0</v>
          </cell>
        </row>
        <row r="300">
          <cell r="B300" t="str">
            <v>CORREAPLASTNEGRA</v>
          </cell>
          <cell r="F300">
            <v>0</v>
          </cell>
        </row>
        <row r="301">
          <cell r="B301" t="str">
            <v>FLEJE19MM</v>
          </cell>
          <cell r="F301">
            <v>0</v>
          </cell>
        </row>
        <row r="302">
          <cell r="B302" t="str">
            <v>PERNMAQ13D305TYCT</v>
          </cell>
          <cell r="F302">
            <v>0</v>
          </cell>
        </row>
        <row r="303">
          <cell r="B303" t="str">
            <v>PORTALIN10</v>
          </cell>
          <cell r="F303">
            <v>0</v>
          </cell>
        </row>
        <row r="304">
          <cell r="B304" t="str">
            <v>CAJADERIVACOM44022005B</v>
          </cell>
          <cell r="F304">
            <v>0</v>
          </cell>
        </row>
        <row r="305">
          <cell r="B305" t="str">
            <v>CBIMAIS16410F</v>
          </cell>
          <cell r="F305">
            <v>0</v>
          </cell>
        </row>
        <row r="306">
          <cell r="B306" t="str">
            <v>CBIMIS25410N</v>
          </cell>
          <cell r="F306">
            <v>0</v>
          </cell>
        </row>
        <row r="307">
          <cell r="B307" t="str">
            <v>PERNOJAL16D305TYCT</v>
          </cell>
          <cell r="F307">
            <v>0</v>
          </cell>
        </row>
        <row r="308">
          <cell r="B308" t="str">
            <v>GRPAANCLCONIALUM25</v>
          </cell>
          <cell r="F308">
            <v>0</v>
          </cell>
        </row>
        <row r="309">
          <cell r="B309" t="str">
            <v>DISTCP080</v>
          </cell>
          <cell r="F309">
            <v>0</v>
          </cell>
        </row>
        <row r="310">
          <cell r="B310" t="str">
            <v>CINTAAUTOFUND</v>
          </cell>
          <cell r="F310">
            <v>0</v>
          </cell>
        </row>
        <row r="313">
          <cell r="B313" t="str">
            <v xml:space="preserve">ARMADO TIPO </v>
          </cell>
          <cell r="F313">
            <v>0</v>
          </cell>
        </row>
        <row r="314">
          <cell r="B314" t="str">
            <v>E4</v>
          </cell>
          <cell r="F314" t="str">
            <v>TOT. MAT-1</v>
          </cell>
        </row>
        <row r="315">
          <cell r="B315" t="str">
            <v>ARANDCUADPLAN57X57X5</v>
          </cell>
          <cell r="F315">
            <v>0</v>
          </cell>
        </row>
        <row r="316">
          <cell r="B316" t="str">
            <v>CORREAPLASTNEGRA</v>
          </cell>
          <cell r="F316">
            <v>0</v>
          </cell>
        </row>
        <row r="317">
          <cell r="B317" t="str">
            <v>CCOBREN2XY2X10</v>
          </cell>
          <cell r="F317">
            <v>0</v>
          </cell>
        </row>
        <row r="318">
          <cell r="B318" t="str">
            <v>FLEJE19MM</v>
          </cell>
          <cell r="F318">
            <v>0</v>
          </cell>
        </row>
        <row r="319">
          <cell r="B319" t="str">
            <v>PERNMAQ13D203TYCT</v>
          </cell>
          <cell r="F319">
            <v>0</v>
          </cell>
        </row>
        <row r="320">
          <cell r="B320" t="str">
            <v>PORTALIN10</v>
          </cell>
          <cell r="F320">
            <v>0</v>
          </cell>
        </row>
        <row r="321">
          <cell r="B321" t="str">
            <v>CAJADERIVACOM38022005B</v>
          </cell>
          <cell r="F321">
            <v>0</v>
          </cell>
        </row>
        <row r="322">
          <cell r="B322" t="str">
            <v>CAJADERIVACOM44022005B</v>
          </cell>
          <cell r="F322">
            <v>0</v>
          </cell>
        </row>
        <row r="323">
          <cell r="B323" t="str">
            <v>CBIMAIS16410F</v>
          </cell>
          <cell r="F323">
            <v>0</v>
          </cell>
        </row>
        <row r="324">
          <cell r="B324" t="str">
            <v>CBIMIS25410N</v>
          </cell>
          <cell r="F324">
            <v>0</v>
          </cell>
        </row>
        <row r="325">
          <cell r="B325" t="str">
            <v>TUERCAOJAL16D</v>
          </cell>
          <cell r="F325">
            <v>0</v>
          </cell>
        </row>
        <row r="326">
          <cell r="B326" t="str">
            <v>PERNOJAL16D203TYCT</v>
          </cell>
          <cell r="F326">
            <v>0</v>
          </cell>
        </row>
        <row r="327">
          <cell r="B327" t="str">
            <v>GRPAANCLCONIALUM25</v>
          </cell>
          <cell r="F327">
            <v>0</v>
          </cell>
        </row>
        <row r="328">
          <cell r="B328" t="str">
            <v>CINTAAUTOFUND</v>
          </cell>
          <cell r="F328">
            <v>0</v>
          </cell>
        </row>
        <row r="331">
          <cell r="B331" t="str">
            <v xml:space="preserve">ARMADO TIPO </v>
          </cell>
          <cell r="F331">
            <v>0</v>
          </cell>
        </row>
        <row r="332">
          <cell r="B332" t="str">
            <v>E4/S</v>
          </cell>
          <cell r="F332" t="str">
            <v>TOT. MAT-1</v>
          </cell>
        </row>
        <row r="333">
          <cell r="B333" t="str">
            <v>ARANDCUADPLAN57X57X5</v>
          </cell>
          <cell r="F333">
            <v>0</v>
          </cell>
        </row>
        <row r="334">
          <cell r="B334" t="str">
            <v>CORREAPLASTNEGRA</v>
          </cell>
          <cell r="F334">
            <v>0</v>
          </cell>
        </row>
        <row r="335">
          <cell r="B335" t="str">
            <v>CCOBREN2XY2X10</v>
          </cell>
          <cell r="F335">
            <v>0</v>
          </cell>
        </row>
        <row r="336">
          <cell r="B336" t="str">
            <v>FLEJE19MM</v>
          </cell>
          <cell r="F336">
            <v>0</v>
          </cell>
        </row>
        <row r="337">
          <cell r="B337" t="str">
            <v>PERNMAQ13D203TYCT</v>
          </cell>
          <cell r="F337">
            <v>0</v>
          </cell>
        </row>
        <row r="338">
          <cell r="B338" t="str">
            <v>PORTALIN10</v>
          </cell>
          <cell r="F338">
            <v>0</v>
          </cell>
        </row>
        <row r="339">
          <cell r="B339" t="str">
            <v>CAJADERIVACOM44022005B</v>
          </cell>
          <cell r="F339">
            <v>0</v>
          </cell>
        </row>
        <row r="340">
          <cell r="B340" t="str">
            <v>CBIMAIS16410F</v>
          </cell>
          <cell r="F340">
            <v>0</v>
          </cell>
        </row>
        <row r="341">
          <cell r="B341" t="str">
            <v>CBIMIS25410N</v>
          </cell>
          <cell r="F341">
            <v>0</v>
          </cell>
        </row>
        <row r="342">
          <cell r="B342" t="str">
            <v>TUERCAOJAL16D</v>
          </cell>
          <cell r="F342">
            <v>0</v>
          </cell>
        </row>
        <row r="343">
          <cell r="B343" t="str">
            <v>PERNOJAL16D203TYCT</v>
          </cell>
          <cell r="F343">
            <v>0</v>
          </cell>
        </row>
        <row r="344">
          <cell r="B344" t="str">
            <v>GRPAANCLCONIALUM25</v>
          </cell>
          <cell r="F344">
            <v>0</v>
          </cell>
        </row>
        <row r="345">
          <cell r="B345" t="str">
            <v>CINTAAUTOFUND</v>
          </cell>
          <cell r="F345">
            <v>0</v>
          </cell>
        </row>
        <row r="348">
          <cell r="B348" t="str">
            <v xml:space="preserve">ARMADO TIPO </v>
          </cell>
          <cell r="F348">
            <v>0</v>
          </cell>
        </row>
        <row r="349">
          <cell r="B349" t="str">
            <v>E4B</v>
          </cell>
          <cell r="F349" t="str">
            <v>TOT. MAT-1</v>
          </cell>
        </row>
        <row r="350">
          <cell r="B350" t="str">
            <v>ARANDCUADPLAN57X57X5</v>
          </cell>
          <cell r="F350">
            <v>0</v>
          </cell>
        </row>
        <row r="351">
          <cell r="B351" t="str">
            <v>CORREAPLASTNEGRA</v>
          </cell>
          <cell r="F351">
            <v>0</v>
          </cell>
        </row>
        <row r="352">
          <cell r="B352" t="str">
            <v>PERNMAQ13D203TYCT</v>
          </cell>
          <cell r="F352">
            <v>0</v>
          </cell>
        </row>
        <row r="353">
          <cell r="B353" t="str">
            <v>DISTCP080</v>
          </cell>
          <cell r="F353">
            <v>0</v>
          </cell>
        </row>
        <row r="354">
          <cell r="B354" t="str">
            <v>PERNOJAL16D203TYCT</v>
          </cell>
          <cell r="F354">
            <v>0</v>
          </cell>
        </row>
        <row r="355">
          <cell r="B355" t="str">
            <v>GRPAANCLCONIALUM25</v>
          </cell>
          <cell r="F355">
            <v>0</v>
          </cell>
        </row>
        <row r="356">
          <cell r="B356" t="str">
            <v>CINTAAUTOFUND</v>
          </cell>
          <cell r="F356">
            <v>0</v>
          </cell>
        </row>
        <row r="357">
          <cell r="B357" t="str">
            <v>CONECT25NEUTDESCUÑA</v>
          </cell>
          <cell r="F357">
            <v>0</v>
          </cell>
        </row>
        <row r="358">
          <cell r="B358" t="str">
            <v>CONECT35FASEAISLPERF</v>
          </cell>
          <cell r="F358">
            <v>0</v>
          </cell>
        </row>
        <row r="359">
          <cell r="F359">
            <v>0</v>
          </cell>
        </row>
        <row r="362">
          <cell r="B362" t="str">
            <v xml:space="preserve">ARMADO TIPO </v>
          </cell>
          <cell r="F362">
            <v>0</v>
          </cell>
        </row>
        <row r="363">
          <cell r="B363" t="str">
            <v>E'4</v>
          </cell>
          <cell r="F363" t="str">
            <v>TOT. MAT-1</v>
          </cell>
        </row>
        <row r="364">
          <cell r="B364" t="str">
            <v>ARANDCUADPLAN57X57X5</v>
          </cell>
          <cell r="F364">
            <v>0</v>
          </cell>
        </row>
        <row r="365">
          <cell r="B365" t="str">
            <v>CORREAPLASTNEGRA</v>
          </cell>
          <cell r="F365">
            <v>0</v>
          </cell>
        </row>
        <row r="366">
          <cell r="B366" t="str">
            <v>CCOBREN2XY2X10</v>
          </cell>
          <cell r="F366">
            <v>0</v>
          </cell>
        </row>
        <row r="367">
          <cell r="B367" t="str">
            <v>FLEJE19MM</v>
          </cell>
          <cell r="F367">
            <v>0</v>
          </cell>
        </row>
        <row r="368">
          <cell r="B368" t="str">
            <v>PERNMAQ13D305TYCT</v>
          </cell>
          <cell r="F368">
            <v>0</v>
          </cell>
        </row>
        <row r="369">
          <cell r="B369" t="str">
            <v>PORTALIN10</v>
          </cell>
          <cell r="F369">
            <v>0</v>
          </cell>
        </row>
        <row r="370">
          <cell r="B370" t="str">
            <v>CAJADERIVACOM38022005B</v>
          </cell>
          <cell r="F370">
            <v>0</v>
          </cell>
        </row>
        <row r="371">
          <cell r="B371" t="str">
            <v>CAJADERIVACOM44022005B</v>
          </cell>
          <cell r="F371">
            <v>0</v>
          </cell>
        </row>
        <row r="372">
          <cell r="B372" t="str">
            <v>CBIMAIS16410F</v>
          </cell>
          <cell r="F372">
            <v>0</v>
          </cell>
        </row>
        <row r="373">
          <cell r="B373" t="str">
            <v>CBIMIS25410N</v>
          </cell>
          <cell r="F373">
            <v>0</v>
          </cell>
        </row>
        <row r="374">
          <cell r="B374" t="str">
            <v>TUERCAOJAL16D</v>
          </cell>
          <cell r="F374">
            <v>0</v>
          </cell>
        </row>
        <row r="375">
          <cell r="B375" t="str">
            <v>PERNOJAL16D305TYCT</v>
          </cell>
          <cell r="F375">
            <v>0</v>
          </cell>
        </row>
        <row r="376">
          <cell r="B376" t="str">
            <v>GRPAANCLCONIALUM25</v>
          </cell>
          <cell r="F376">
            <v>0</v>
          </cell>
        </row>
        <row r="377">
          <cell r="B377" t="str">
            <v>CINTAAUTOFUND</v>
          </cell>
          <cell r="F377">
            <v>0</v>
          </cell>
        </row>
        <row r="380">
          <cell r="B380" t="str">
            <v xml:space="preserve">ARMADO TIPO </v>
          </cell>
          <cell r="F380">
            <v>0</v>
          </cell>
        </row>
        <row r="381">
          <cell r="B381" t="str">
            <v>E'4/S</v>
          </cell>
          <cell r="F381" t="str">
            <v>TOT. MAT-1</v>
          </cell>
        </row>
        <row r="382">
          <cell r="B382" t="str">
            <v>ARANDCUADPLAN57X57X5</v>
          </cell>
          <cell r="F382">
            <v>0</v>
          </cell>
        </row>
        <row r="383">
          <cell r="B383" t="str">
            <v>CORREAPLASTNEGRA</v>
          </cell>
          <cell r="F383">
            <v>0</v>
          </cell>
        </row>
        <row r="384">
          <cell r="B384" t="str">
            <v>CCOBREN2XY2X10</v>
          </cell>
          <cell r="F384">
            <v>0</v>
          </cell>
        </row>
        <row r="385">
          <cell r="B385" t="str">
            <v>FLEJE19MM</v>
          </cell>
          <cell r="F385">
            <v>0</v>
          </cell>
        </row>
        <row r="386">
          <cell r="B386" t="str">
            <v>PERNMAQ13D305TYCT</v>
          </cell>
          <cell r="F386">
            <v>0</v>
          </cell>
        </row>
        <row r="387">
          <cell r="B387" t="str">
            <v>PORTALIN10</v>
          </cell>
          <cell r="F387">
            <v>0</v>
          </cell>
        </row>
        <row r="388">
          <cell r="B388" t="str">
            <v>CAJADERIVACOM44022005B</v>
          </cell>
          <cell r="F388">
            <v>0</v>
          </cell>
        </row>
        <row r="389">
          <cell r="B389" t="str">
            <v>CBIMAIS16410F</v>
          </cell>
          <cell r="F389">
            <v>0</v>
          </cell>
        </row>
        <row r="390">
          <cell r="B390" t="str">
            <v>CBIMIS25410N</v>
          </cell>
          <cell r="F390">
            <v>0</v>
          </cell>
        </row>
        <row r="391">
          <cell r="B391" t="str">
            <v>TUERCAOJAL16D</v>
          </cell>
          <cell r="F391">
            <v>0</v>
          </cell>
        </row>
        <row r="392">
          <cell r="B392" t="str">
            <v>PERNOJAL16D305TYCT</v>
          </cell>
          <cell r="F392">
            <v>0</v>
          </cell>
        </row>
        <row r="393">
          <cell r="B393" t="str">
            <v>GRPAANCLCONIALUM25</v>
          </cell>
          <cell r="F393">
            <v>0</v>
          </cell>
        </row>
        <row r="394">
          <cell r="B394" t="str">
            <v>CINTAAUTOFUND</v>
          </cell>
          <cell r="F394">
            <v>0</v>
          </cell>
        </row>
        <row r="397">
          <cell r="B397" t="str">
            <v xml:space="preserve">ARMADO TIPO </v>
          </cell>
          <cell r="F397">
            <v>0</v>
          </cell>
        </row>
        <row r="398">
          <cell r="B398" t="str">
            <v>E'4B</v>
          </cell>
          <cell r="F398" t="str">
            <v>TOT. MAT-1</v>
          </cell>
        </row>
        <row r="399">
          <cell r="B399" t="str">
            <v>ARANDCUADPLAN57X57X5</v>
          </cell>
          <cell r="F399">
            <v>0</v>
          </cell>
        </row>
        <row r="400">
          <cell r="B400" t="str">
            <v>CORREAPLASTNEGRA</v>
          </cell>
          <cell r="F400">
            <v>0</v>
          </cell>
        </row>
        <row r="401">
          <cell r="B401" t="str">
            <v>PERNMAQ13D305TYCT</v>
          </cell>
          <cell r="F401">
            <v>0</v>
          </cell>
        </row>
        <row r="402">
          <cell r="B402" t="str">
            <v>DISTCP080</v>
          </cell>
          <cell r="F402">
            <v>0</v>
          </cell>
        </row>
        <row r="403">
          <cell r="B403" t="str">
            <v>PERNOJAL16D305TYCT</v>
          </cell>
          <cell r="F403">
            <v>0</v>
          </cell>
        </row>
        <row r="404">
          <cell r="B404" t="str">
            <v>GRPAANCLCONIALUM25</v>
          </cell>
          <cell r="F404">
            <v>0</v>
          </cell>
        </row>
        <row r="405">
          <cell r="B405" t="str">
            <v>CINTAAUTOFUND</v>
          </cell>
          <cell r="F405">
            <v>0</v>
          </cell>
        </row>
        <row r="406">
          <cell r="B406" t="str">
            <v>CONECT25NEUTDESCUÑA</v>
          </cell>
          <cell r="F406">
            <v>0</v>
          </cell>
        </row>
        <row r="407">
          <cell r="B407" t="str">
            <v>CONECT35FASEAISLPERF</v>
          </cell>
          <cell r="F407">
            <v>0</v>
          </cell>
        </row>
        <row r="408">
          <cell r="F408">
            <v>0</v>
          </cell>
        </row>
        <row r="411">
          <cell r="B411" t="str">
            <v xml:space="preserve">ARMADO TIPO </v>
          </cell>
          <cell r="F411">
            <v>0</v>
          </cell>
        </row>
        <row r="412">
          <cell r="B412" t="str">
            <v>E5</v>
          </cell>
          <cell r="F412" t="str">
            <v>TOT. MAT-1</v>
          </cell>
        </row>
        <row r="413">
          <cell r="B413" t="str">
            <v>CONECT25NEUTDESCUÑA</v>
          </cell>
          <cell r="F413">
            <v>0</v>
          </cell>
        </row>
        <row r="414">
          <cell r="B414" t="str">
            <v>CONECT35FASEAISLPERF</v>
          </cell>
          <cell r="F414">
            <v>0</v>
          </cell>
        </row>
        <row r="415">
          <cell r="B415" t="str">
            <v>ARANDCUADPLAN57X57X5</v>
          </cell>
          <cell r="F415">
            <v>0</v>
          </cell>
        </row>
        <row r="416">
          <cell r="B416" t="str">
            <v>CORREAPLASTNEGRA</v>
          </cell>
          <cell r="F416">
            <v>0</v>
          </cell>
        </row>
        <row r="417">
          <cell r="B417" t="str">
            <v>CCOBREN2XY2X10</v>
          </cell>
          <cell r="F417">
            <v>0</v>
          </cell>
        </row>
        <row r="418">
          <cell r="B418" t="str">
            <v>FLEJE19MM</v>
          </cell>
          <cell r="F418">
            <v>0</v>
          </cell>
        </row>
        <row r="419">
          <cell r="B419" t="str">
            <v>CBIMAIS16410F</v>
          </cell>
          <cell r="F419">
            <v>0</v>
          </cell>
        </row>
        <row r="420">
          <cell r="B420" t="str">
            <v>CBIMIS25410N</v>
          </cell>
          <cell r="F420">
            <v>0</v>
          </cell>
        </row>
        <row r="421">
          <cell r="B421" t="str">
            <v>PERNMAQ13D203TYCT</v>
          </cell>
          <cell r="F421">
            <v>0</v>
          </cell>
        </row>
        <row r="422">
          <cell r="B422" t="str">
            <v>PORTALIN10</v>
          </cell>
          <cell r="F422">
            <v>0</v>
          </cell>
        </row>
        <row r="423">
          <cell r="B423" t="str">
            <v>CAJADERIVACOM38022005B</v>
          </cell>
          <cell r="F423">
            <v>0</v>
          </cell>
        </row>
        <row r="424">
          <cell r="B424" t="str">
            <v>CAJADERIVACOM44022005B</v>
          </cell>
          <cell r="F424">
            <v>0</v>
          </cell>
        </row>
        <row r="425">
          <cell r="B425" t="str">
            <v>PERNOJAL16D203TYCT</v>
          </cell>
          <cell r="F425">
            <v>0</v>
          </cell>
        </row>
        <row r="426">
          <cell r="B426" t="str">
            <v>PERNGANCHO16D203</v>
          </cell>
          <cell r="F426">
            <v>0</v>
          </cell>
        </row>
        <row r="427">
          <cell r="B427" t="str">
            <v>GRPAANCLCONIALUM25</v>
          </cell>
          <cell r="F427">
            <v>0</v>
          </cell>
        </row>
        <row r="428">
          <cell r="B428" t="str">
            <v>GRPASUSPANGALUM25</v>
          </cell>
          <cell r="F428">
            <v>0</v>
          </cell>
        </row>
        <row r="429">
          <cell r="B429" t="str">
            <v>CINTAAUTOFUND</v>
          </cell>
          <cell r="F429">
            <v>0</v>
          </cell>
        </row>
        <row r="432">
          <cell r="B432" t="str">
            <v xml:space="preserve">ARMADO TIPO </v>
          </cell>
          <cell r="F432">
            <v>0</v>
          </cell>
        </row>
        <row r="433">
          <cell r="B433" t="str">
            <v>E5/S</v>
          </cell>
          <cell r="F433" t="str">
            <v>TOT. MAT-1</v>
          </cell>
        </row>
        <row r="434">
          <cell r="B434" t="str">
            <v>CONECT25NEUTDESCUÑA</v>
          </cell>
          <cell r="F434">
            <v>0</v>
          </cell>
        </row>
        <row r="435">
          <cell r="B435" t="str">
            <v>CONECT35FASEAISLPERF</v>
          </cell>
          <cell r="F435">
            <v>0</v>
          </cell>
        </row>
        <row r="436">
          <cell r="B436" t="str">
            <v>ARANDCUADPLAN57X57X5</v>
          </cell>
          <cell r="F436">
            <v>0</v>
          </cell>
        </row>
        <row r="437">
          <cell r="B437" t="str">
            <v>CORREAPLASTNEGRA</v>
          </cell>
          <cell r="F437">
            <v>0</v>
          </cell>
        </row>
        <row r="438">
          <cell r="B438" t="str">
            <v>CCOBREN2XY2X10</v>
          </cell>
          <cell r="F438">
            <v>0</v>
          </cell>
        </row>
        <row r="439">
          <cell r="B439" t="str">
            <v>FLEJE19MM</v>
          </cell>
          <cell r="F439">
            <v>0</v>
          </cell>
        </row>
        <row r="440">
          <cell r="B440" t="str">
            <v>CBIMAIS16410F</v>
          </cell>
          <cell r="F440">
            <v>0</v>
          </cell>
        </row>
        <row r="441">
          <cell r="B441" t="str">
            <v>CBIMIS25410N</v>
          </cell>
          <cell r="F441">
            <v>0</v>
          </cell>
        </row>
        <row r="442">
          <cell r="B442" t="str">
            <v>PERNMAQ13D203TYCT</v>
          </cell>
          <cell r="F442">
            <v>0</v>
          </cell>
        </row>
        <row r="443">
          <cell r="B443" t="str">
            <v>PORTALIN10</v>
          </cell>
          <cell r="F443">
            <v>0</v>
          </cell>
        </row>
        <row r="444">
          <cell r="B444" t="str">
            <v>CAJADERIVACOM44022005B</v>
          </cell>
          <cell r="F444">
            <v>0</v>
          </cell>
        </row>
        <row r="445">
          <cell r="B445" t="str">
            <v>PERNOJAL16D203TYCT</v>
          </cell>
          <cell r="F445">
            <v>0</v>
          </cell>
        </row>
        <row r="446">
          <cell r="B446" t="str">
            <v>PERNGANCHO16D203</v>
          </cell>
          <cell r="F446">
            <v>0</v>
          </cell>
        </row>
        <row r="447">
          <cell r="B447" t="str">
            <v>GRPAANCLCONIALUM25</v>
          </cell>
          <cell r="F447">
            <v>0</v>
          </cell>
        </row>
        <row r="448">
          <cell r="B448" t="str">
            <v>GRPASUSPANGALUM25</v>
          </cell>
          <cell r="F448">
            <v>0</v>
          </cell>
        </row>
        <row r="449">
          <cell r="B449" t="str">
            <v>CINTAAUTOFUND</v>
          </cell>
          <cell r="F449">
            <v>0</v>
          </cell>
        </row>
        <row r="452">
          <cell r="B452" t="str">
            <v xml:space="preserve">ARMADO TIPO </v>
          </cell>
          <cell r="F452">
            <v>0</v>
          </cell>
        </row>
        <row r="453">
          <cell r="B453" t="str">
            <v>E5B</v>
          </cell>
          <cell r="F453" t="str">
            <v>TOT. MAT-1</v>
          </cell>
        </row>
        <row r="454">
          <cell r="B454" t="str">
            <v>ARANDCUADPLAN57X57X5</v>
          </cell>
          <cell r="F454">
            <v>0</v>
          </cell>
        </row>
        <row r="455">
          <cell r="B455" t="str">
            <v>CORREAPLASTNEGRA</v>
          </cell>
          <cell r="F455">
            <v>0</v>
          </cell>
        </row>
        <row r="456">
          <cell r="B456" t="str">
            <v>PERNMAQ13D203TYCT</v>
          </cell>
          <cell r="F456">
            <v>0</v>
          </cell>
        </row>
        <row r="457">
          <cell r="B457" t="str">
            <v>DISTCP080</v>
          </cell>
          <cell r="F457">
            <v>0</v>
          </cell>
        </row>
        <row r="458">
          <cell r="B458" t="str">
            <v>PERNOJAL16D203TYCT</v>
          </cell>
          <cell r="F458">
            <v>0</v>
          </cell>
        </row>
        <row r="459">
          <cell r="B459" t="str">
            <v>GRPAANCLCONIALUM25</v>
          </cell>
          <cell r="F459">
            <v>0</v>
          </cell>
        </row>
        <row r="460">
          <cell r="B460" t="str">
            <v>CINTAAUTOFUND</v>
          </cell>
          <cell r="F460">
            <v>0</v>
          </cell>
        </row>
        <row r="461">
          <cell r="B461" t="str">
            <v>CONECT25NEUTDESCUÑA</v>
          </cell>
          <cell r="F461">
            <v>0</v>
          </cell>
        </row>
        <row r="462">
          <cell r="B462" t="str">
            <v>CONECT35FASEAISLPERF</v>
          </cell>
          <cell r="F462">
            <v>0</v>
          </cell>
        </row>
        <row r="463">
          <cell r="F463">
            <v>0</v>
          </cell>
        </row>
        <row r="466">
          <cell r="B466" t="str">
            <v xml:space="preserve">ARMADO TIPO </v>
          </cell>
          <cell r="F466">
            <v>0</v>
          </cell>
        </row>
        <row r="467">
          <cell r="B467" t="str">
            <v>E'5</v>
          </cell>
          <cell r="F467" t="str">
            <v>TOT. MAT-1</v>
          </cell>
        </row>
        <row r="468">
          <cell r="B468" t="str">
            <v>CONECT25NEUTDESCUÑA</v>
          </cell>
          <cell r="F468">
            <v>0</v>
          </cell>
        </row>
        <row r="469">
          <cell r="B469" t="str">
            <v>CONECT35FASEAISLPERF</v>
          </cell>
          <cell r="F469">
            <v>0</v>
          </cell>
        </row>
        <row r="470">
          <cell r="B470" t="str">
            <v>ARANDCUADPLAN57X57X5</v>
          </cell>
          <cell r="F470">
            <v>0</v>
          </cell>
        </row>
        <row r="471">
          <cell r="B471" t="str">
            <v>CORREAPLASTNEGRA</v>
          </cell>
          <cell r="F471">
            <v>0</v>
          </cell>
        </row>
        <row r="472">
          <cell r="B472" t="str">
            <v>CCOBREN2XY2X10</v>
          </cell>
          <cell r="F472">
            <v>0</v>
          </cell>
        </row>
        <row r="473">
          <cell r="B473" t="str">
            <v>FLEJE19MM</v>
          </cell>
          <cell r="F473">
            <v>0</v>
          </cell>
        </row>
        <row r="474">
          <cell r="B474" t="str">
            <v>CBIMAIS16410F</v>
          </cell>
          <cell r="F474">
            <v>0</v>
          </cell>
        </row>
        <row r="475">
          <cell r="B475" t="str">
            <v>CBIMIS25410N</v>
          </cell>
          <cell r="F475">
            <v>0</v>
          </cell>
        </row>
        <row r="476">
          <cell r="B476" t="str">
            <v>PERNMAQ13D305TYCT</v>
          </cell>
          <cell r="F476">
            <v>0</v>
          </cell>
        </row>
        <row r="477">
          <cell r="B477" t="str">
            <v>PORTALIN10</v>
          </cell>
          <cell r="F477">
            <v>0</v>
          </cell>
        </row>
        <row r="478">
          <cell r="B478" t="str">
            <v>CAJADERIVACOM38022005B</v>
          </cell>
          <cell r="F478">
            <v>0</v>
          </cell>
        </row>
        <row r="479">
          <cell r="B479" t="str">
            <v>CAJADERIVACOM44022005B</v>
          </cell>
          <cell r="F479">
            <v>0</v>
          </cell>
        </row>
        <row r="480">
          <cell r="B480" t="str">
            <v>PERNOJAL16D203TYCT</v>
          </cell>
          <cell r="F480">
            <v>0</v>
          </cell>
        </row>
        <row r="481">
          <cell r="B481" t="str">
            <v>PERNGANCHO16D305</v>
          </cell>
          <cell r="F481">
            <v>0</v>
          </cell>
        </row>
        <row r="482">
          <cell r="B482" t="str">
            <v>GRPAANCLCONIALUM25</v>
          </cell>
          <cell r="F482">
            <v>0</v>
          </cell>
        </row>
        <row r="483">
          <cell r="B483" t="str">
            <v>GRPASUSPANGALUM25</v>
          </cell>
          <cell r="F483">
            <v>0</v>
          </cell>
        </row>
        <row r="484">
          <cell r="B484" t="str">
            <v>CINTAAUTOFUND</v>
          </cell>
          <cell r="F484">
            <v>0</v>
          </cell>
        </row>
        <row r="487">
          <cell r="B487" t="str">
            <v xml:space="preserve">ARMADO TIPO </v>
          </cell>
          <cell r="F487">
            <v>0</v>
          </cell>
        </row>
        <row r="488">
          <cell r="B488" t="str">
            <v>E'5/S</v>
          </cell>
          <cell r="F488" t="str">
            <v>TOT. MAT-1</v>
          </cell>
        </row>
        <row r="489">
          <cell r="B489" t="str">
            <v>CONECT25NEUTDESCUÑA</v>
          </cell>
          <cell r="F489">
            <v>0</v>
          </cell>
        </row>
        <row r="490">
          <cell r="B490" t="str">
            <v>CONECT35FASEAISLPERF</v>
          </cell>
          <cell r="F490">
            <v>0</v>
          </cell>
        </row>
        <row r="491">
          <cell r="B491" t="str">
            <v>ARANDCUADPLAN57X57X5</v>
          </cell>
          <cell r="F491">
            <v>0</v>
          </cell>
        </row>
        <row r="492">
          <cell r="B492" t="str">
            <v>CORREAPLASTNEGRA</v>
          </cell>
          <cell r="F492">
            <v>0</v>
          </cell>
        </row>
        <row r="493">
          <cell r="B493" t="str">
            <v>CCOBREN2XY2X10</v>
          </cell>
          <cell r="F493">
            <v>0</v>
          </cell>
        </row>
        <row r="494">
          <cell r="B494" t="str">
            <v>FLEJE19MM</v>
          </cell>
          <cell r="F494">
            <v>0</v>
          </cell>
        </row>
        <row r="495">
          <cell r="B495" t="str">
            <v>CBIMAIS16410F</v>
          </cell>
          <cell r="F495">
            <v>0</v>
          </cell>
        </row>
        <row r="496">
          <cell r="B496" t="str">
            <v>CBIMIS25410N</v>
          </cell>
          <cell r="F496">
            <v>0</v>
          </cell>
        </row>
        <row r="497">
          <cell r="B497" t="str">
            <v>PERNMAQ13D305TYCT</v>
          </cell>
          <cell r="F497">
            <v>0</v>
          </cell>
        </row>
        <row r="498">
          <cell r="B498" t="str">
            <v>PORTALIN10</v>
          </cell>
          <cell r="F498">
            <v>0</v>
          </cell>
        </row>
        <row r="499">
          <cell r="B499" t="str">
            <v>CAJADERIVACOM44022005B</v>
          </cell>
          <cell r="F499">
            <v>0</v>
          </cell>
        </row>
        <row r="500">
          <cell r="B500" t="str">
            <v>PERNOJAL16D203TYCT</v>
          </cell>
          <cell r="F500">
            <v>0</v>
          </cell>
        </row>
        <row r="501">
          <cell r="B501" t="str">
            <v>PERNGANCHO16D305</v>
          </cell>
          <cell r="F501">
            <v>0</v>
          </cell>
        </row>
        <row r="502">
          <cell r="B502" t="str">
            <v>GRPAANCLCONIALUM25</v>
          </cell>
          <cell r="F502">
            <v>0</v>
          </cell>
        </row>
        <row r="503">
          <cell r="B503" t="str">
            <v>GRPASUSPANGALUM25</v>
          </cell>
          <cell r="F503">
            <v>0</v>
          </cell>
        </row>
        <row r="504">
          <cell r="B504" t="str">
            <v>CINTAAUTOFUND</v>
          </cell>
          <cell r="F504">
            <v>0</v>
          </cell>
        </row>
        <row r="507">
          <cell r="B507" t="str">
            <v xml:space="preserve">ARMADO TIPO </v>
          </cell>
          <cell r="F507">
            <v>0</v>
          </cell>
        </row>
        <row r="508">
          <cell r="B508" t="str">
            <v>E'5B</v>
          </cell>
          <cell r="F508" t="str">
            <v>TOT. MAT-1</v>
          </cell>
        </row>
        <row r="509">
          <cell r="B509" t="str">
            <v>ARANDCUADPLAN57X57X5</v>
          </cell>
          <cell r="F509">
            <v>0</v>
          </cell>
        </row>
        <row r="510">
          <cell r="B510" t="str">
            <v>CORREAPLASTNEGRA</v>
          </cell>
          <cell r="F510">
            <v>0</v>
          </cell>
        </row>
        <row r="511">
          <cell r="B511" t="str">
            <v>PERNMAQ13D305TYCT</v>
          </cell>
          <cell r="F511">
            <v>0</v>
          </cell>
        </row>
        <row r="512">
          <cell r="B512" t="str">
            <v>DISTCP080</v>
          </cell>
          <cell r="F512">
            <v>0</v>
          </cell>
        </row>
        <row r="513">
          <cell r="B513" t="str">
            <v>PERNOJAL16D305TYCT</v>
          </cell>
          <cell r="F513">
            <v>0</v>
          </cell>
        </row>
        <row r="514">
          <cell r="B514" t="str">
            <v>GRPAANCLCONIALUM25</v>
          </cell>
          <cell r="F514">
            <v>0</v>
          </cell>
        </row>
        <row r="515">
          <cell r="B515" t="str">
            <v>CINTAAUTOFUND</v>
          </cell>
          <cell r="F515">
            <v>0</v>
          </cell>
        </row>
        <row r="516">
          <cell r="B516" t="str">
            <v>CONECT25NEUTDESCUÑA</v>
          </cell>
          <cell r="F516">
            <v>0</v>
          </cell>
        </row>
        <row r="517">
          <cell r="B517" t="str">
            <v>CONECT35FASEAISLPERF</v>
          </cell>
          <cell r="F517">
            <v>0</v>
          </cell>
        </row>
        <row r="518">
          <cell r="F518">
            <v>0</v>
          </cell>
        </row>
        <row r="521">
          <cell r="B521" t="str">
            <v xml:space="preserve">ARMADO TIPO </v>
          </cell>
          <cell r="F521">
            <v>0</v>
          </cell>
        </row>
        <row r="522">
          <cell r="B522" t="str">
            <v>E6</v>
          </cell>
          <cell r="F522" t="str">
            <v>TOT. MAT.</v>
          </cell>
        </row>
        <row r="523">
          <cell r="B523" t="str">
            <v>CONECT25NEUTDESCUÑA</v>
          </cell>
          <cell r="F523">
            <v>0</v>
          </cell>
        </row>
        <row r="524">
          <cell r="B524" t="str">
            <v>CONECT35FASEAISLPERF</v>
          </cell>
          <cell r="F524">
            <v>0</v>
          </cell>
        </row>
        <row r="525">
          <cell r="B525" t="str">
            <v>ARANDCUADPLAN57X57X5</v>
          </cell>
          <cell r="F525">
            <v>0</v>
          </cell>
        </row>
        <row r="526">
          <cell r="B526" t="str">
            <v>CORREAPLASTNEGRA</v>
          </cell>
          <cell r="F526">
            <v>0</v>
          </cell>
        </row>
        <row r="527">
          <cell r="B527" t="str">
            <v>CCOBREN2XY2X10</v>
          </cell>
          <cell r="F527">
            <v>0</v>
          </cell>
        </row>
        <row r="528">
          <cell r="B528" t="str">
            <v>FLEJE19MM</v>
          </cell>
          <cell r="F528">
            <v>0</v>
          </cell>
        </row>
        <row r="529">
          <cell r="B529" t="str">
            <v>PERNMAQ13D203TYCT</v>
          </cell>
          <cell r="F529">
            <v>0</v>
          </cell>
        </row>
        <row r="530">
          <cell r="B530" t="str">
            <v>PORTALIN10</v>
          </cell>
          <cell r="F530">
            <v>0</v>
          </cell>
        </row>
        <row r="531">
          <cell r="B531" t="str">
            <v>CAJADERIVACOM38022005B</v>
          </cell>
          <cell r="F531">
            <v>0</v>
          </cell>
        </row>
        <row r="532">
          <cell r="B532" t="str">
            <v>CAJADERIVACOM44022005B</v>
          </cell>
          <cell r="F532">
            <v>0</v>
          </cell>
        </row>
        <row r="533">
          <cell r="B533" t="str">
            <v>CBIMAIS16410F</v>
          </cell>
          <cell r="F533">
            <v>0</v>
          </cell>
        </row>
        <row r="534">
          <cell r="B534" t="str">
            <v>CBIMIS25410N</v>
          </cell>
          <cell r="F534">
            <v>0</v>
          </cell>
        </row>
        <row r="535">
          <cell r="B535" t="str">
            <v>TUERCAOJAL16D</v>
          </cell>
          <cell r="F535">
            <v>0</v>
          </cell>
        </row>
        <row r="536">
          <cell r="B536" t="str">
            <v>PERNOJAL16D203TYCT</v>
          </cell>
          <cell r="F536">
            <v>0</v>
          </cell>
        </row>
        <row r="537">
          <cell r="B537" t="str">
            <v>GRPAANCLCONIALUM25</v>
          </cell>
          <cell r="F537">
            <v>0</v>
          </cell>
        </row>
        <row r="538">
          <cell r="B538" t="str">
            <v>CINTAAUTOFUND</v>
          </cell>
          <cell r="F538">
            <v>0</v>
          </cell>
        </row>
        <row r="541">
          <cell r="B541" t="str">
            <v xml:space="preserve">ARMADO TIPO </v>
          </cell>
          <cell r="F541">
            <v>0</v>
          </cell>
        </row>
        <row r="542">
          <cell r="B542" t="str">
            <v>E6/S</v>
          </cell>
          <cell r="F542" t="str">
            <v>TOT. MAT-1</v>
          </cell>
        </row>
        <row r="543">
          <cell r="B543" t="str">
            <v>CONECT25NEUTDESCUÑA</v>
          </cell>
          <cell r="F543">
            <v>0</v>
          </cell>
        </row>
        <row r="544">
          <cell r="B544" t="str">
            <v>CONECT35FASEAISLPERF</v>
          </cell>
          <cell r="F544">
            <v>0</v>
          </cell>
        </row>
        <row r="545">
          <cell r="B545" t="str">
            <v>ARANDCUADPLAN57X57X5</v>
          </cell>
          <cell r="F545">
            <v>0</v>
          </cell>
        </row>
        <row r="546">
          <cell r="B546" t="str">
            <v>CORREAPLASTNEGRA</v>
          </cell>
          <cell r="F546">
            <v>0</v>
          </cell>
        </row>
        <row r="547">
          <cell r="B547" t="str">
            <v>CCOBREN2XY2X10</v>
          </cell>
          <cell r="F547">
            <v>0</v>
          </cell>
        </row>
        <row r="548">
          <cell r="B548" t="str">
            <v>FLEJE19MM</v>
          </cell>
          <cell r="F548">
            <v>0</v>
          </cell>
        </row>
        <row r="549">
          <cell r="B549" t="str">
            <v>PERNMAQ13D203TYCT</v>
          </cell>
          <cell r="F549">
            <v>0</v>
          </cell>
        </row>
        <row r="550">
          <cell r="B550" t="str">
            <v>PORTALIN10</v>
          </cell>
          <cell r="F550">
            <v>0</v>
          </cell>
        </row>
        <row r="551">
          <cell r="B551" t="str">
            <v>CAJADERIVACOM44022005B</v>
          </cell>
          <cell r="F551">
            <v>0</v>
          </cell>
        </row>
        <row r="552">
          <cell r="B552" t="str">
            <v>CBIMAIS16410F</v>
          </cell>
          <cell r="F552">
            <v>0</v>
          </cell>
        </row>
        <row r="553">
          <cell r="B553" t="str">
            <v>CBIMIS25410N</v>
          </cell>
          <cell r="F553">
            <v>0</v>
          </cell>
        </row>
        <row r="554">
          <cell r="B554" t="str">
            <v>TUERCAOJAL16D</v>
          </cell>
          <cell r="F554">
            <v>0</v>
          </cell>
        </row>
        <row r="555">
          <cell r="B555" t="str">
            <v>PERNOJAL16D203TYCT</v>
          </cell>
          <cell r="F555">
            <v>0</v>
          </cell>
        </row>
        <row r="556">
          <cell r="B556" t="str">
            <v>GRPAANCLCONIALUM25</v>
          </cell>
          <cell r="F556">
            <v>0</v>
          </cell>
        </row>
        <row r="557">
          <cell r="B557" t="str">
            <v>CINTAAUTOFUND</v>
          </cell>
          <cell r="F557">
            <v>0</v>
          </cell>
        </row>
        <row r="560">
          <cell r="B560" t="str">
            <v xml:space="preserve">ARMADO TIPO </v>
          </cell>
          <cell r="F560">
            <v>0</v>
          </cell>
        </row>
        <row r="561">
          <cell r="B561" t="str">
            <v>E6B</v>
          </cell>
          <cell r="F561" t="str">
            <v>TOT. MAT-1</v>
          </cell>
        </row>
        <row r="562">
          <cell r="B562" t="str">
            <v>ARANDCUADPLAN57X57X5</v>
          </cell>
          <cell r="F562">
            <v>0</v>
          </cell>
        </row>
        <row r="563">
          <cell r="B563" t="str">
            <v>CORREAPLASTNEGRA</v>
          </cell>
          <cell r="F563">
            <v>0</v>
          </cell>
        </row>
        <row r="564">
          <cell r="B564" t="str">
            <v>PERNMAQ13D203TYCT</v>
          </cell>
          <cell r="F564">
            <v>0</v>
          </cell>
        </row>
        <row r="565">
          <cell r="B565" t="str">
            <v>DISTCP080</v>
          </cell>
          <cell r="F565">
            <v>0</v>
          </cell>
        </row>
        <row r="566">
          <cell r="B566" t="str">
            <v>PERNOJAL16D203TYCT</v>
          </cell>
          <cell r="F566">
            <v>0</v>
          </cell>
        </row>
        <row r="567">
          <cell r="B567" t="str">
            <v>GRPAANCLCONIALUM25</v>
          </cell>
          <cell r="F567">
            <v>0</v>
          </cell>
        </row>
        <row r="568">
          <cell r="B568" t="str">
            <v>CINTAAUTOFUND</v>
          </cell>
          <cell r="F568">
            <v>0</v>
          </cell>
        </row>
        <row r="569">
          <cell r="B569" t="str">
            <v>CONECT25NEUTDESCUÑA</v>
          </cell>
          <cell r="F569">
            <v>0</v>
          </cell>
        </row>
        <row r="570">
          <cell r="B570" t="str">
            <v>CONECT35FASEAISLPERF</v>
          </cell>
          <cell r="F570">
            <v>0</v>
          </cell>
        </row>
        <row r="571">
          <cell r="F571">
            <v>0</v>
          </cell>
        </row>
        <row r="574">
          <cell r="B574" t="str">
            <v xml:space="preserve">ARMADO TIPO </v>
          </cell>
          <cell r="F574">
            <v>0</v>
          </cell>
        </row>
        <row r="575">
          <cell r="B575" t="str">
            <v>E'6</v>
          </cell>
          <cell r="F575" t="str">
            <v>TOT. MAT.</v>
          </cell>
        </row>
        <row r="576">
          <cell r="B576" t="str">
            <v>CONECT25NEUTDESCUÑA</v>
          </cell>
          <cell r="F576">
            <v>0</v>
          </cell>
        </row>
        <row r="577">
          <cell r="B577" t="str">
            <v>CONECT35FASEAISLPERF</v>
          </cell>
          <cell r="F577">
            <v>0</v>
          </cell>
        </row>
        <row r="578">
          <cell r="B578" t="str">
            <v>ARANDCUADPLAN57X57X5</v>
          </cell>
          <cell r="F578">
            <v>0</v>
          </cell>
        </row>
        <row r="579">
          <cell r="B579" t="str">
            <v>CORREAPLASTNEGRA</v>
          </cell>
          <cell r="F579">
            <v>0</v>
          </cell>
        </row>
        <row r="580">
          <cell r="B580" t="str">
            <v>CCOBREN2XY2X10</v>
          </cell>
          <cell r="F580">
            <v>0</v>
          </cell>
        </row>
        <row r="581">
          <cell r="B581" t="str">
            <v>FLEJE19MM</v>
          </cell>
          <cell r="F581">
            <v>0</v>
          </cell>
        </row>
        <row r="582">
          <cell r="B582" t="str">
            <v>PERNMAQ13D305TYCT</v>
          </cell>
          <cell r="F582">
            <v>0</v>
          </cell>
        </row>
        <row r="583">
          <cell r="B583" t="str">
            <v>PORTALIN10</v>
          </cell>
          <cell r="F583">
            <v>0</v>
          </cell>
        </row>
        <row r="584">
          <cell r="B584" t="str">
            <v>CAJADERIVACOM38022005B</v>
          </cell>
          <cell r="F584">
            <v>0</v>
          </cell>
        </row>
        <row r="585">
          <cell r="B585" t="str">
            <v>CAJADERIVACOM44022005B</v>
          </cell>
          <cell r="F585">
            <v>0</v>
          </cell>
        </row>
        <row r="586">
          <cell r="B586" t="str">
            <v>CBIMAIS16410F</v>
          </cell>
          <cell r="F586">
            <v>0</v>
          </cell>
        </row>
        <row r="587">
          <cell r="B587" t="str">
            <v>CBIMIS25410N</v>
          </cell>
          <cell r="F587">
            <v>0</v>
          </cell>
        </row>
        <row r="588">
          <cell r="B588" t="str">
            <v>TUERCAOJAL16D</v>
          </cell>
          <cell r="F588">
            <v>0</v>
          </cell>
        </row>
        <row r="589">
          <cell r="B589" t="str">
            <v>PERNOJAL16D305TYCT</v>
          </cell>
          <cell r="F589">
            <v>0</v>
          </cell>
        </row>
        <row r="590">
          <cell r="B590" t="str">
            <v>GRPAANCLCONIALUM25</v>
          </cell>
          <cell r="F590">
            <v>0</v>
          </cell>
        </row>
        <row r="591">
          <cell r="B591" t="str">
            <v>CINTAAUTOFUND</v>
          </cell>
          <cell r="F591">
            <v>0</v>
          </cell>
        </row>
        <row r="594">
          <cell r="B594" t="str">
            <v xml:space="preserve">ARMADO TIPO </v>
          </cell>
          <cell r="F594">
            <v>0</v>
          </cell>
        </row>
        <row r="595">
          <cell r="B595" t="str">
            <v>E'6/S</v>
          </cell>
          <cell r="F595" t="str">
            <v>TOT. MAT-1</v>
          </cell>
        </row>
        <row r="596">
          <cell r="B596" t="str">
            <v>CONECT25NEUTDESCUÑA</v>
          </cell>
          <cell r="F596">
            <v>0</v>
          </cell>
        </row>
        <row r="597">
          <cell r="B597" t="str">
            <v>CONECT35FASEAISLPERF</v>
          </cell>
          <cell r="F597">
            <v>0</v>
          </cell>
        </row>
        <row r="598">
          <cell r="B598" t="str">
            <v>ARANDCUADPLAN57X57X5</v>
          </cell>
          <cell r="F598">
            <v>0</v>
          </cell>
        </row>
        <row r="599">
          <cell r="B599" t="str">
            <v>CORREAPLASTNEGRA</v>
          </cell>
          <cell r="F599">
            <v>0</v>
          </cell>
        </row>
        <row r="600">
          <cell r="B600" t="str">
            <v>CCOBREN2XY2X10</v>
          </cell>
          <cell r="F600">
            <v>0</v>
          </cell>
        </row>
        <row r="601">
          <cell r="B601" t="str">
            <v>FLEJE19MM</v>
          </cell>
          <cell r="F601">
            <v>0</v>
          </cell>
        </row>
        <row r="602">
          <cell r="B602" t="str">
            <v>PERNMAQ13D305TYCT</v>
          </cell>
          <cell r="F602">
            <v>0</v>
          </cell>
        </row>
        <row r="603">
          <cell r="B603" t="str">
            <v>PORTALIN10</v>
          </cell>
          <cell r="F603">
            <v>0</v>
          </cell>
        </row>
        <row r="604">
          <cell r="B604" t="str">
            <v>CAJADERIVACOM44022005B</v>
          </cell>
          <cell r="F604">
            <v>0</v>
          </cell>
        </row>
        <row r="605">
          <cell r="B605" t="str">
            <v>CBIMAIS16410F</v>
          </cell>
          <cell r="F605">
            <v>0</v>
          </cell>
        </row>
        <row r="606">
          <cell r="B606" t="str">
            <v>CBIMIS25410N</v>
          </cell>
          <cell r="F606">
            <v>0</v>
          </cell>
        </row>
        <row r="607">
          <cell r="B607" t="str">
            <v>TUERCAOJAL16D</v>
          </cell>
          <cell r="F607">
            <v>0</v>
          </cell>
        </row>
        <row r="608">
          <cell r="B608" t="str">
            <v>PERNOJAL16D305TYCT</v>
          </cell>
          <cell r="F608">
            <v>0</v>
          </cell>
        </row>
        <row r="609">
          <cell r="B609" t="str">
            <v>GRPAANCLCONIALUM25</v>
          </cell>
          <cell r="F609">
            <v>0</v>
          </cell>
        </row>
        <row r="610">
          <cell r="B610" t="str">
            <v>CINTAAUTOFUND</v>
          </cell>
          <cell r="F610">
            <v>0</v>
          </cell>
        </row>
        <row r="613">
          <cell r="B613" t="str">
            <v xml:space="preserve">ARMADO TIPO </v>
          </cell>
          <cell r="F613">
            <v>0</v>
          </cell>
        </row>
        <row r="614">
          <cell r="B614" t="str">
            <v>E'6B</v>
          </cell>
          <cell r="F614" t="str">
            <v>TOT. MAT-1</v>
          </cell>
        </row>
        <row r="615">
          <cell r="B615" t="str">
            <v>ARANDCUADPLAN57X57X5</v>
          </cell>
          <cell r="F615">
            <v>0</v>
          </cell>
        </row>
        <row r="616">
          <cell r="B616" t="str">
            <v>CORREAPLASTNEGRA</v>
          </cell>
          <cell r="F616">
            <v>0</v>
          </cell>
        </row>
        <row r="617">
          <cell r="B617" t="str">
            <v>PERNMAQ13D305TYCT</v>
          </cell>
          <cell r="F617">
            <v>0</v>
          </cell>
        </row>
        <row r="618">
          <cell r="B618" t="str">
            <v>DISTCP080</v>
          </cell>
          <cell r="F618">
            <v>0</v>
          </cell>
        </row>
        <row r="619">
          <cell r="B619" t="str">
            <v>PERNOJAL16D305TYCT</v>
          </cell>
          <cell r="F619">
            <v>0</v>
          </cell>
        </row>
        <row r="620">
          <cell r="B620" t="str">
            <v>GRPAANCLCONIALUM25</v>
          </cell>
          <cell r="F620">
            <v>0</v>
          </cell>
        </row>
        <row r="621">
          <cell r="B621" t="str">
            <v>CINTAAUTOFUND</v>
          </cell>
          <cell r="F621">
            <v>0</v>
          </cell>
        </row>
        <row r="622">
          <cell r="B622" t="str">
            <v>CONECT25NEUTDESCUÑA</v>
          </cell>
          <cell r="F622">
            <v>0</v>
          </cell>
        </row>
        <row r="623">
          <cell r="B623" t="str">
            <v>CONECT35FASEAISLPERF</v>
          </cell>
          <cell r="F623">
            <v>0</v>
          </cell>
        </row>
        <row r="624">
          <cell r="F624">
            <v>0</v>
          </cell>
        </row>
        <row r="626">
          <cell r="B626" t="str">
            <v xml:space="preserve">ARMADO TIPO </v>
          </cell>
          <cell r="F626">
            <v>0</v>
          </cell>
        </row>
        <row r="627">
          <cell r="B627" t="str">
            <v>E1</v>
          </cell>
          <cell r="F627" t="str">
            <v>TOT. MAT-1</v>
          </cell>
        </row>
        <row r="628">
          <cell r="B628" t="str">
            <v>ARANDCUADPLAN57X57X5</v>
          </cell>
          <cell r="F628">
            <v>0</v>
          </cell>
        </row>
        <row r="629">
          <cell r="B629" t="str">
            <v>FLEJE19MM</v>
          </cell>
          <cell r="F629">
            <v>0</v>
          </cell>
        </row>
        <row r="630">
          <cell r="B630" t="str">
            <v>CBIMIS25410N</v>
          </cell>
          <cell r="F630">
            <v>0</v>
          </cell>
        </row>
        <row r="631">
          <cell r="B631" t="str">
            <v>CONECT35FASEAISLPERF</v>
          </cell>
          <cell r="F631">
            <v>0</v>
          </cell>
        </row>
        <row r="632">
          <cell r="B632" t="str">
            <v>CCOBREN2XY2X10</v>
          </cell>
          <cell r="F632">
            <v>0</v>
          </cell>
        </row>
        <row r="633">
          <cell r="B633" t="str">
            <v>CORREAPLASTNEGRA</v>
          </cell>
          <cell r="F633">
            <v>0</v>
          </cell>
        </row>
        <row r="634">
          <cell r="B634" t="str">
            <v>PORTALIN10</v>
          </cell>
          <cell r="F634">
            <v>0</v>
          </cell>
        </row>
        <row r="635">
          <cell r="B635" t="str">
            <v>PERNMAQ13D203TYCT</v>
          </cell>
          <cell r="F635">
            <v>0</v>
          </cell>
        </row>
        <row r="636">
          <cell r="B636" t="str">
            <v>CAJADERIVACOM38022005B</v>
          </cell>
          <cell r="F636">
            <v>0</v>
          </cell>
        </row>
        <row r="637">
          <cell r="B637" t="str">
            <v>CAJADERIVACOM44022005B</v>
          </cell>
          <cell r="F637">
            <v>0</v>
          </cell>
        </row>
        <row r="638">
          <cell r="B638" t="str">
            <v>PERNGANCHO16D203</v>
          </cell>
          <cell r="F638">
            <v>0</v>
          </cell>
        </row>
        <row r="639">
          <cell r="B639" t="str">
            <v>GRPASUSPANGALUM25</v>
          </cell>
          <cell r="F639">
            <v>0</v>
          </cell>
        </row>
        <row r="640">
          <cell r="B640" t="str">
            <v>CINTAAUTOFUND</v>
          </cell>
          <cell r="F640">
            <v>0</v>
          </cell>
        </row>
        <row r="642">
          <cell r="B642" t="str">
            <v xml:space="preserve">ARMADO TIPO </v>
          </cell>
          <cell r="F642">
            <v>0</v>
          </cell>
        </row>
        <row r="643">
          <cell r="B643" t="str">
            <v>D1</v>
          </cell>
          <cell r="F643" t="str">
            <v>TOT. MAT-1</v>
          </cell>
        </row>
        <row r="644">
          <cell r="B644" t="str">
            <v>LE-1-305</v>
          </cell>
          <cell r="F644">
            <v>0</v>
          </cell>
        </row>
        <row r="645">
          <cell r="B645" t="str">
            <v>ME-1-103</v>
          </cell>
          <cell r="F645">
            <v>0</v>
          </cell>
        </row>
        <row r="646">
          <cell r="B646" t="str">
            <v>CE-1-211</v>
          </cell>
          <cell r="F646">
            <v>0</v>
          </cell>
        </row>
        <row r="647">
          <cell r="B647" t="str">
            <v>LE-1-430</v>
          </cell>
          <cell r="F647">
            <v>0</v>
          </cell>
        </row>
        <row r="648">
          <cell r="B648" t="str">
            <v>LE-1-501</v>
          </cell>
          <cell r="F648">
            <v>0</v>
          </cell>
        </row>
        <row r="649">
          <cell r="B649" t="str">
            <v>LE-1-650</v>
          </cell>
          <cell r="F649">
            <v>0</v>
          </cell>
        </row>
        <row r="650">
          <cell r="B650" t="str">
            <v>LE-1-502</v>
          </cell>
          <cell r="F650">
            <v>0</v>
          </cell>
        </row>
        <row r="651">
          <cell r="B651" t="str">
            <v>LE-1-405</v>
          </cell>
          <cell r="F651">
            <v>0</v>
          </cell>
        </row>
        <row r="652">
          <cell r="B652" t="str">
            <v>LE-1-118</v>
          </cell>
          <cell r="F652">
            <v>0</v>
          </cell>
        </row>
        <row r="653">
          <cell r="B653" t="str">
            <v xml:space="preserve">LE-1-010   </v>
          </cell>
          <cell r="F653">
            <v>0</v>
          </cell>
        </row>
        <row r="654">
          <cell r="B654" t="str">
            <v>LE-1-645</v>
          </cell>
          <cell r="F654">
            <v>0</v>
          </cell>
        </row>
        <row r="656">
          <cell r="B656" t="str">
            <v xml:space="preserve">ARMADO TIPO </v>
          </cell>
          <cell r="F656">
            <v>0</v>
          </cell>
        </row>
        <row r="657">
          <cell r="B657" t="str">
            <v>D´1</v>
          </cell>
          <cell r="F657" t="str">
            <v>TOT. MAT-1</v>
          </cell>
        </row>
        <row r="658">
          <cell r="B658" t="str">
            <v>LE-1-305</v>
          </cell>
          <cell r="F658">
            <v>0</v>
          </cell>
        </row>
        <row r="659">
          <cell r="B659" t="str">
            <v>ME-1-103</v>
          </cell>
          <cell r="F659">
            <v>0</v>
          </cell>
        </row>
        <row r="660">
          <cell r="B660" t="str">
            <v>CE-1-211</v>
          </cell>
          <cell r="F660">
            <v>0</v>
          </cell>
        </row>
        <row r="661">
          <cell r="B661" t="str">
            <v>LE-1-430</v>
          </cell>
          <cell r="F661">
            <v>0</v>
          </cell>
        </row>
        <row r="662">
          <cell r="B662" t="str">
            <v>LE-1-501</v>
          </cell>
          <cell r="F662">
            <v>0</v>
          </cell>
        </row>
        <row r="663">
          <cell r="B663" t="str">
            <v>LE-1-650</v>
          </cell>
          <cell r="F663">
            <v>0</v>
          </cell>
        </row>
        <row r="664">
          <cell r="B664" t="str">
            <v>LE-1-502</v>
          </cell>
          <cell r="F664">
            <v>0</v>
          </cell>
        </row>
        <row r="665">
          <cell r="B665" t="str">
            <v>LE-1-405</v>
          </cell>
          <cell r="F665">
            <v>0</v>
          </cell>
        </row>
        <row r="666">
          <cell r="B666" t="str">
            <v>LE-1-118</v>
          </cell>
          <cell r="F666">
            <v>0</v>
          </cell>
        </row>
        <row r="667">
          <cell r="B667" t="str">
            <v xml:space="preserve">LE-1-010   </v>
          </cell>
          <cell r="F667">
            <v>0</v>
          </cell>
        </row>
        <row r="668">
          <cell r="B668" t="str">
            <v>LE-1-645</v>
          </cell>
          <cell r="F668">
            <v>0</v>
          </cell>
        </row>
        <row r="671">
          <cell r="B671" t="str">
            <v xml:space="preserve">ARMADO TIPO </v>
          </cell>
          <cell r="F671">
            <v>0</v>
          </cell>
        </row>
        <row r="672">
          <cell r="B672" t="str">
            <v>D3</v>
          </cell>
          <cell r="F672" t="str">
            <v>TOT. MAT-1</v>
          </cell>
        </row>
        <row r="673">
          <cell r="B673" t="str">
            <v>LE-1-305</v>
          </cell>
          <cell r="F673">
            <v>0</v>
          </cell>
        </row>
        <row r="674">
          <cell r="B674" t="str">
            <v>LE-1-180</v>
          </cell>
          <cell r="F674">
            <v>0</v>
          </cell>
        </row>
        <row r="675">
          <cell r="B675" t="str">
            <v>ME-1-103</v>
          </cell>
          <cell r="F675">
            <v>0</v>
          </cell>
        </row>
        <row r="676">
          <cell r="B676" t="str">
            <v>LE-1-410</v>
          </cell>
          <cell r="F676">
            <v>0</v>
          </cell>
        </row>
        <row r="677">
          <cell r="B677" t="str">
            <v>CE-1-211</v>
          </cell>
          <cell r="F677">
            <v>0</v>
          </cell>
        </row>
        <row r="678">
          <cell r="B678" t="str">
            <v>LE-1-430</v>
          </cell>
          <cell r="F678">
            <v>0</v>
          </cell>
        </row>
        <row r="679">
          <cell r="B679" t="str">
            <v>LE-1-501</v>
          </cell>
          <cell r="F679">
            <v>0</v>
          </cell>
        </row>
        <row r="680">
          <cell r="B680" t="str">
            <v>LE-1-655</v>
          </cell>
          <cell r="F680">
            <v>0</v>
          </cell>
        </row>
        <row r="681">
          <cell r="B681" t="str">
            <v>LE-1-502</v>
          </cell>
          <cell r="F681">
            <v>0</v>
          </cell>
        </row>
        <row r="682">
          <cell r="B682" t="str">
            <v>LE-1-405</v>
          </cell>
          <cell r="F682">
            <v>0</v>
          </cell>
        </row>
        <row r="683">
          <cell r="B683" t="str">
            <v>LE-7-622</v>
          </cell>
          <cell r="F683">
            <v>0</v>
          </cell>
        </row>
        <row r="684">
          <cell r="B684" t="str">
            <v>LE-1-617</v>
          </cell>
          <cell r="F684">
            <v>0</v>
          </cell>
        </row>
        <row r="685">
          <cell r="B685" t="str">
            <v>LE-1-118</v>
          </cell>
          <cell r="F685">
            <v>0</v>
          </cell>
        </row>
        <row r="686">
          <cell r="B686" t="str">
            <v xml:space="preserve">LE-1-010   </v>
          </cell>
          <cell r="F686">
            <v>0</v>
          </cell>
        </row>
        <row r="688">
          <cell r="B688" t="str">
            <v xml:space="preserve">ARMADO TIPO </v>
          </cell>
          <cell r="F688">
            <v>0</v>
          </cell>
        </row>
        <row r="689">
          <cell r="B689" t="str">
            <v>D´3</v>
          </cell>
          <cell r="F689" t="str">
            <v>TOT. MAT-1</v>
          </cell>
        </row>
        <row r="690">
          <cell r="B690" t="str">
            <v>LE-1-305</v>
          </cell>
          <cell r="F690">
            <v>0</v>
          </cell>
        </row>
        <row r="691">
          <cell r="B691" t="str">
            <v>LE-1-180</v>
          </cell>
          <cell r="F691">
            <v>0</v>
          </cell>
        </row>
        <row r="692">
          <cell r="B692" t="str">
            <v>ME-1-103</v>
          </cell>
          <cell r="F692">
            <v>0</v>
          </cell>
        </row>
        <row r="693">
          <cell r="B693" t="str">
            <v>LE-1-410</v>
          </cell>
          <cell r="F693">
            <v>0</v>
          </cell>
        </row>
        <row r="694">
          <cell r="B694" t="str">
            <v>CE-1-211</v>
          </cell>
          <cell r="F694">
            <v>0</v>
          </cell>
        </row>
        <row r="695">
          <cell r="B695" t="str">
            <v>LE-1-430</v>
          </cell>
          <cell r="F695">
            <v>0</v>
          </cell>
        </row>
        <row r="696">
          <cell r="B696" t="str">
            <v>LE-1-501</v>
          </cell>
          <cell r="F696">
            <v>0</v>
          </cell>
        </row>
        <row r="697">
          <cell r="B697" t="str">
            <v>LE-1-655</v>
          </cell>
          <cell r="F697">
            <v>0</v>
          </cell>
        </row>
        <row r="698">
          <cell r="B698" t="str">
            <v>LE-1-502</v>
          </cell>
          <cell r="F698">
            <v>0</v>
          </cell>
        </row>
        <row r="699">
          <cell r="B699" t="str">
            <v>LE-1-405</v>
          </cell>
          <cell r="F699">
            <v>0</v>
          </cell>
        </row>
        <row r="700">
          <cell r="B700" t="str">
            <v>LE-7-622</v>
          </cell>
          <cell r="F700">
            <v>0</v>
          </cell>
        </row>
        <row r="701">
          <cell r="B701" t="str">
            <v>LE-1-617MT</v>
          </cell>
          <cell r="F701">
            <v>0</v>
          </cell>
        </row>
        <row r="702">
          <cell r="B702" t="str">
            <v>LE-1-118</v>
          </cell>
          <cell r="F702">
            <v>0</v>
          </cell>
        </row>
        <row r="703">
          <cell r="B703" t="str">
            <v xml:space="preserve">LE-1-010   </v>
          </cell>
          <cell r="F703">
            <v>0</v>
          </cell>
        </row>
        <row r="705">
          <cell r="B705" t="str">
            <v xml:space="preserve">ARMADO TIPO </v>
          </cell>
          <cell r="F705">
            <v>0</v>
          </cell>
        </row>
        <row r="706">
          <cell r="B706" t="str">
            <v>D5</v>
          </cell>
          <cell r="F706" t="str">
            <v>TOT. MAT-1</v>
          </cell>
        </row>
        <row r="707">
          <cell r="B707" t="str">
            <v>LE-1-305</v>
          </cell>
          <cell r="F707">
            <v>0</v>
          </cell>
        </row>
        <row r="708">
          <cell r="B708" t="str">
            <v>LE-1-180</v>
          </cell>
          <cell r="F708">
            <v>0</v>
          </cell>
        </row>
        <row r="709">
          <cell r="B709" t="str">
            <v>ME-1-103</v>
          </cell>
          <cell r="F709">
            <v>0</v>
          </cell>
        </row>
        <row r="710">
          <cell r="B710" t="str">
            <v>LE-1-410</v>
          </cell>
          <cell r="F710">
            <v>0</v>
          </cell>
        </row>
        <row r="711">
          <cell r="B711" t="str">
            <v>CE-1-211</v>
          </cell>
          <cell r="F711">
            <v>0</v>
          </cell>
        </row>
        <row r="712">
          <cell r="B712" t="str">
            <v>LE-1-430</v>
          </cell>
          <cell r="F712">
            <v>0</v>
          </cell>
        </row>
        <row r="713">
          <cell r="B713" t="str">
            <v>LE-1-501</v>
          </cell>
          <cell r="F713">
            <v>0</v>
          </cell>
        </row>
        <row r="714">
          <cell r="B714" t="str">
            <v>LE-1-655</v>
          </cell>
          <cell r="F714">
            <v>0</v>
          </cell>
        </row>
        <row r="715">
          <cell r="B715" t="str">
            <v>LE-1-502</v>
          </cell>
          <cell r="F715">
            <v>0</v>
          </cell>
        </row>
        <row r="716">
          <cell r="B716" t="str">
            <v>LE-1-617</v>
          </cell>
          <cell r="F716">
            <v>0</v>
          </cell>
        </row>
        <row r="717">
          <cell r="B717" t="str">
            <v>LE-1-118</v>
          </cell>
          <cell r="F717">
            <v>0</v>
          </cell>
        </row>
        <row r="718">
          <cell r="B718" t="str">
            <v xml:space="preserve">LE-1-010   </v>
          </cell>
          <cell r="F718">
            <v>0</v>
          </cell>
        </row>
        <row r="720">
          <cell r="B720" t="str">
            <v xml:space="preserve">ARMADO TIPO </v>
          </cell>
          <cell r="F720">
            <v>0</v>
          </cell>
        </row>
        <row r="721">
          <cell r="B721" t="str">
            <v>D´5</v>
          </cell>
          <cell r="F721" t="str">
            <v>TOT. MAT-1</v>
          </cell>
        </row>
        <row r="722">
          <cell r="B722" t="str">
            <v>LE-1-305</v>
          </cell>
          <cell r="F722">
            <v>0</v>
          </cell>
        </row>
        <row r="723">
          <cell r="B723" t="str">
            <v>LE-1-180</v>
          </cell>
          <cell r="F723">
            <v>0</v>
          </cell>
        </row>
        <row r="724">
          <cell r="B724" t="str">
            <v>ME-1-103</v>
          </cell>
          <cell r="F724">
            <v>0</v>
          </cell>
        </row>
        <row r="725">
          <cell r="B725" t="str">
            <v>LE-1-410</v>
          </cell>
          <cell r="F725">
            <v>0</v>
          </cell>
        </row>
        <row r="726">
          <cell r="B726" t="str">
            <v>CE-1-211</v>
          </cell>
          <cell r="F726">
            <v>0</v>
          </cell>
        </row>
        <row r="727">
          <cell r="B727" t="str">
            <v>LE-1-430</v>
          </cell>
          <cell r="F727">
            <v>0</v>
          </cell>
        </row>
        <row r="728">
          <cell r="B728" t="str">
            <v>LE-1-501</v>
          </cell>
          <cell r="F728">
            <v>0</v>
          </cell>
        </row>
        <row r="729">
          <cell r="B729" t="str">
            <v>LE-1-655</v>
          </cell>
          <cell r="F729">
            <v>0</v>
          </cell>
        </row>
        <row r="730">
          <cell r="B730" t="str">
            <v>LE-1-502</v>
          </cell>
          <cell r="F730">
            <v>0</v>
          </cell>
        </row>
        <row r="731">
          <cell r="B731" t="str">
            <v>LE-1-617MT</v>
          </cell>
          <cell r="F731">
            <v>0</v>
          </cell>
        </row>
        <row r="732">
          <cell r="B732" t="str">
            <v>LE-1-118</v>
          </cell>
          <cell r="F732">
            <v>0</v>
          </cell>
        </row>
        <row r="733">
          <cell r="B733" t="str">
            <v xml:space="preserve">LE-1-010   </v>
          </cell>
          <cell r="F733">
            <v>0</v>
          </cell>
        </row>
        <row r="735">
          <cell r="B735" t="str">
            <v xml:space="preserve">ARMADO TIPO </v>
          </cell>
          <cell r="F735">
            <v>0</v>
          </cell>
        </row>
        <row r="736">
          <cell r="B736" t="str">
            <v>D7</v>
          </cell>
          <cell r="F736" t="str">
            <v>TOT. MAT-1</v>
          </cell>
        </row>
        <row r="737">
          <cell r="B737" t="str">
            <v>LE-1-305</v>
          </cell>
          <cell r="F737">
            <v>0</v>
          </cell>
        </row>
        <row r="738">
          <cell r="B738" t="str">
            <v>LE-1-180</v>
          </cell>
          <cell r="F738">
            <v>0</v>
          </cell>
        </row>
        <row r="739">
          <cell r="B739" t="str">
            <v>ME-1-103</v>
          </cell>
          <cell r="F739">
            <v>0</v>
          </cell>
        </row>
        <row r="740">
          <cell r="B740" t="str">
            <v>CE-1-211</v>
          </cell>
          <cell r="F740">
            <v>0</v>
          </cell>
        </row>
        <row r="741">
          <cell r="B741" t="str">
            <v>LE-1-430</v>
          </cell>
          <cell r="F741">
            <v>0</v>
          </cell>
        </row>
        <row r="742">
          <cell r="B742" t="str">
            <v>LE-1-501</v>
          </cell>
          <cell r="F742">
            <v>0</v>
          </cell>
        </row>
        <row r="743">
          <cell r="B743" t="str">
            <v>LE-1-655</v>
          </cell>
          <cell r="F743">
            <v>0</v>
          </cell>
        </row>
        <row r="744">
          <cell r="B744" t="str">
            <v>LE-1-502</v>
          </cell>
          <cell r="F744">
            <v>0</v>
          </cell>
        </row>
        <row r="745">
          <cell r="B745" t="str">
            <v>LE-7-622</v>
          </cell>
          <cell r="F745">
            <v>0</v>
          </cell>
        </row>
        <row r="746">
          <cell r="B746" t="str">
            <v>LE-1-617</v>
          </cell>
          <cell r="F746">
            <v>0</v>
          </cell>
        </row>
        <row r="747">
          <cell r="B747" t="str">
            <v>LE-1-118</v>
          </cell>
          <cell r="F747">
            <v>0</v>
          </cell>
        </row>
        <row r="748">
          <cell r="B748" t="str">
            <v xml:space="preserve">LE-1-010   </v>
          </cell>
          <cell r="F748">
            <v>0</v>
          </cell>
        </row>
        <row r="750">
          <cell r="B750" t="str">
            <v xml:space="preserve">ARMADO TIPO </v>
          </cell>
          <cell r="F750">
            <v>0</v>
          </cell>
        </row>
        <row r="751">
          <cell r="B751" t="str">
            <v>D´7</v>
          </cell>
          <cell r="F751" t="str">
            <v>TOT. MAT-1</v>
          </cell>
        </row>
        <row r="752">
          <cell r="B752" t="str">
            <v>LE-1-305</v>
          </cell>
          <cell r="F752">
            <v>0</v>
          </cell>
        </row>
        <row r="753">
          <cell r="B753" t="str">
            <v>LE-1-180</v>
          </cell>
          <cell r="F753">
            <v>0</v>
          </cell>
        </row>
        <row r="754">
          <cell r="B754" t="str">
            <v>ME-1-103</v>
          </cell>
          <cell r="F754">
            <v>0</v>
          </cell>
        </row>
        <row r="755">
          <cell r="B755" t="str">
            <v>CE-1-211</v>
          </cell>
          <cell r="F755">
            <v>0</v>
          </cell>
        </row>
        <row r="756">
          <cell r="B756" t="str">
            <v>LE-1-430</v>
          </cell>
          <cell r="F756">
            <v>0</v>
          </cell>
        </row>
        <row r="757">
          <cell r="B757" t="str">
            <v>LE-1-501</v>
          </cell>
          <cell r="F757">
            <v>0</v>
          </cell>
        </row>
        <row r="758">
          <cell r="B758" t="str">
            <v>LE-1-655</v>
          </cell>
          <cell r="F758">
            <v>0</v>
          </cell>
        </row>
        <row r="759">
          <cell r="B759" t="str">
            <v>LE-1-502</v>
          </cell>
          <cell r="F759">
            <v>0</v>
          </cell>
        </row>
        <row r="760">
          <cell r="B760" t="str">
            <v>LE-7-622</v>
          </cell>
          <cell r="F760">
            <v>0</v>
          </cell>
        </row>
        <row r="761">
          <cell r="B761" t="str">
            <v>LE-1-617MT</v>
          </cell>
          <cell r="F761">
            <v>0</v>
          </cell>
        </row>
        <row r="762">
          <cell r="B762" t="str">
            <v>LE-1-118</v>
          </cell>
          <cell r="F762">
            <v>0</v>
          </cell>
        </row>
        <row r="763">
          <cell r="B763" t="str">
            <v xml:space="preserve">LE-1-010   </v>
          </cell>
          <cell r="F763">
            <v>0</v>
          </cell>
        </row>
        <row r="765">
          <cell r="B765" t="str">
            <v xml:space="preserve">ARMADO TIPO </v>
          </cell>
          <cell r="F765">
            <v>0</v>
          </cell>
        </row>
        <row r="766">
          <cell r="B766" t="str">
            <v>D8</v>
          </cell>
          <cell r="F766" t="str">
            <v>TOT. MAT-1</v>
          </cell>
        </row>
        <row r="767">
          <cell r="B767" t="str">
            <v>LE-1-305</v>
          </cell>
          <cell r="F767">
            <v>0</v>
          </cell>
        </row>
        <row r="768">
          <cell r="B768" t="str">
            <v>ME-1-103</v>
          </cell>
          <cell r="F768">
            <v>0</v>
          </cell>
        </row>
        <row r="769">
          <cell r="B769" t="str">
            <v>LE-1-410</v>
          </cell>
          <cell r="F769">
            <v>0</v>
          </cell>
        </row>
        <row r="770">
          <cell r="B770" t="str">
            <v>CE-1-211</v>
          </cell>
          <cell r="F770">
            <v>0</v>
          </cell>
        </row>
        <row r="771">
          <cell r="B771" t="str">
            <v>LE-1-430</v>
          </cell>
          <cell r="F771">
            <v>0</v>
          </cell>
        </row>
        <row r="772">
          <cell r="B772" t="str">
            <v>LE-1-501</v>
          </cell>
          <cell r="F772">
            <v>0</v>
          </cell>
        </row>
        <row r="773">
          <cell r="B773" t="str">
            <v>LE-1-655</v>
          </cell>
          <cell r="F773">
            <v>0</v>
          </cell>
        </row>
        <row r="774">
          <cell r="B774" t="str">
            <v>LE-1-650</v>
          </cell>
          <cell r="F774">
            <v>0</v>
          </cell>
        </row>
        <row r="775">
          <cell r="B775" t="str">
            <v>LE-1-502</v>
          </cell>
          <cell r="F775">
            <v>0</v>
          </cell>
        </row>
        <row r="776">
          <cell r="B776" t="str">
            <v>LE-1-118</v>
          </cell>
          <cell r="F776">
            <v>0</v>
          </cell>
        </row>
        <row r="777">
          <cell r="B777" t="str">
            <v xml:space="preserve">LE-1-010   </v>
          </cell>
          <cell r="F777">
            <v>0</v>
          </cell>
        </row>
        <row r="778">
          <cell r="B778" t="str">
            <v>LE-1-645</v>
          </cell>
          <cell r="F778">
            <v>0</v>
          </cell>
        </row>
        <row r="780">
          <cell r="B780" t="str">
            <v xml:space="preserve">ARMADO TIPO </v>
          </cell>
          <cell r="F780">
            <v>0</v>
          </cell>
        </row>
        <row r="781">
          <cell r="B781" t="str">
            <v>D´8</v>
          </cell>
          <cell r="F781" t="str">
            <v>TOT. MAT-1</v>
          </cell>
        </row>
        <row r="782">
          <cell r="B782" t="str">
            <v>LE-1-305</v>
          </cell>
          <cell r="F782">
            <v>0</v>
          </cell>
        </row>
        <row r="783">
          <cell r="B783" t="str">
            <v>ME-1-103</v>
          </cell>
          <cell r="F783">
            <v>0</v>
          </cell>
        </row>
        <row r="784">
          <cell r="B784" t="str">
            <v>LE-1-410</v>
          </cell>
          <cell r="F784">
            <v>0</v>
          </cell>
        </row>
        <row r="785">
          <cell r="B785" t="str">
            <v>CE-1-211</v>
          </cell>
          <cell r="F785">
            <v>0</v>
          </cell>
        </row>
        <row r="786">
          <cell r="B786" t="str">
            <v>LE-1-430</v>
          </cell>
          <cell r="F786">
            <v>0</v>
          </cell>
        </row>
        <row r="787">
          <cell r="B787" t="str">
            <v>LE-1-501</v>
          </cell>
          <cell r="F787">
            <v>0</v>
          </cell>
        </row>
        <row r="788">
          <cell r="B788" t="str">
            <v>LE-1-655</v>
          </cell>
          <cell r="F788">
            <v>0</v>
          </cell>
        </row>
        <row r="789">
          <cell r="B789" t="str">
            <v>LE-1-650</v>
          </cell>
          <cell r="F789">
            <v>0</v>
          </cell>
        </row>
        <row r="790">
          <cell r="B790" t="str">
            <v>LE-1-502</v>
          </cell>
          <cell r="F790">
            <v>0</v>
          </cell>
        </row>
        <row r="791">
          <cell r="B791" t="str">
            <v>LE-1-118</v>
          </cell>
          <cell r="F791">
            <v>0</v>
          </cell>
        </row>
        <row r="792">
          <cell r="B792" t="str">
            <v xml:space="preserve">LE-1-010   </v>
          </cell>
          <cell r="F792">
            <v>0</v>
          </cell>
        </row>
        <row r="793">
          <cell r="B793" t="str">
            <v>LE-1-645</v>
          </cell>
          <cell r="F793">
            <v>0</v>
          </cell>
        </row>
        <row r="795">
          <cell r="B795" t="str">
            <v xml:space="preserve">ARMADO TIPO </v>
          </cell>
          <cell r="F795">
            <v>0</v>
          </cell>
        </row>
        <row r="796">
          <cell r="B796" t="str">
            <v>D9</v>
          </cell>
          <cell r="F796" t="str">
            <v>TOT. MAT.</v>
          </cell>
        </row>
        <row r="797">
          <cell r="B797" t="str">
            <v>LE-1-305</v>
          </cell>
          <cell r="F797">
            <v>0</v>
          </cell>
        </row>
        <row r="798">
          <cell r="B798" t="str">
            <v>LE-1-180</v>
          </cell>
          <cell r="F798">
            <v>0</v>
          </cell>
        </row>
        <row r="799">
          <cell r="B799" t="str">
            <v>ME-1-103</v>
          </cell>
          <cell r="F799">
            <v>0</v>
          </cell>
        </row>
        <row r="800">
          <cell r="B800" t="str">
            <v>LE-1-410</v>
          </cell>
          <cell r="F800">
            <v>0</v>
          </cell>
        </row>
        <row r="801">
          <cell r="B801" t="str">
            <v>CE-1-211</v>
          </cell>
          <cell r="F801">
            <v>0</v>
          </cell>
        </row>
        <row r="802">
          <cell r="B802" t="str">
            <v>LE-1-430</v>
          </cell>
          <cell r="F802">
            <v>0</v>
          </cell>
        </row>
        <row r="803">
          <cell r="B803" t="str">
            <v>LE-1-501</v>
          </cell>
          <cell r="F803">
            <v>0</v>
          </cell>
        </row>
        <row r="804">
          <cell r="B804" t="str">
            <v>LE-1-655</v>
          </cell>
          <cell r="F804">
            <v>0</v>
          </cell>
        </row>
        <row r="805">
          <cell r="B805" t="str">
            <v>LE-1-502</v>
          </cell>
          <cell r="F805">
            <v>0</v>
          </cell>
        </row>
        <row r="806">
          <cell r="B806" t="str">
            <v>LE-7-622</v>
          </cell>
          <cell r="F806">
            <v>0</v>
          </cell>
        </row>
        <row r="807">
          <cell r="B807" t="str">
            <v>LE-1-617</v>
          </cell>
          <cell r="F807">
            <v>0</v>
          </cell>
        </row>
        <row r="808">
          <cell r="B808" t="str">
            <v>LE-1-118</v>
          </cell>
          <cell r="F808">
            <v>0</v>
          </cell>
        </row>
        <row r="809">
          <cell r="B809" t="str">
            <v xml:space="preserve">LE-1-010   </v>
          </cell>
          <cell r="F809">
            <v>0</v>
          </cell>
        </row>
        <row r="811">
          <cell r="B811" t="str">
            <v xml:space="preserve">ARMADO TIPO </v>
          </cell>
          <cell r="F811">
            <v>0</v>
          </cell>
        </row>
        <row r="812">
          <cell r="B812" t="str">
            <v>D´9</v>
          </cell>
          <cell r="F812" t="str">
            <v>TOT. MAT.</v>
          </cell>
        </row>
        <row r="813">
          <cell r="B813" t="str">
            <v>LE-1-305</v>
          </cell>
          <cell r="F813">
            <v>0</v>
          </cell>
        </row>
        <row r="814">
          <cell r="B814" t="str">
            <v>LE-1-180</v>
          </cell>
          <cell r="F814">
            <v>0</v>
          </cell>
        </row>
        <row r="815">
          <cell r="B815" t="str">
            <v>ME-1-103</v>
          </cell>
          <cell r="F815">
            <v>0</v>
          </cell>
        </row>
        <row r="816">
          <cell r="B816" t="str">
            <v>LE-1-410</v>
          </cell>
          <cell r="F816">
            <v>0</v>
          </cell>
        </row>
        <row r="817">
          <cell r="B817" t="str">
            <v>CE-1-211</v>
          </cell>
          <cell r="F817">
            <v>0</v>
          </cell>
        </row>
        <row r="818">
          <cell r="B818" t="str">
            <v>LE-1-430</v>
          </cell>
          <cell r="F818">
            <v>0</v>
          </cell>
        </row>
        <row r="819">
          <cell r="B819" t="str">
            <v>LE-1-501</v>
          </cell>
          <cell r="F819">
            <v>0</v>
          </cell>
        </row>
        <row r="820">
          <cell r="B820" t="str">
            <v>LE-1-655</v>
          </cell>
          <cell r="F820">
            <v>0</v>
          </cell>
        </row>
        <row r="821">
          <cell r="B821" t="str">
            <v>LE-1-502</v>
          </cell>
          <cell r="F821">
            <v>0</v>
          </cell>
        </row>
        <row r="822">
          <cell r="B822" t="str">
            <v>LE-7-622</v>
          </cell>
          <cell r="F822">
            <v>0</v>
          </cell>
        </row>
        <row r="823">
          <cell r="B823" t="str">
            <v>LE-1-617MT</v>
          </cell>
          <cell r="F823">
            <v>0</v>
          </cell>
        </row>
        <row r="824">
          <cell r="B824" t="str">
            <v>LE-1-118</v>
          </cell>
          <cell r="F824">
            <v>0</v>
          </cell>
        </row>
        <row r="825">
          <cell r="B825" t="str">
            <v xml:space="preserve">LE-1-010   </v>
          </cell>
          <cell r="F825">
            <v>0</v>
          </cell>
        </row>
        <row r="827">
          <cell r="B827" t="str">
            <v>PUESTA A TIERRA EN POZO</v>
          </cell>
          <cell r="F827">
            <v>0</v>
          </cell>
        </row>
        <row r="828">
          <cell r="B828" t="str">
            <v>PAT-1</v>
          </cell>
          <cell r="F828" t="str">
            <v>TOT. MAT.</v>
          </cell>
        </row>
        <row r="829">
          <cell r="B829">
            <v>6755922</v>
          </cell>
          <cell r="F829">
            <v>0</v>
          </cell>
        </row>
        <row r="830">
          <cell r="B830" t="str">
            <v>LE-7-560</v>
          </cell>
          <cell r="F830">
            <v>0</v>
          </cell>
        </row>
        <row r="831">
          <cell r="B831" t="str">
            <v>LE-7-555</v>
          </cell>
          <cell r="F831">
            <v>0</v>
          </cell>
        </row>
        <row r="832">
          <cell r="B832" t="str">
            <v>LI-7-610</v>
          </cell>
          <cell r="F832">
            <v>0</v>
          </cell>
        </row>
        <row r="833">
          <cell r="B833" t="str">
            <v>LE-1-215PAT</v>
          </cell>
          <cell r="F833">
            <v>0</v>
          </cell>
        </row>
        <row r="834">
          <cell r="B834">
            <v>6788052</v>
          </cell>
          <cell r="F834">
            <v>0</v>
          </cell>
        </row>
        <row r="835">
          <cell r="B835">
            <v>4517335</v>
          </cell>
          <cell r="F835">
            <v>0</v>
          </cell>
        </row>
        <row r="836">
          <cell r="B836">
            <v>4517495</v>
          </cell>
          <cell r="F836">
            <v>0</v>
          </cell>
        </row>
        <row r="837">
          <cell r="B837">
            <v>4517422</v>
          </cell>
          <cell r="F837">
            <v>0</v>
          </cell>
        </row>
        <row r="839">
          <cell r="B839" t="str">
            <v>PUESTA A TIERRA DIRECTAMENTE ENTERRADO</v>
          </cell>
          <cell r="F839">
            <v>0</v>
          </cell>
        </row>
        <row r="840">
          <cell r="B840" t="str">
            <v>PAT-0</v>
          </cell>
          <cell r="F840" t="str">
            <v>TOT. MAT.</v>
          </cell>
        </row>
        <row r="841">
          <cell r="B841">
            <v>6755922</v>
          </cell>
          <cell r="F841">
            <v>0</v>
          </cell>
        </row>
        <row r="842">
          <cell r="B842" t="str">
            <v>LE-7-560</v>
          </cell>
          <cell r="F842">
            <v>0</v>
          </cell>
        </row>
        <row r="843">
          <cell r="B843" t="str">
            <v>LE-7-555</v>
          </cell>
          <cell r="F843">
            <v>0</v>
          </cell>
        </row>
        <row r="845">
          <cell r="B845" t="str">
            <v>VIENTO SIMPLE</v>
          </cell>
          <cell r="F845">
            <v>0</v>
          </cell>
        </row>
        <row r="846">
          <cell r="B846" t="str">
            <v>RI</v>
          </cell>
          <cell r="F846" t="str">
            <v>TOT. MAT.</v>
          </cell>
        </row>
        <row r="847">
          <cell r="B847" t="str">
            <v xml:space="preserve">LE-1-235  </v>
          </cell>
          <cell r="F847">
            <v>0</v>
          </cell>
        </row>
        <row r="848">
          <cell r="B848" t="str">
            <v>LE-7-518</v>
          </cell>
          <cell r="F848">
            <v>0</v>
          </cell>
        </row>
        <row r="849">
          <cell r="B849" t="str">
            <v>LE-1-215</v>
          </cell>
          <cell r="F849">
            <v>0</v>
          </cell>
        </row>
        <row r="850">
          <cell r="B850" t="str">
            <v>LE-1-225</v>
          </cell>
          <cell r="F850">
            <v>0</v>
          </cell>
        </row>
        <row r="851">
          <cell r="B851" t="str">
            <v>LE-7-512</v>
          </cell>
          <cell r="F851">
            <v>0</v>
          </cell>
        </row>
        <row r="852">
          <cell r="B852" t="str">
            <v>LE-1-223</v>
          </cell>
          <cell r="F852">
            <v>0</v>
          </cell>
        </row>
        <row r="853">
          <cell r="B853" t="str">
            <v>LE-7-510</v>
          </cell>
          <cell r="F853">
            <v>0</v>
          </cell>
        </row>
        <row r="854">
          <cell r="B854" t="str">
            <v>LE-1-220</v>
          </cell>
          <cell r="F854">
            <v>0</v>
          </cell>
        </row>
        <row r="855">
          <cell r="B855" t="str">
            <v>LE-7-508</v>
          </cell>
          <cell r="F855">
            <v>0</v>
          </cell>
        </row>
        <row r="856">
          <cell r="B856" t="str">
            <v>LE-7-530</v>
          </cell>
          <cell r="F856">
            <v>0</v>
          </cell>
        </row>
        <row r="857">
          <cell r="B857" t="str">
            <v>LE-1-227</v>
          </cell>
          <cell r="F857">
            <v>0</v>
          </cell>
        </row>
        <row r="858">
          <cell r="B858" t="str">
            <v>LE-1-230</v>
          </cell>
          <cell r="F858">
            <v>0</v>
          </cell>
        </row>
        <row r="859">
          <cell r="B859" t="str">
            <v>LE-7-520</v>
          </cell>
          <cell r="F859">
            <v>0</v>
          </cell>
        </row>
        <row r="860">
          <cell r="B860" t="str">
            <v>LE-7-514</v>
          </cell>
          <cell r="F860">
            <v>0</v>
          </cell>
        </row>
        <row r="862">
          <cell r="B862" t="str">
            <v>VIENTO VIOLIN</v>
          </cell>
          <cell r="F862">
            <v>0</v>
          </cell>
        </row>
        <row r="863">
          <cell r="B863" t="str">
            <v>RV</v>
          </cell>
          <cell r="F863" t="str">
            <v>TOT. MAT.</v>
          </cell>
        </row>
        <row r="864">
          <cell r="B864" t="str">
            <v xml:space="preserve">LE-1-235  </v>
          </cell>
          <cell r="F864">
            <v>0</v>
          </cell>
        </row>
        <row r="865">
          <cell r="B865" t="str">
            <v>LE-7-518</v>
          </cell>
          <cell r="F865">
            <v>0</v>
          </cell>
        </row>
        <row r="866">
          <cell r="B866" t="str">
            <v>LE-1-215</v>
          </cell>
          <cell r="F866">
            <v>0</v>
          </cell>
        </row>
        <row r="867">
          <cell r="B867" t="str">
            <v>LE-1-225</v>
          </cell>
          <cell r="F867">
            <v>0</v>
          </cell>
        </row>
        <row r="868">
          <cell r="B868" t="str">
            <v>LE-7-512</v>
          </cell>
          <cell r="F868">
            <v>0</v>
          </cell>
        </row>
        <row r="869">
          <cell r="B869" t="str">
            <v>LE-1-223</v>
          </cell>
          <cell r="F869">
            <v>0</v>
          </cell>
        </row>
        <row r="870">
          <cell r="B870" t="str">
            <v>LE-7-510</v>
          </cell>
          <cell r="F870">
            <v>0</v>
          </cell>
        </row>
        <row r="871">
          <cell r="B871" t="str">
            <v>LE-1-220</v>
          </cell>
          <cell r="F871">
            <v>0</v>
          </cell>
        </row>
        <row r="872">
          <cell r="B872" t="str">
            <v>LE-7-508</v>
          </cell>
          <cell r="F872">
            <v>0</v>
          </cell>
        </row>
        <row r="873">
          <cell r="B873" t="str">
            <v>LE-7-530</v>
          </cell>
          <cell r="F873">
            <v>0</v>
          </cell>
        </row>
        <row r="874">
          <cell r="B874" t="str">
            <v>LE-1-227</v>
          </cell>
          <cell r="F874">
            <v>0</v>
          </cell>
        </row>
        <row r="875">
          <cell r="B875" t="str">
            <v>LE-1-240</v>
          </cell>
          <cell r="F875">
            <v>0</v>
          </cell>
        </row>
        <row r="876">
          <cell r="B876" t="str">
            <v>LE-1-230</v>
          </cell>
          <cell r="F876">
            <v>0</v>
          </cell>
        </row>
        <row r="877">
          <cell r="B877" t="str">
            <v>LE-7-520</v>
          </cell>
          <cell r="F877">
            <v>0</v>
          </cell>
        </row>
        <row r="878">
          <cell r="B878" t="str">
            <v>LE-7-514</v>
          </cell>
          <cell r="F878">
            <v>0</v>
          </cell>
        </row>
        <row r="881">
          <cell r="B881" t="str">
            <v>LUMINARIAS EN RS</v>
          </cell>
          <cell r="F881">
            <v>0</v>
          </cell>
        </row>
        <row r="882">
          <cell r="B882" t="str">
            <v>AP</v>
          </cell>
          <cell r="F882" t="str">
            <v>TOT. MAT.</v>
          </cell>
        </row>
        <row r="883">
          <cell r="B883" t="str">
            <v>CBIMIS25410N</v>
          </cell>
          <cell r="F883">
            <v>0</v>
          </cell>
        </row>
        <row r="884">
          <cell r="B884" t="str">
            <v>CCOBREN2XY2X025</v>
          </cell>
          <cell r="F884">
            <v>0</v>
          </cell>
        </row>
        <row r="885">
          <cell r="B885" t="str">
            <v>PFUSIBLE2A</v>
          </cell>
          <cell r="F885">
            <v>0</v>
          </cell>
        </row>
        <row r="886">
          <cell r="B886" t="str">
            <v>CBIMAIS16410F</v>
          </cell>
          <cell r="F886">
            <v>0</v>
          </cell>
        </row>
        <row r="887">
          <cell r="B887" t="str">
            <v>ABRAZPASTOBT</v>
          </cell>
          <cell r="F887">
            <v>0</v>
          </cell>
        </row>
        <row r="888">
          <cell r="B888" t="str">
            <v>PASTAG500SS</v>
          </cell>
          <cell r="F888">
            <v>0</v>
          </cell>
        </row>
        <row r="889">
          <cell r="B889" t="str">
            <v>LUMILAMP150W</v>
          </cell>
          <cell r="F889">
            <v>0</v>
          </cell>
        </row>
        <row r="892">
          <cell r="B892" t="str">
            <v>LUMINARIAS EN RP</v>
          </cell>
          <cell r="F892">
            <v>0</v>
          </cell>
        </row>
        <row r="893">
          <cell r="B893" t="str">
            <v>APMT</v>
          </cell>
          <cell r="F893" t="str">
            <v>TOT. MAT.</v>
          </cell>
        </row>
        <row r="894">
          <cell r="B894" t="str">
            <v>CBIMIS25410N</v>
          </cell>
          <cell r="F894">
            <v>0</v>
          </cell>
        </row>
        <row r="895">
          <cell r="B895" t="str">
            <v>CCOBREN2XY2X025</v>
          </cell>
          <cell r="F895">
            <v>0</v>
          </cell>
        </row>
        <row r="896">
          <cell r="B896" t="str">
            <v>PFUSIBLE2A</v>
          </cell>
          <cell r="F896">
            <v>0</v>
          </cell>
        </row>
        <row r="897">
          <cell r="B897" t="str">
            <v>CBIMAIS16410F</v>
          </cell>
          <cell r="F897">
            <v>0</v>
          </cell>
        </row>
        <row r="898">
          <cell r="B898" t="str">
            <v>ABRAZPASTOMT</v>
          </cell>
          <cell r="F898">
            <v>0</v>
          </cell>
        </row>
        <row r="899">
          <cell r="B899" t="str">
            <v>PASTAG500SS</v>
          </cell>
          <cell r="F899">
            <v>0</v>
          </cell>
        </row>
        <row r="900">
          <cell r="B900" t="str">
            <v>LUMILAMP150W</v>
          </cell>
          <cell r="F900">
            <v>0</v>
          </cell>
        </row>
        <row r="903">
          <cell r="B903" t="str">
            <v>ACOMETIDA CON CRUCE DE CALLE</v>
          </cell>
          <cell r="F903">
            <v>0</v>
          </cell>
        </row>
        <row r="904">
          <cell r="B904" t="str">
            <v>ACOM1</v>
          </cell>
          <cell r="F904" t="str">
            <v>TOT. MAT.</v>
          </cell>
        </row>
        <row r="905">
          <cell r="B905" t="str">
            <v>CBIMIS25410N</v>
          </cell>
          <cell r="F905">
            <v>0</v>
          </cell>
        </row>
        <row r="906">
          <cell r="B906" t="str">
            <v>CBIMAIS16410F</v>
          </cell>
          <cell r="F906">
            <v>0</v>
          </cell>
        </row>
        <row r="907">
          <cell r="B907" t="str">
            <v>MTRIF380220V</v>
          </cell>
          <cell r="F907">
            <v>0</v>
          </cell>
        </row>
        <row r="908">
          <cell r="B908" t="str">
            <v>MMONOF220V</v>
          </cell>
          <cell r="F908">
            <v>0</v>
          </cell>
        </row>
        <row r="909">
          <cell r="B909" t="str">
            <v>PORTAMEDID</v>
          </cell>
          <cell r="F909">
            <v>0</v>
          </cell>
        </row>
        <row r="910">
          <cell r="B910" t="str">
            <v>CURVAPVC</v>
          </cell>
          <cell r="F910">
            <v>0</v>
          </cell>
        </row>
        <row r="911">
          <cell r="B911" t="str">
            <v>TARUGO13MM</v>
          </cell>
          <cell r="F911">
            <v>0</v>
          </cell>
        </row>
        <row r="912">
          <cell r="B912" t="str">
            <v>ARMELLA10MM</v>
          </cell>
          <cell r="F912">
            <v>0</v>
          </cell>
        </row>
        <row r="913">
          <cell r="B913" t="str">
            <v>TEMPLADOR</v>
          </cell>
          <cell r="F913">
            <v>0</v>
          </cell>
        </row>
        <row r="914">
          <cell r="B914" t="str">
            <v>PVC19MM</v>
          </cell>
          <cell r="F914">
            <v>0</v>
          </cell>
        </row>
        <row r="915">
          <cell r="B915" t="str">
            <v>CONCETRIC2X4</v>
          </cell>
          <cell r="F915">
            <v>0</v>
          </cell>
        </row>
        <row r="918">
          <cell r="B918" t="str">
            <v>ACOMETIDA SIN CRUCE DE CALLE</v>
          </cell>
          <cell r="F918">
            <v>0</v>
          </cell>
        </row>
        <row r="919">
          <cell r="B919" t="str">
            <v>ACOM2</v>
          </cell>
          <cell r="F919" t="str">
            <v>TOT. MAT.</v>
          </cell>
        </row>
        <row r="920">
          <cell r="B920" t="str">
            <v>CBIMIS25410N</v>
          </cell>
          <cell r="F920">
            <v>0</v>
          </cell>
        </row>
        <row r="921">
          <cell r="B921" t="str">
            <v>CBIMAIS16410F</v>
          </cell>
          <cell r="F921">
            <v>0</v>
          </cell>
        </row>
        <row r="922">
          <cell r="B922" t="str">
            <v>ALAMB12AWG</v>
          </cell>
          <cell r="F922">
            <v>0</v>
          </cell>
        </row>
        <row r="923">
          <cell r="B923" t="str">
            <v>MTRIF380220V</v>
          </cell>
          <cell r="F923">
            <v>0</v>
          </cell>
        </row>
        <row r="924">
          <cell r="B924" t="str">
            <v>MMONOF220V</v>
          </cell>
          <cell r="F924">
            <v>0</v>
          </cell>
        </row>
        <row r="925">
          <cell r="B925" t="str">
            <v>PORTAMEDID</v>
          </cell>
          <cell r="F925">
            <v>0</v>
          </cell>
        </row>
        <row r="926">
          <cell r="B926" t="str">
            <v>TEMPLADOR</v>
          </cell>
          <cell r="F926">
            <v>0</v>
          </cell>
        </row>
        <row r="927">
          <cell r="B927" t="str">
            <v>PVC19MM</v>
          </cell>
          <cell r="F927">
            <v>0</v>
          </cell>
        </row>
        <row r="928">
          <cell r="B928" t="str">
            <v>CONCETRIC2X4</v>
          </cell>
          <cell r="F928">
            <v>0</v>
          </cell>
        </row>
        <row r="931">
          <cell r="F931">
            <v>0</v>
          </cell>
        </row>
        <row r="932">
          <cell r="B932" t="str">
            <v>CAJAACOM05</v>
          </cell>
          <cell r="F932" t="str">
            <v>TOT. MAT.</v>
          </cell>
        </row>
        <row r="933">
          <cell r="B933" t="str">
            <v>CAJADERIVACOM44022005B</v>
          </cell>
          <cell r="F933">
            <v>0</v>
          </cell>
        </row>
        <row r="934">
          <cell r="B934" t="str">
            <v>FLEJE19MM</v>
          </cell>
          <cell r="F934">
            <v>0</v>
          </cell>
        </row>
        <row r="935">
          <cell r="B935" t="str">
            <v>PORTALIN10</v>
          </cell>
          <cell r="F935">
            <v>0</v>
          </cell>
        </row>
        <row r="936">
          <cell r="B936" t="str">
            <v>CBIMIS25410N</v>
          </cell>
          <cell r="F936">
            <v>0</v>
          </cell>
        </row>
        <row r="937">
          <cell r="B937" t="str">
            <v>CBIMAIS16410F</v>
          </cell>
          <cell r="F937">
            <v>0</v>
          </cell>
        </row>
        <row r="938">
          <cell r="B938" t="str">
            <v>CCOBREN2XY2X10</v>
          </cell>
          <cell r="F938">
            <v>0</v>
          </cell>
        </row>
        <row r="939">
          <cell r="B939" t="str">
            <v>CINTAAUTOFUND</v>
          </cell>
          <cell r="F939">
            <v>0</v>
          </cell>
        </row>
        <row r="941">
          <cell r="B941" t="str">
            <v>POSTE 9-200</v>
          </cell>
          <cell r="F941">
            <v>0</v>
          </cell>
        </row>
        <row r="942">
          <cell r="B942" t="str">
            <v>PC-9200</v>
          </cell>
          <cell r="F942" t="str">
            <v>TOT. MAT.</v>
          </cell>
        </row>
        <row r="943">
          <cell r="B943" t="str">
            <v>PC9200</v>
          </cell>
          <cell r="F943">
            <v>0</v>
          </cell>
        </row>
        <row r="944">
          <cell r="B944" t="str">
            <v>PERILLA</v>
          </cell>
          <cell r="F944">
            <v>0</v>
          </cell>
        </row>
        <row r="946">
          <cell r="B946" t="str">
            <v>POSTE 9-300</v>
          </cell>
          <cell r="F946">
            <v>0</v>
          </cell>
        </row>
        <row r="947">
          <cell r="B947" t="str">
            <v>PC-9300</v>
          </cell>
          <cell r="F947" t="str">
            <v>TOT. MAT.</v>
          </cell>
        </row>
        <row r="948">
          <cell r="B948" t="str">
            <v>PC9300</v>
          </cell>
          <cell r="F948">
            <v>0</v>
          </cell>
        </row>
        <row r="949">
          <cell r="B949" t="str">
            <v>PERILLA</v>
          </cell>
          <cell r="F949">
            <v>0</v>
          </cell>
        </row>
        <row r="951">
          <cell r="B951" t="str">
            <v>POSTE 8-200</v>
          </cell>
          <cell r="F951">
            <v>0</v>
          </cell>
        </row>
        <row r="952">
          <cell r="B952" t="str">
            <v>PC-8200</v>
          </cell>
          <cell r="F952" t="str">
            <v>TOT. MAT.</v>
          </cell>
        </row>
        <row r="953">
          <cell r="B953" t="str">
            <v>PC8200</v>
          </cell>
          <cell r="F953">
            <v>0</v>
          </cell>
        </row>
        <row r="954">
          <cell r="B954" t="str">
            <v>PERILLA</v>
          </cell>
          <cell r="F954">
            <v>0</v>
          </cell>
        </row>
        <row r="956">
          <cell r="B956" t="str">
            <v>POSTE 8-300</v>
          </cell>
          <cell r="F956">
            <v>0</v>
          </cell>
        </row>
        <row r="957">
          <cell r="B957" t="str">
            <v>PC-8300</v>
          </cell>
          <cell r="F957" t="str">
            <v>TOT. MAT.</v>
          </cell>
        </row>
        <row r="958">
          <cell r="B958" t="str">
            <v>PC8300</v>
          </cell>
          <cell r="F958">
            <v>0</v>
          </cell>
        </row>
        <row r="959">
          <cell r="B959" t="str">
            <v>PERILLA</v>
          </cell>
          <cell r="F959">
            <v>0</v>
          </cell>
        </row>
        <row r="961">
          <cell r="B961" t="str">
            <v>POSTE 7-200</v>
          </cell>
          <cell r="F961">
            <v>0</v>
          </cell>
        </row>
        <row r="962">
          <cell r="B962" t="str">
            <v>PC-7200</v>
          </cell>
          <cell r="F962" t="str">
            <v>TOT. MAT.</v>
          </cell>
        </row>
        <row r="963">
          <cell r="B963" t="str">
            <v>PC7200</v>
          </cell>
          <cell r="F963">
            <v>0</v>
          </cell>
        </row>
        <row r="964">
          <cell r="B964" t="str">
            <v>PERILLA</v>
          </cell>
          <cell r="F964">
            <v>0</v>
          </cell>
        </row>
        <row r="966">
          <cell r="B966" t="str">
            <v>POSTE 7-300</v>
          </cell>
          <cell r="F966">
            <v>0</v>
          </cell>
        </row>
        <row r="967">
          <cell r="B967" t="str">
            <v>PC-7300</v>
          </cell>
          <cell r="F967" t="str">
            <v>TOT. MAT.</v>
          </cell>
        </row>
        <row r="968">
          <cell r="B968" t="str">
            <v>PC7300</v>
          </cell>
          <cell r="F968">
            <v>0</v>
          </cell>
        </row>
        <row r="969">
          <cell r="B969" t="str">
            <v>PERILLA</v>
          </cell>
          <cell r="F969">
            <v>0</v>
          </cell>
        </row>
        <row r="971">
          <cell r="B971" t="str">
            <v>CONDUCTOR AUTOPORTANTE</v>
          </cell>
          <cell r="F971">
            <v>0</v>
          </cell>
        </row>
        <row r="972">
          <cell r="B972" t="str">
            <v>3x35+16/25</v>
          </cell>
          <cell r="F972" t="str">
            <v>TOT. MAT.</v>
          </cell>
        </row>
        <row r="973">
          <cell r="B973" t="str">
            <v>CONAUTALUM33516PD25</v>
          </cell>
          <cell r="F973">
            <v>0</v>
          </cell>
        </row>
        <row r="975">
          <cell r="B975" t="str">
            <v>CONDUCTOR AUTOPORTANTE</v>
          </cell>
          <cell r="F975">
            <v>0</v>
          </cell>
        </row>
        <row r="976">
          <cell r="B976" t="str">
            <v>3x25+16/25</v>
          </cell>
          <cell r="F976" t="str">
            <v>TOT. MAT.</v>
          </cell>
        </row>
        <row r="977">
          <cell r="B977" t="str">
            <v>CONAUTALUM32516PD25</v>
          </cell>
          <cell r="F977">
            <v>0</v>
          </cell>
        </row>
        <row r="979">
          <cell r="B979" t="str">
            <v>CONDUCTOR AUTOPORTANTE</v>
          </cell>
          <cell r="F979">
            <v>0</v>
          </cell>
        </row>
        <row r="980">
          <cell r="B980" t="str">
            <v>3x16+16/25</v>
          </cell>
          <cell r="F980" t="str">
            <v>TOT. MAT.</v>
          </cell>
        </row>
        <row r="981">
          <cell r="B981" t="str">
            <v>CONAUTALUM31616PD25</v>
          </cell>
          <cell r="F981">
            <v>0</v>
          </cell>
        </row>
        <row r="983">
          <cell r="B983" t="str">
            <v>CONDUCTOR AUTOPORTANTE</v>
          </cell>
          <cell r="F983">
            <v>0</v>
          </cell>
        </row>
        <row r="984">
          <cell r="B984" t="str">
            <v>3x35/25</v>
          </cell>
          <cell r="F984" t="str">
            <v>TOT. MAT.</v>
          </cell>
        </row>
        <row r="985">
          <cell r="B985" t="str">
            <v>CONAUTALUM33500PD25</v>
          </cell>
          <cell r="F985">
            <v>0</v>
          </cell>
        </row>
        <row r="987">
          <cell r="B987" t="str">
            <v>CONDUCTOR AUTOPORTANTE</v>
          </cell>
          <cell r="F987">
            <v>0</v>
          </cell>
        </row>
        <row r="988">
          <cell r="B988" t="str">
            <v>3x25/25</v>
          </cell>
          <cell r="F988" t="str">
            <v>TOT. MAT.</v>
          </cell>
        </row>
        <row r="989">
          <cell r="B989" t="str">
            <v>CONAUTALUM32500PD25</v>
          </cell>
          <cell r="F989">
            <v>0</v>
          </cell>
        </row>
        <row r="991">
          <cell r="B991" t="str">
            <v>CONDUCTOR AUTOPORTANTE</v>
          </cell>
          <cell r="F991">
            <v>0</v>
          </cell>
        </row>
        <row r="992">
          <cell r="B992" t="str">
            <v>3x16/25</v>
          </cell>
          <cell r="F992" t="str">
            <v>TOT. MAT.</v>
          </cell>
        </row>
        <row r="993">
          <cell r="B993" t="str">
            <v>CONAUTALUM31600PD25</v>
          </cell>
          <cell r="F993">
            <v>0</v>
          </cell>
        </row>
        <row r="995">
          <cell r="B995" t="str">
            <v>CONDUCTOR AUTOPORTANTE</v>
          </cell>
          <cell r="F995">
            <v>0</v>
          </cell>
        </row>
        <row r="996">
          <cell r="B996" t="str">
            <v>2x35+16/25</v>
          </cell>
          <cell r="F996" t="str">
            <v>TOT. MAT.</v>
          </cell>
        </row>
        <row r="997">
          <cell r="B997" t="str">
            <v>CONAUTALUM23516PD25</v>
          </cell>
          <cell r="F997">
            <v>0</v>
          </cell>
        </row>
        <row r="999">
          <cell r="B999" t="str">
            <v>CONDUCTOR AUTOPORTANTE</v>
          </cell>
          <cell r="F999">
            <v>0</v>
          </cell>
        </row>
        <row r="1000">
          <cell r="B1000" t="str">
            <v>2x25+16/25</v>
          </cell>
          <cell r="F1000" t="str">
            <v>TOT. MAT.</v>
          </cell>
        </row>
        <row r="1001">
          <cell r="B1001" t="str">
            <v>CONAUTALUM22516PD25</v>
          </cell>
          <cell r="F1001">
            <v>0</v>
          </cell>
        </row>
        <row r="1003">
          <cell r="B1003" t="str">
            <v>CONDUCTOR AUTOPORTANTE</v>
          </cell>
          <cell r="F1003">
            <v>0</v>
          </cell>
        </row>
        <row r="1004">
          <cell r="B1004" t="str">
            <v>2x16+16/25</v>
          </cell>
          <cell r="F1004" t="str">
            <v>TOT. MAT.</v>
          </cell>
        </row>
        <row r="1005">
          <cell r="B1005" t="str">
            <v>CONAUTALUM21616PD25</v>
          </cell>
          <cell r="F1005">
            <v>0</v>
          </cell>
        </row>
        <row r="1015">
          <cell r="B1015" t="str">
            <v>CONDUCTOR AUTOPORTANTE</v>
          </cell>
          <cell r="F1015">
            <v>0</v>
          </cell>
        </row>
        <row r="1016">
          <cell r="B1016" t="str">
            <v>3X120+2x16</v>
          </cell>
          <cell r="F1016" t="str">
            <v>TOT. MAT.</v>
          </cell>
        </row>
        <row r="1017">
          <cell r="B1017" t="str">
            <v>CAAIS3120216</v>
          </cell>
          <cell r="F1017">
            <v>0</v>
          </cell>
        </row>
        <row r="1020">
          <cell r="B1020" t="str">
            <v>CONDUCTOR AUTOPORTANTE</v>
          </cell>
          <cell r="F1020">
            <v>0</v>
          </cell>
        </row>
        <row r="1021">
          <cell r="B1021" t="str">
            <v>3X95+2x16</v>
          </cell>
          <cell r="F1021" t="str">
            <v>TOT. MAT.</v>
          </cell>
        </row>
        <row r="1022">
          <cell r="B1022" t="str">
            <v>CAAIS395216</v>
          </cell>
          <cell r="F1022">
            <v>0</v>
          </cell>
        </row>
        <row r="1025">
          <cell r="B1025" t="str">
            <v>CONDUCTOR AUTOPORTANTE</v>
          </cell>
          <cell r="F1025">
            <v>0</v>
          </cell>
        </row>
        <row r="1026">
          <cell r="B1026" t="str">
            <v>3X70+2x16</v>
          </cell>
          <cell r="F1026" t="str">
            <v>TOT. MAT.</v>
          </cell>
        </row>
        <row r="1027">
          <cell r="B1027" t="str">
            <v>CAAIS370216</v>
          </cell>
          <cell r="F1027">
            <v>0</v>
          </cell>
        </row>
        <row r="1030">
          <cell r="B1030" t="str">
            <v>CONDUCTOR AUTOPORTANTE</v>
          </cell>
          <cell r="F1030">
            <v>0</v>
          </cell>
        </row>
        <row r="1031">
          <cell r="B1031" t="str">
            <v>3X50+2x16</v>
          </cell>
          <cell r="F1031" t="str">
            <v>TOT. MAT.</v>
          </cell>
        </row>
        <row r="1032">
          <cell r="B1032" t="str">
            <v>CAAIS350216</v>
          </cell>
          <cell r="F1032">
            <v>0</v>
          </cell>
        </row>
        <row r="1035">
          <cell r="B1035" t="str">
            <v>CONDUCTOR AUTOPORTANTE</v>
          </cell>
          <cell r="F1035">
            <v>0</v>
          </cell>
        </row>
        <row r="1036">
          <cell r="B1036" t="str">
            <v>3X95</v>
          </cell>
          <cell r="F1036" t="str">
            <v>TOT. MAT.</v>
          </cell>
        </row>
        <row r="1037">
          <cell r="B1037" t="str">
            <v>CAAIS395000</v>
          </cell>
          <cell r="F1037">
            <v>0</v>
          </cell>
        </row>
        <row r="1040">
          <cell r="B1040" t="str">
            <v>CONDUCTOR AUTOPORTANTE</v>
          </cell>
          <cell r="F1040">
            <v>0</v>
          </cell>
        </row>
        <row r="1041">
          <cell r="B1041" t="str">
            <v>3X70</v>
          </cell>
          <cell r="F1041" t="str">
            <v>TOT. MAT.</v>
          </cell>
        </row>
        <row r="1042">
          <cell r="B1042" t="str">
            <v>CAAIS370000</v>
          </cell>
          <cell r="F1042">
            <v>0</v>
          </cell>
        </row>
        <row r="1045">
          <cell r="B1045" t="str">
            <v>CONDUCTOR AUTOPORTANTE</v>
          </cell>
          <cell r="F1045">
            <v>0</v>
          </cell>
        </row>
        <row r="1046">
          <cell r="B1046" t="str">
            <v>3X50</v>
          </cell>
          <cell r="F1046" t="str">
            <v>TOT. MAT.</v>
          </cell>
        </row>
        <row r="1047">
          <cell r="B1047" t="str">
            <v>CAAIS350000</v>
          </cell>
          <cell r="F1047">
            <v>0</v>
          </cell>
        </row>
        <row r="1050">
          <cell r="B1050" t="str">
            <v>CONDUCTOR AUTOPORTANTE</v>
          </cell>
          <cell r="F1050">
            <v>0</v>
          </cell>
        </row>
        <row r="1051">
          <cell r="B1051" t="str">
            <v>3X35+2X16</v>
          </cell>
          <cell r="F1051" t="str">
            <v>TOT. MAT.</v>
          </cell>
        </row>
        <row r="1052">
          <cell r="B1052" t="str">
            <v>CAAIS335216</v>
          </cell>
          <cell r="F1052">
            <v>0</v>
          </cell>
        </row>
        <row r="1055">
          <cell r="B1055" t="str">
            <v>CONDUCTOR AUTOPORTANTE</v>
          </cell>
          <cell r="F1055">
            <v>0</v>
          </cell>
        </row>
        <row r="1056">
          <cell r="B1056" t="str">
            <v>3X25+2X16</v>
          </cell>
          <cell r="F1056" t="str">
            <v>TOT. MAT.</v>
          </cell>
        </row>
        <row r="1057">
          <cell r="B1057" t="str">
            <v>CAAIS325216</v>
          </cell>
          <cell r="F1057">
            <v>0</v>
          </cell>
        </row>
        <row r="1060">
          <cell r="B1060" t="str">
            <v>CONDUCTOR AUTOPORTANTE</v>
          </cell>
          <cell r="F1060">
            <v>0</v>
          </cell>
        </row>
        <row r="1061">
          <cell r="B1061" t="str">
            <v>3X16+2X16</v>
          </cell>
          <cell r="F1061" t="str">
            <v>TOT. MAT.</v>
          </cell>
        </row>
        <row r="1062">
          <cell r="B1062" t="str">
            <v>CAAIS316216</v>
          </cell>
          <cell r="F1062">
            <v>0</v>
          </cell>
        </row>
        <row r="1065">
          <cell r="B1065" t="str">
            <v>CONDUCTOR AUTOPORTANTE</v>
          </cell>
          <cell r="F1065">
            <v>0</v>
          </cell>
        </row>
        <row r="1066">
          <cell r="B1066" t="str">
            <v>3X35</v>
          </cell>
          <cell r="F1066" t="str">
            <v>TOT. MAT.</v>
          </cell>
        </row>
        <row r="1067">
          <cell r="B1067" t="str">
            <v>CAAIS335000</v>
          </cell>
          <cell r="F1067">
            <v>0</v>
          </cell>
        </row>
        <row r="1070">
          <cell r="B1070" t="str">
            <v>CONDUCTOR AUTOPORTANTE</v>
          </cell>
          <cell r="F1070">
            <v>0</v>
          </cell>
        </row>
        <row r="1071">
          <cell r="B1071" t="str">
            <v>3X25</v>
          </cell>
          <cell r="F1071" t="str">
            <v>TOT. MAT.</v>
          </cell>
        </row>
        <row r="1072">
          <cell r="B1072" t="str">
            <v>CAAIS325000</v>
          </cell>
          <cell r="F1072">
            <v>0</v>
          </cell>
        </row>
        <row r="1075">
          <cell r="B1075" t="str">
            <v>CONDUCTOR AUTOPORTANTE</v>
          </cell>
          <cell r="F1075">
            <v>0</v>
          </cell>
        </row>
        <row r="1076">
          <cell r="B1076" t="str">
            <v>3X16</v>
          </cell>
          <cell r="F1076" t="str">
            <v>TOT. MAT.</v>
          </cell>
        </row>
        <row r="1077">
          <cell r="B1077" t="str">
            <v>CAAIS316000</v>
          </cell>
          <cell r="F1077">
            <v>0</v>
          </cell>
        </row>
        <row r="1080">
          <cell r="B1080" t="str">
            <v>CONDUCTOR AUTOPORTANTE</v>
          </cell>
          <cell r="F1080">
            <v>0</v>
          </cell>
        </row>
        <row r="1081">
          <cell r="B1081" t="str">
            <v>2X16+2X16</v>
          </cell>
          <cell r="F1081" t="str">
            <v>TOT. MAT.</v>
          </cell>
        </row>
        <row r="1082">
          <cell r="B1082" t="str">
            <v>CAAIS21616</v>
          </cell>
          <cell r="F1082">
            <v>0</v>
          </cell>
        </row>
        <row r="1085">
          <cell r="B1085" t="str">
            <v>CONDUCTOR AUTOPORTANTE</v>
          </cell>
          <cell r="F1085">
            <v>0</v>
          </cell>
        </row>
        <row r="1086">
          <cell r="B1086" t="str">
            <v>2X35</v>
          </cell>
          <cell r="F1086" t="str">
            <v>TOT. MAT.</v>
          </cell>
        </row>
        <row r="1087">
          <cell r="B1087" t="str">
            <v>CAAIS23500</v>
          </cell>
          <cell r="F1087">
            <v>0</v>
          </cell>
        </row>
        <row r="1090">
          <cell r="B1090" t="str">
            <v>CONDUCTOR AUTOPORTANTE</v>
          </cell>
          <cell r="F1090">
            <v>0</v>
          </cell>
        </row>
        <row r="1091">
          <cell r="B1091" t="str">
            <v>2X25</v>
          </cell>
          <cell r="F1091" t="str">
            <v>TOT. MAT.</v>
          </cell>
        </row>
        <row r="1092">
          <cell r="B1092" t="str">
            <v>CAAIS22500</v>
          </cell>
          <cell r="F1092">
            <v>0</v>
          </cell>
        </row>
        <row r="1095">
          <cell r="B1095" t="str">
            <v>CONDUCTOR AUTOPORTANTE</v>
          </cell>
          <cell r="F1095">
            <v>0</v>
          </cell>
        </row>
        <row r="1096">
          <cell r="B1096" t="str">
            <v>2X16</v>
          </cell>
          <cell r="F1096" t="str">
            <v>TOT. MAT.</v>
          </cell>
        </row>
        <row r="1097">
          <cell r="B1097" t="str">
            <v>CAAIS216000</v>
          </cell>
          <cell r="F1097">
            <v>0</v>
          </cell>
        </row>
        <row r="1100">
          <cell r="B1100" t="str">
            <v>CONDUCTOR AUTOPORTANTE</v>
          </cell>
          <cell r="F1100">
            <v>0</v>
          </cell>
        </row>
        <row r="1101">
          <cell r="B1101" t="str">
            <v>1X16+2X16</v>
          </cell>
          <cell r="F1101" t="str">
            <v>TOT. MAT.</v>
          </cell>
        </row>
        <row r="1102">
          <cell r="B1102" t="str">
            <v>CAAIS11616</v>
          </cell>
          <cell r="F1102">
            <v>0</v>
          </cell>
        </row>
        <row r="1105">
          <cell r="B1105" t="str">
            <v>CONDUCTOR AUTOPORTANTE</v>
          </cell>
          <cell r="F1105">
            <v>0</v>
          </cell>
        </row>
        <row r="1106">
          <cell r="B1106" t="str">
            <v>1X16</v>
          </cell>
          <cell r="F1106" t="str">
            <v>TOT. MAT.</v>
          </cell>
        </row>
        <row r="1107">
          <cell r="B1107" t="str">
            <v>CAAIS00016</v>
          </cell>
          <cell r="F1107">
            <v>0</v>
          </cell>
        </row>
        <row r="1111">
          <cell r="B1111" t="str">
            <v xml:space="preserve">ARMADO TIPO </v>
          </cell>
          <cell r="F1111">
            <v>132</v>
          </cell>
        </row>
        <row r="1112">
          <cell r="B1112" t="str">
            <v>PS1-3</v>
          </cell>
          <cell r="F1112" t="str">
            <v>TOT. MAT-1</v>
          </cell>
        </row>
        <row r="1113">
          <cell r="B1113" t="str">
            <v>ALAMBRAMARRECOC16MM2</v>
          </cell>
          <cell r="F1113">
            <v>990</v>
          </cell>
        </row>
        <row r="1114">
          <cell r="B1114" t="str">
            <v>VARILARMASIMPCOND120MM2</v>
          </cell>
          <cell r="F1114">
            <v>396</v>
          </cell>
        </row>
        <row r="1115">
          <cell r="B1115" t="str">
            <v>PERNMAQ16D508TYCT</v>
          </cell>
          <cell r="F1115">
            <v>132</v>
          </cell>
        </row>
        <row r="1116">
          <cell r="B1116" t="str">
            <v>ESPIG381LCRUPIN563</v>
          </cell>
          <cell r="F1116">
            <v>264</v>
          </cell>
        </row>
        <row r="1117">
          <cell r="B1117" t="str">
            <v>PCABCO13D152L076MA</v>
          </cell>
          <cell r="F1117">
            <v>264</v>
          </cell>
        </row>
        <row r="1118">
          <cell r="B1118" t="str">
            <v>TIRAFONDO13D102L</v>
          </cell>
          <cell r="F1118">
            <v>132</v>
          </cell>
        </row>
        <row r="1119">
          <cell r="B1119" t="str">
            <v>BRAZOSOPRT38X38X5MM0710L</v>
          </cell>
          <cell r="F1119">
            <v>264</v>
          </cell>
        </row>
        <row r="1120">
          <cell r="B1120" t="str">
            <v>CRMAD090115L240</v>
          </cell>
          <cell r="F1120">
            <v>132</v>
          </cell>
        </row>
        <row r="1121">
          <cell r="B1121" t="str">
            <v>ARANDCUADPLAN57X57X5</v>
          </cell>
          <cell r="F1121">
            <v>132</v>
          </cell>
        </row>
        <row r="1122">
          <cell r="B1122" t="str">
            <v>ARANDCUADCURV57X57X5</v>
          </cell>
          <cell r="F1122">
            <v>396</v>
          </cell>
        </row>
        <row r="1123">
          <cell r="B1123" t="str">
            <v>PERNMAQ16D457TYCT</v>
          </cell>
          <cell r="F1123">
            <v>264</v>
          </cell>
        </row>
        <row r="1124">
          <cell r="B1124" t="str">
            <v>ESPIG609LCABPIN563</v>
          </cell>
          <cell r="F1124">
            <v>132</v>
          </cell>
        </row>
        <row r="1125">
          <cell r="B1125" t="str">
            <v>AISLAPORCEPIN563</v>
          </cell>
          <cell r="F1125">
            <v>396</v>
          </cell>
        </row>
        <row r="1126">
          <cell r="B1126" t="str">
            <v>AISLAPOLIME36KV19D075L</v>
          </cell>
          <cell r="F1126">
            <v>396</v>
          </cell>
        </row>
        <row r="1128">
          <cell r="B1128" t="str">
            <v xml:space="preserve">ARMADO TIPO </v>
          </cell>
          <cell r="F1128">
            <v>8</v>
          </cell>
        </row>
        <row r="1129">
          <cell r="B1129" t="str">
            <v>PA1-3</v>
          </cell>
          <cell r="F1129" t="str">
            <v>TOT. MAT-1</v>
          </cell>
        </row>
        <row r="1130">
          <cell r="B1130" t="str">
            <v>ALAMBRAMARRECOC16MM2</v>
          </cell>
          <cell r="F1130">
            <v>120</v>
          </cell>
        </row>
        <row r="1131">
          <cell r="B1131" t="str">
            <v>VARILARMADOBLCOND120MM2</v>
          </cell>
          <cell r="F1131">
            <v>24</v>
          </cell>
        </row>
        <row r="1132">
          <cell r="B1132" t="str">
            <v>TUBOESPAC19D38L</v>
          </cell>
          <cell r="F1132">
            <v>16</v>
          </cell>
        </row>
        <row r="1133">
          <cell r="B1133" t="str">
            <v>PERNMAQ16D254TYCT</v>
          </cell>
          <cell r="F1133">
            <v>16</v>
          </cell>
        </row>
        <row r="1134">
          <cell r="B1134" t="str">
            <v>SOPORTSEPARVERT76X64</v>
          </cell>
          <cell r="F1134">
            <v>16</v>
          </cell>
        </row>
        <row r="1135">
          <cell r="B1135" t="str">
            <v>ESPIG609LCABPIN563</v>
          </cell>
          <cell r="F1135">
            <v>16</v>
          </cell>
        </row>
        <row r="1136">
          <cell r="B1136" t="str">
            <v>ESPIG381LCRUPIN563</v>
          </cell>
          <cell r="F1136">
            <v>32</v>
          </cell>
        </row>
        <row r="1137">
          <cell r="B1137" t="str">
            <v>BRAZOSOPRT38X38X5MM0710L</v>
          </cell>
          <cell r="F1137">
            <v>32</v>
          </cell>
        </row>
        <row r="1138">
          <cell r="B1138" t="str">
            <v>ARANDCUADCURV57X57X5</v>
          </cell>
          <cell r="F1138">
            <v>96</v>
          </cell>
        </row>
        <row r="1139">
          <cell r="B1139" t="str">
            <v>PERNDARM16D508TYCT</v>
          </cell>
          <cell r="F1139">
            <v>24</v>
          </cell>
        </row>
        <row r="1140">
          <cell r="B1140" t="str">
            <v>PERNMAQ16D508TYCT</v>
          </cell>
          <cell r="F1140">
            <v>8</v>
          </cell>
        </row>
        <row r="1141">
          <cell r="B1141" t="str">
            <v>AISLAPORCEPIN563</v>
          </cell>
          <cell r="F1141">
            <v>48</v>
          </cell>
        </row>
        <row r="1142">
          <cell r="B1142" t="str">
            <v>AISLAPOLIME36KV19D075L</v>
          </cell>
          <cell r="F1142">
            <v>48</v>
          </cell>
        </row>
        <row r="1143">
          <cell r="B1143" t="str">
            <v>TIRAFONDO13D102L</v>
          </cell>
          <cell r="F1143">
            <v>16</v>
          </cell>
        </row>
        <row r="1144">
          <cell r="B1144" t="str">
            <v>PCABCO13D152L076MA</v>
          </cell>
          <cell r="F1144">
            <v>32</v>
          </cell>
        </row>
        <row r="1145">
          <cell r="B1145" t="str">
            <v>ARANDCUADPLAN57X57X5</v>
          </cell>
          <cell r="F1145">
            <v>16</v>
          </cell>
        </row>
        <row r="1146">
          <cell r="B1146" t="str">
            <v>CRMAD090115L240</v>
          </cell>
          <cell r="F1146">
            <v>16</v>
          </cell>
        </row>
        <row r="1148">
          <cell r="B1148" t="str">
            <v xml:space="preserve">ARMADO TIPO </v>
          </cell>
          <cell r="F1148">
            <v>1</v>
          </cell>
        </row>
        <row r="1149">
          <cell r="B1149" t="str">
            <v>PA2-3</v>
          </cell>
          <cell r="F1149" t="str">
            <v>TOT. MAT-1</v>
          </cell>
        </row>
        <row r="1150">
          <cell r="B1150" t="str">
            <v>VARILARMASIMPCOND120MM2</v>
          </cell>
          <cell r="F1150">
            <v>3</v>
          </cell>
        </row>
        <row r="1151">
          <cell r="B1151" t="str">
            <v>GRILLETERECTO</v>
          </cell>
          <cell r="F1151">
            <v>3</v>
          </cell>
        </row>
        <row r="1152">
          <cell r="B1152" t="str">
            <v>ADAPTCASQOJOLARG</v>
          </cell>
          <cell r="F1152">
            <v>3</v>
          </cell>
        </row>
        <row r="1153">
          <cell r="B1153" t="str">
            <v>ADAPTANILBOLA</v>
          </cell>
          <cell r="F1153">
            <v>3</v>
          </cell>
        </row>
        <row r="1154">
          <cell r="B1154" t="str">
            <v>GRAPAANGULOCOND120MM2</v>
          </cell>
          <cell r="F1154">
            <v>3</v>
          </cell>
        </row>
        <row r="1155">
          <cell r="B1155" t="str">
            <v>AISLAPORCESUSP523</v>
          </cell>
          <cell r="F1155">
            <v>6</v>
          </cell>
        </row>
        <row r="1156">
          <cell r="B1156" t="str">
            <v>AISLAPOLIMESUSP36KV</v>
          </cell>
          <cell r="F1156">
            <v>3</v>
          </cell>
        </row>
        <row r="1157">
          <cell r="B1157" t="str">
            <v>PERNOJAL16D356TYCT</v>
          </cell>
          <cell r="F1157">
            <v>3</v>
          </cell>
        </row>
        <row r="1158">
          <cell r="B1158" t="str">
            <v>ARANDCUADCURV57X57X5</v>
          </cell>
          <cell r="F1158">
            <v>6</v>
          </cell>
        </row>
        <row r="1160">
          <cell r="B1160" t="str">
            <v xml:space="preserve">ARMADO TIPO </v>
          </cell>
          <cell r="F1160">
            <v>12</v>
          </cell>
        </row>
        <row r="1161">
          <cell r="B1161" t="str">
            <v>PA3-3</v>
          </cell>
          <cell r="F1161" t="str">
            <v>TOT. MAT-1</v>
          </cell>
        </row>
        <row r="1162">
          <cell r="B1162" t="str">
            <v>GRAPADOBVIACOND120MM2</v>
          </cell>
          <cell r="F1162">
            <v>36</v>
          </cell>
        </row>
        <row r="1163">
          <cell r="B1163" t="str">
            <v>GRILLETERECTO</v>
          </cell>
          <cell r="F1163">
            <v>72</v>
          </cell>
        </row>
        <row r="1164">
          <cell r="B1164" t="str">
            <v>ADAPTCASQOJOLARG</v>
          </cell>
          <cell r="F1164">
            <v>72</v>
          </cell>
        </row>
        <row r="1165">
          <cell r="B1165" t="str">
            <v>ADAPTANILBOLA</v>
          </cell>
          <cell r="F1165">
            <v>72</v>
          </cell>
        </row>
        <row r="1166">
          <cell r="B1166" t="str">
            <v>GRAPAANCLAJECOND120MM2</v>
          </cell>
          <cell r="F1166">
            <v>72</v>
          </cell>
        </row>
        <row r="1167">
          <cell r="B1167" t="str">
            <v>AISLAPORCESUSP523</v>
          </cell>
          <cell r="F1167">
            <v>144</v>
          </cell>
        </row>
        <row r="1168">
          <cell r="B1168" t="str">
            <v>AISLAPOLIMESUSP36KV</v>
          </cell>
          <cell r="F1168">
            <v>72</v>
          </cell>
        </row>
        <row r="1169">
          <cell r="B1169" t="str">
            <v>PERNOJAL16D356TYCT</v>
          </cell>
          <cell r="F1169">
            <v>72</v>
          </cell>
        </row>
        <row r="1170">
          <cell r="B1170" t="str">
            <v>ARANDCUADCURV57X57X5</v>
          </cell>
          <cell r="F1170">
            <v>144</v>
          </cell>
        </row>
        <row r="1172">
          <cell r="B1172" t="str">
            <v xml:space="preserve">ARMADO TIPO </v>
          </cell>
          <cell r="F1172">
            <v>34</v>
          </cell>
        </row>
        <row r="1173">
          <cell r="B1173" t="str">
            <v>PR3-3</v>
          </cell>
          <cell r="F1173" t="str">
            <v>TOT. MAT-1</v>
          </cell>
        </row>
        <row r="1174">
          <cell r="B1174" t="str">
            <v>ALAMBRAMARRECOC16MM2</v>
          </cell>
          <cell r="F1174">
            <v>85</v>
          </cell>
        </row>
        <row r="1175">
          <cell r="B1175" t="str">
            <v>ESPIG609LCABPIN563</v>
          </cell>
          <cell r="F1175">
            <v>34</v>
          </cell>
        </row>
        <row r="1176">
          <cell r="B1176" t="str">
            <v>AISLAPORCEPIN563</v>
          </cell>
          <cell r="F1176">
            <v>34</v>
          </cell>
        </row>
        <row r="1177">
          <cell r="B1177" t="str">
            <v>AISLAPOLIME36KV19D075L</v>
          </cell>
          <cell r="F1177">
            <v>34</v>
          </cell>
        </row>
        <row r="1178">
          <cell r="B1178" t="str">
            <v>GRAPADOBVIACOND120MM2</v>
          </cell>
          <cell r="F1178">
            <v>102</v>
          </cell>
        </row>
        <row r="1179">
          <cell r="B1179" t="str">
            <v>PERNOJAL16D356TYCT</v>
          </cell>
          <cell r="F1179">
            <v>34</v>
          </cell>
        </row>
        <row r="1180">
          <cell r="B1180" t="str">
            <v>GRILLETERECTO</v>
          </cell>
          <cell r="F1180">
            <v>204</v>
          </cell>
        </row>
        <row r="1181">
          <cell r="B1181" t="str">
            <v>ADAPTCASQOJOLARG</v>
          </cell>
          <cell r="F1181">
            <v>204</v>
          </cell>
        </row>
        <row r="1182">
          <cell r="B1182" t="str">
            <v>ADAPTANILBOLA</v>
          </cell>
          <cell r="F1182">
            <v>204</v>
          </cell>
        </row>
        <row r="1183">
          <cell r="B1183" t="str">
            <v>ARANDCUADCURV57X57X5</v>
          </cell>
          <cell r="F1183">
            <v>136</v>
          </cell>
        </row>
        <row r="1184">
          <cell r="B1184" t="str">
            <v>PERNMAQ16D356TYCT</v>
          </cell>
          <cell r="F1184">
            <v>68</v>
          </cell>
        </row>
        <row r="1185">
          <cell r="B1185" t="str">
            <v>TUERCAOJAL16D</v>
          </cell>
          <cell r="F1185">
            <v>170</v>
          </cell>
        </row>
        <row r="1186">
          <cell r="B1186" t="str">
            <v>BRAZOSOPRT38X38X5MM0710L</v>
          </cell>
          <cell r="F1186">
            <v>136</v>
          </cell>
        </row>
        <row r="1187">
          <cell r="B1187" t="str">
            <v>GRAPAANCLAJECOND120MM2</v>
          </cell>
          <cell r="F1187">
            <v>204</v>
          </cell>
        </row>
        <row r="1188">
          <cell r="B1188" t="str">
            <v>PERNDARM16D508TYCT</v>
          </cell>
          <cell r="F1188">
            <v>102</v>
          </cell>
        </row>
        <row r="1189">
          <cell r="B1189" t="str">
            <v>AISLAPORCESUSP523</v>
          </cell>
          <cell r="F1189">
            <v>408</v>
          </cell>
        </row>
        <row r="1190">
          <cell r="B1190" t="str">
            <v>AISLAPOLIMESUSP36KV</v>
          </cell>
          <cell r="F1190">
            <v>204</v>
          </cell>
        </row>
        <row r="1191">
          <cell r="B1191" t="str">
            <v>TIRAFONDO13D102L</v>
          </cell>
          <cell r="F1191">
            <v>68</v>
          </cell>
        </row>
        <row r="1192">
          <cell r="B1192" t="str">
            <v>PCABCO13D152L076MA</v>
          </cell>
          <cell r="F1192">
            <v>136</v>
          </cell>
        </row>
        <row r="1193">
          <cell r="B1193" t="str">
            <v>CRMAD090115L240</v>
          </cell>
          <cell r="F1193">
            <v>68</v>
          </cell>
        </row>
        <row r="1194">
          <cell r="B1194" t="str">
            <v>ARANDCUADPLAN57X57X5</v>
          </cell>
          <cell r="F1194">
            <v>340</v>
          </cell>
        </row>
        <row r="1196">
          <cell r="B1196" t="str">
            <v xml:space="preserve">ARMADO TIPO </v>
          </cell>
          <cell r="F1196">
            <v>4</v>
          </cell>
        </row>
        <row r="1197">
          <cell r="B1197" t="str">
            <v>TS-3</v>
          </cell>
          <cell r="F1197" t="str">
            <v>TOT. MAT-1</v>
          </cell>
        </row>
        <row r="1198">
          <cell r="B1198" t="str">
            <v>ALAMBRAMARRECOC16MM2</v>
          </cell>
          <cell r="F1198">
            <v>30</v>
          </cell>
        </row>
        <row r="1199">
          <cell r="B1199" t="str">
            <v>ESPIG381LCRUPIN563</v>
          </cell>
          <cell r="F1199">
            <v>8</v>
          </cell>
        </row>
        <row r="1200">
          <cell r="B1200" t="str">
            <v>ESPIG609LCABPIN563</v>
          </cell>
          <cell r="F1200">
            <v>4</v>
          </cell>
        </row>
        <row r="1201">
          <cell r="B1201" t="str">
            <v>AISLAPORCEPIN563</v>
          </cell>
          <cell r="F1201">
            <v>12</v>
          </cell>
        </row>
        <row r="1202">
          <cell r="B1202" t="str">
            <v>AISLAPOLIME36KV19D075L</v>
          </cell>
          <cell r="F1202">
            <v>12</v>
          </cell>
        </row>
        <row r="1203">
          <cell r="B1203" t="str">
            <v>PERNOJAL16D356TYCT</v>
          </cell>
          <cell r="F1203">
            <v>4</v>
          </cell>
        </row>
        <row r="1204">
          <cell r="B1204" t="str">
            <v>GRILLETERECTO</v>
          </cell>
          <cell r="F1204">
            <v>12</v>
          </cell>
        </row>
        <row r="1205">
          <cell r="B1205" t="str">
            <v>ADAPTCASQOJOLARG</v>
          </cell>
          <cell r="F1205">
            <v>12</v>
          </cell>
        </row>
        <row r="1206">
          <cell r="B1206" t="str">
            <v>ADAPTANILBOLA</v>
          </cell>
          <cell r="F1206">
            <v>12</v>
          </cell>
        </row>
        <row r="1207">
          <cell r="B1207" t="str">
            <v>ARANDCUADCURV57X57X5</v>
          </cell>
          <cell r="F1207">
            <v>16</v>
          </cell>
        </row>
        <row r="1208">
          <cell r="B1208" t="str">
            <v>PERNMAQ16D356TYCT</v>
          </cell>
          <cell r="F1208">
            <v>8</v>
          </cell>
        </row>
        <row r="1209">
          <cell r="B1209" t="str">
            <v>TUERCAOJAL16D</v>
          </cell>
          <cell r="F1209">
            <v>12</v>
          </cell>
        </row>
        <row r="1210">
          <cell r="B1210" t="str">
            <v>BRAZOSOPRT38X38X5MM0710L</v>
          </cell>
          <cell r="F1210">
            <v>16</v>
          </cell>
        </row>
        <row r="1211">
          <cell r="B1211" t="str">
            <v>GRAPAANCLAJECOND120MM2</v>
          </cell>
          <cell r="F1211">
            <v>12</v>
          </cell>
        </row>
        <row r="1212">
          <cell r="B1212" t="str">
            <v>PERNDARM16D508TYCT</v>
          </cell>
          <cell r="F1212">
            <v>12</v>
          </cell>
        </row>
        <row r="1213">
          <cell r="B1213" t="str">
            <v>AISLAPORCESUSP523</v>
          </cell>
          <cell r="F1213">
            <v>24</v>
          </cell>
        </row>
        <row r="1214">
          <cell r="B1214" t="str">
            <v>AISLAPOLIMESUSP36KV</v>
          </cell>
          <cell r="F1214">
            <v>12</v>
          </cell>
        </row>
        <row r="1215">
          <cell r="B1215" t="str">
            <v>TIRAFONDO13D102L</v>
          </cell>
          <cell r="F1215">
            <v>8</v>
          </cell>
        </row>
        <row r="1216">
          <cell r="B1216" t="str">
            <v>PCABCO13D152L076MA</v>
          </cell>
          <cell r="F1216">
            <v>16</v>
          </cell>
        </row>
        <row r="1217">
          <cell r="B1217" t="str">
            <v>CRMAD090115L240</v>
          </cell>
          <cell r="F1217">
            <v>8</v>
          </cell>
        </row>
        <row r="1218">
          <cell r="B1218" t="str">
            <v>ARANDCUADPLAN57X57X5</v>
          </cell>
          <cell r="F1218">
            <v>40</v>
          </cell>
        </row>
        <row r="1220">
          <cell r="B1220" t="str">
            <v xml:space="preserve">ARMADO TIPO </v>
          </cell>
          <cell r="F1220">
            <v>4</v>
          </cell>
        </row>
        <row r="1221">
          <cell r="B1221" t="str">
            <v>SRP-3-M</v>
          </cell>
          <cell r="F1221" t="str">
            <v>TOT. MAT-1</v>
          </cell>
        </row>
        <row r="1222">
          <cell r="B1222" t="str">
            <v>ALAMBRAMARRECOC16MM2</v>
          </cell>
          <cell r="F1222">
            <v>30</v>
          </cell>
        </row>
        <row r="1223">
          <cell r="B1223" t="str">
            <v>VARILARMASIMPCOND120MM2</v>
          </cell>
          <cell r="F1223">
            <v>12</v>
          </cell>
        </row>
        <row r="1224">
          <cell r="B1224" t="str">
            <v>PCABCO13D152L076MA</v>
          </cell>
          <cell r="F1224">
            <v>12</v>
          </cell>
        </row>
        <row r="1225">
          <cell r="B1225" t="str">
            <v>TIRAFONDO13D102L</v>
          </cell>
          <cell r="F1225">
            <v>12</v>
          </cell>
        </row>
        <row r="1226">
          <cell r="B1226" t="str">
            <v>BRAZOSOPRT38X38X5MM1350L</v>
          </cell>
          <cell r="F1226">
            <v>24</v>
          </cell>
        </row>
        <row r="1227">
          <cell r="B1227" t="str">
            <v>CRMAD090115L200</v>
          </cell>
          <cell r="F1227">
            <v>12</v>
          </cell>
        </row>
        <row r="1228">
          <cell r="B1228" t="str">
            <v>PERNMAQ16D406TYCT</v>
          </cell>
          <cell r="F1228">
            <v>12</v>
          </cell>
        </row>
        <row r="1229">
          <cell r="B1229" t="str">
            <v>ARANDCUADPLAN57X57X5</v>
          </cell>
          <cell r="F1229">
            <v>12</v>
          </cell>
        </row>
        <row r="1230">
          <cell r="B1230" t="str">
            <v>ARANDCUADCURV57X57X5</v>
          </cell>
          <cell r="F1230">
            <v>12</v>
          </cell>
        </row>
        <row r="1231">
          <cell r="B1231" t="str">
            <v>ESPIG381LCRUPIN563</v>
          </cell>
          <cell r="F1231">
            <v>12</v>
          </cell>
        </row>
        <row r="1232">
          <cell r="B1232" t="str">
            <v>AISLAPORCEPIN563</v>
          </cell>
          <cell r="F1232">
            <v>12</v>
          </cell>
        </row>
        <row r="1233">
          <cell r="B1233" t="str">
            <v>AISLAPOLIME36KV19D075L</v>
          </cell>
          <cell r="F1233">
            <v>12</v>
          </cell>
        </row>
        <row r="1235">
          <cell r="B1235" t="str">
            <v xml:space="preserve">ARMADO TIPO </v>
          </cell>
          <cell r="F1235">
            <v>1</v>
          </cell>
        </row>
        <row r="1236">
          <cell r="B1236" t="str">
            <v>A1RP-3-M</v>
          </cell>
          <cell r="F1236" t="str">
            <v>TOT. MAT-1</v>
          </cell>
        </row>
        <row r="1237">
          <cell r="B1237" t="str">
            <v>ALAMBRAMARRECOC16MM2</v>
          </cell>
          <cell r="F1237">
            <v>10</v>
          </cell>
        </row>
        <row r="1238">
          <cell r="B1238" t="str">
            <v>VARILARMADOBLCOND120MM2</v>
          </cell>
          <cell r="F1238">
            <v>3</v>
          </cell>
        </row>
        <row r="1239">
          <cell r="B1239" t="str">
            <v>PCABCO13D152L076MA</v>
          </cell>
          <cell r="F1239">
            <v>2</v>
          </cell>
        </row>
        <row r="1240">
          <cell r="B1240" t="str">
            <v>TIRAFONDO13D102L</v>
          </cell>
          <cell r="F1240">
            <v>2</v>
          </cell>
        </row>
        <row r="1241">
          <cell r="B1241" t="str">
            <v>BRAZOSOPRT38X38X5MM1350L</v>
          </cell>
          <cell r="F1241">
            <v>2</v>
          </cell>
        </row>
        <row r="1242">
          <cell r="B1242" t="str">
            <v>CRMAD090115L200</v>
          </cell>
          <cell r="F1242">
            <v>2</v>
          </cell>
        </row>
        <row r="1243">
          <cell r="B1243" t="str">
            <v>PERNDARM16D508TYCT</v>
          </cell>
          <cell r="F1243">
            <v>2</v>
          </cell>
        </row>
        <row r="1244">
          <cell r="B1244" t="str">
            <v>ARANDCUADPLAN57X57X5</v>
          </cell>
          <cell r="F1244">
            <v>8</v>
          </cell>
        </row>
        <row r="1245">
          <cell r="B1245" t="str">
            <v>ESPIG381LCRUPIN563</v>
          </cell>
          <cell r="F1245">
            <v>6</v>
          </cell>
        </row>
        <row r="1246">
          <cell r="B1246" t="str">
            <v>AISLAPORCEPIN563</v>
          </cell>
          <cell r="F1246">
            <v>6</v>
          </cell>
        </row>
        <row r="1247">
          <cell r="B1247" t="str">
            <v>AISLAPOLIME36KV19D075L</v>
          </cell>
          <cell r="F1247">
            <v>6</v>
          </cell>
        </row>
        <row r="1249">
          <cell r="B1249" t="str">
            <v xml:space="preserve">ARMADO TIPO </v>
          </cell>
          <cell r="F1249">
            <v>0</v>
          </cell>
        </row>
        <row r="1250">
          <cell r="B1250" t="str">
            <v>A1RP-3</v>
          </cell>
          <cell r="F1250" t="str">
            <v>TOT. MAT-1</v>
          </cell>
        </row>
        <row r="1251">
          <cell r="B1251" t="str">
            <v>ALAMBRAMARRECOC16MM2</v>
          </cell>
          <cell r="F1251">
            <v>0</v>
          </cell>
        </row>
        <row r="1252">
          <cell r="B1252" t="str">
            <v>PCABCO13D152L076MA</v>
          </cell>
          <cell r="F1252">
            <v>0</v>
          </cell>
        </row>
        <row r="1253">
          <cell r="B1253" t="str">
            <v>TIRAFONDO13D102L</v>
          </cell>
          <cell r="F1253">
            <v>0</v>
          </cell>
        </row>
        <row r="1254">
          <cell r="B1254" t="str">
            <v>BRAZOSOPRT38X38X5MM0710L</v>
          </cell>
          <cell r="F1254">
            <v>0</v>
          </cell>
        </row>
        <row r="1255">
          <cell r="B1255" t="str">
            <v>CRMAD090115L200</v>
          </cell>
          <cell r="F1255">
            <v>0</v>
          </cell>
        </row>
        <row r="1256">
          <cell r="B1256" t="str">
            <v>PERNDARM16D508TYCT</v>
          </cell>
          <cell r="F1256">
            <v>0</v>
          </cell>
        </row>
        <row r="1257">
          <cell r="B1257" t="str">
            <v>ARANDCUADPLAN57X57X5</v>
          </cell>
          <cell r="F1257">
            <v>0</v>
          </cell>
        </row>
        <row r="1258">
          <cell r="B1258" t="str">
            <v>ESPIG381LCRUPIN563</v>
          </cell>
          <cell r="F1258">
            <v>0</v>
          </cell>
        </row>
        <row r="1259">
          <cell r="B1259" t="str">
            <v>AISLAPORCEPIN563</v>
          </cell>
          <cell r="F1259">
            <v>0</v>
          </cell>
        </row>
        <row r="1260">
          <cell r="B1260" t="str">
            <v>AISLAPORCEPIN563</v>
          </cell>
          <cell r="F1260">
            <v>0</v>
          </cell>
        </row>
        <row r="1262">
          <cell r="B1262" t="str">
            <v xml:space="preserve">ARMADO TIPO </v>
          </cell>
          <cell r="F1262">
            <v>0</v>
          </cell>
        </row>
        <row r="1263">
          <cell r="B1263" t="str">
            <v>TSRP-3</v>
          </cell>
          <cell r="F1263" t="str">
            <v>TOT. MAT-1</v>
          </cell>
        </row>
        <row r="1264">
          <cell r="B1264" t="str">
            <v>ALAMBRAMARRECOC16MM2</v>
          </cell>
          <cell r="F1264">
            <v>0</v>
          </cell>
        </row>
        <row r="1265">
          <cell r="B1265" t="str">
            <v>ESPIG381LCRUPIN563</v>
          </cell>
          <cell r="F1265">
            <v>0</v>
          </cell>
        </row>
        <row r="1266">
          <cell r="B1266" t="str">
            <v>ESPIG609LCABPIN563</v>
          </cell>
          <cell r="F1266">
            <v>0</v>
          </cell>
        </row>
        <row r="1267">
          <cell r="B1267" t="str">
            <v>AISLAPORCEPIN563</v>
          </cell>
          <cell r="F1267">
            <v>0</v>
          </cell>
        </row>
        <row r="1268">
          <cell r="B1268" t="str">
            <v>PERNOJAL16D356TYCT</v>
          </cell>
          <cell r="F1268">
            <v>0</v>
          </cell>
        </row>
        <row r="1269">
          <cell r="B1269" t="str">
            <v>GRILLETERECTO</v>
          </cell>
          <cell r="F1269">
            <v>0</v>
          </cell>
        </row>
        <row r="1270">
          <cell r="B1270" t="str">
            <v>ADAPTCASQOJOLARG</v>
          </cell>
          <cell r="F1270">
            <v>0</v>
          </cell>
        </row>
        <row r="1271">
          <cell r="B1271" t="str">
            <v>ADAPTANILBOLA</v>
          </cell>
          <cell r="F1271">
            <v>0</v>
          </cell>
        </row>
        <row r="1272">
          <cell r="B1272" t="str">
            <v>ARANDCUADCURV57X57X5</v>
          </cell>
          <cell r="F1272">
            <v>0</v>
          </cell>
        </row>
        <row r="1273">
          <cell r="B1273" t="str">
            <v>PERNMAQ16D356TYCT</v>
          </cell>
          <cell r="F1273">
            <v>0</v>
          </cell>
        </row>
        <row r="1274">
          <cell r="B1274" t="str">
            <v>TUERCAOJAL16D</v>
          </cell>
          <cell r="F1274">
            <v>0</v>
          </cell>
        </row>
        <row r="1275">
          <cell r="B1275" t="str">
            <v>BRAZOSOPRT38X38X5MM0710L</v>
          </cell>
          <cell r="F1275">
            <v>0</v>
          </cell>
        </row>
        <row r="1276">
          <cell r="B1276" t="str">
            <v>GRAPAANCLAJECOND120MM2</v>
          </cell>
          <cell r="F1276">
            <v>0</v>
          </cell>
        </row>
        <row r="1277">
          <cell r="B1277" t="str">
            <v>PERNDARM16D508TYCT</v>
          </cell>
          <cell r="F1277">
            <v>0</v>
          </cell>
        </row>
        <row r="1278">
          <cell r="B1278" t="str">
            <v>AISLAPORCESUSP523</v>
          </cell>
          <cell r="F1278">
            <v>0</v>
          </cell>
        </row>
        <row r="1279">
          <cell r="B1279" t="str">
            <v>TIRAFONDO13D102L</v>
          </cell>
          <cell r="F1279">
            <v>0</v>
          </cell>
        </row>
        <row r="1280">
          <cell r="B1280" t="str">
            <v>PCABCO13D152L076MA</v>
          </cell>
          <cell r="F1280">
            <v>0</v>
          </cell>
        </row>
        <row r="1281">
          <cell r="B1281" t="str">
            <v>CRMAD090115L240</v>
          </cell>
          <cell r="F1281">
            <v>0</v>
          </cell>
        </row>
        <row r="1282">
          <cell r="B1282" t="str">
            <v>ARANDCUADPLAN57X57X5</v>
          </cell>
          <cell r="F1282">
            <v>0</v>
          </cell>
        </row>
        <row r="1284">
          <cell r="B1284" t="str">
            <v xml:space="preserve">ARMADO TIPO </v>
          </cell>
          <cell r="F1284">
            <v>0</v>
          </cell>
        </row>
        <row r="1285">
          <cell r="B1285" t="str">
            <v>PRV-3</v>
          </cell>
          <cell r="F1285" t="str">
            <v>TOT. MAT-1</v>
          </cell>
        </row>
        <row r="1286">
          <cell r="B1286" t="str">
            <v>PERNOJAL16D305TYCT</v>
          </cell>
          <cell r="F1286">
            <v>0</v>
          </cell>
        </row>
        <row r="1287">
          <cell r="B1287" t="str">
            <v>CONECDOBLVIABIME10MM16MM</v>
          </cell>
          <cell r="F1287">
            <v>0</v>
          </cell>
        </row>
        <row r="1288">
          <cell r="B1288" t="str">
            <v>GRILLETERECTO</v>
          </cell>
          <cell r="F1288">
            <v>0</v>
          </cell>
        </row>
        <row r="1289">
          <cell r="B1289" t="str">
            <v>ADAPTCASQOJOLARG</v>
          </cell>
          <cell r="F1289">
            <v>0</v>
          </cell>
        </row>
        <row r="1290">
          <cell r="B1290" t="str">
            <v>ADAPTANILBOLA</v>
          </cell>
          <cell r="F1290">
            <v>0</v>
          </cell>
        </row>
        <row r="1291">
          <cell r="B1291" t="str">
            <v>GRAPAANCLAJECOND035MM2</v>
          </cell>
          <cell r="F1291">
            <v>0</v>
          </cell>
        </row>
        <row r="1292">
          <cell r="B1292" t="str">
            <v>TUERCAOJAL16D</v>
          </cell>
          <cell r="F1292">
            <v>0</v>
          </cell>
        </row>
        <row r="1293">
          <cell r="B1293" t="str">
            <v>AISLAPORCESUSP523</v>
          </cell>
          <cell r="F1293">
            <v>0</v>
          </cell>
        </row>
        <row r="1294">
          <cell r="B1294" t="str">
            <v>ALAMBRAMARRECOC16MM2</v>
          </cell>
          <cell r="F1294">
            <v>0</v>
          </cell>
        </row>
        <row r="1295">
          <cell r="B1295" t="str">
            <v>PERNMAQ16D356TYCT</v>
          </cell>
          <cell r="F1295">
            <v>0</v>
          </cell>
        </row>
        <row r="1296">
          <cell r="B1296" t="str">
            <v>ESPIG381LCRUPIN563</v>
          </cell>
          <cell r="F1296">
            <v>0</v>
          </cell>
        </row>
        <row r="1297">
          <cell r="B1297" t="str">
            <v>PCABCO13D152L076MA</v>
          </cell>
          <cell r="F1297">
            <v>0</v>
          </cell>
        </row>
        <row r="1298">
          <cell r="B1298" t="str">
            <v>PERNMAQ13D203TYCT</v>
          </cell>
          <cell r="F1298">
            <v>0</v>
          </cell>
        </row>
        <row r="1299">
          <cell r="B1299" t="str">
            <v>BRAZOSOPRT38X38X5MM0710L</v>
          </cell>
          <cell r="F1299">
            <v>0</v>
          </cell>
        </row>
        <row r="1300">
          <cell r="B1300" t="str">
            <v>CRMAD090115L120</v>
          </cell>
          <cell r="F1300">
            <v>0</v>
          </cell>
        </row>
        <row r="1301">
          <cell r="B1301" t="str">
            <v>ARANDCUADCURV57X57X5</v>
          </cell>
          <cell r="F1301">
            <v>0</v>
          </cell>
        </row>
        <row r="1302">
          <cell r="B1302" t="str">
            <v>ARANDCUADPLAN57X57X5</v>
          </cell>
          <cell r="F1302">
            <v>0</v>
          </cell>
        </row>
        <row r="1303">
          <cell r="B1303" t="str">
            <v>PERNMAQ16D305TYCT</v>
          </cell>
          <cell r="F1303">
            <v>0</v>
          </cell>
        </row>
        <row r="1304">
          <cell r="B1304" t="str">
            <v>ESPIG609LCABPIN563</v>
          </cell>
          <cell r="F1304">
            <v>0</v>
          </cell>
        </row>
        <row r="1305">
          <cell r="B1305" t="str">
            <v>AISLAPORCEPIN563</v>
          </cell>
          <cell r="F1305">
            <v>0</v>
          </cell>
        </row>
        <row r="1307">
          <cell r="B1307" t="str">
            <v xml:space="preserve">ARMADO TIPO </v>
          </cell>
          <cell r="F1307">
            <v>0</v>
          </cell>
        </row>
        <row r="1308">
          <cell r="B1308" t="str">
            <v>PA1VE-3</v>
          </cell>
          <cell r="F1308" t="str">
            <v>TOT. MAT-1</v>
          </cell>
        </row>
        <row r="1309">
          <cell r="B1309" t="str">
            <v>SOPORTSEPARVERT76X64</v>
          </cell>
          <cell r="F1309">
            <v>0</v>
          </cell>
        </row>
        <row r="1310">
          <cell r="B1310" t="str">
            <v>TUBOESPAC19D38L</v>
          </cell>
          <cell r="F1310">
            <v>0</v>
          </cell>
        </row>
        <row r="1311">
          <cell r="B1311" t="str">
            <v>ALAMBRAMARRECOC16MM2</v>
          </cell>
          <cell r="F1311">
            <v>0</v>
          </cell>
        </row>
        <row r="1312">
          <cell r="B1312" t="str">
            <v>VARILARMADOBLCOND035MM2</v>
          </cell>
          <cell r="F1312">
            <v>0</v>
          </cell>
        </row>
        <row r="1313">
          <cell r="B1313" t="str">
            <v>PERNDARM16D508TYCT</v>
          </cell>
          <cell r="F1313">
            <v>0</v>
          </cell>
        </row>
        <row r="1314">
          <cell r="B1314" t="str">
            <v>ESPIG381LCRUPIN563</v>
          </cell>
          <cell r="F1314">
            <v>0</v>
          </cell>
        </row>
        <row r="1315">
          <cell r="B1315" t="str">
            <v>PCABCO13D152L076MA</v>
          </cell>
          <cell r="F1315">
            <v>0</v>
          </cell>
        </row>
        <row r="1316">
          <cell r="B1316" t="str">
            <v>PERNMAQ13D203TYCT</v>
          </cell>
          <cell r="F1316">
            <v>0</v>
          </cell>
        </row>
        <row r="1317">
          <cell r="B1317" t="str">
            <v>BRAZOSOPRT38X38X5MM0710L</v>
          </cell>
          <cell r="F1317">
            <v>0</v>
          </cell>
        </row>
        <row r="1318">
          <cell r="B1318" t="str">
            <v>CRMAD090115L120</v>
          </cell>
          <cell r="F1318">
            <v>0</v>
          </cell>
        </row>
        <row r="1319">
          <cell r="B1319" t="str">
            <v>ARANDCUADCURV57X57X5</v>
          </cell>
          <cell r="F1319">
            <v>0</v>
          </cell>
        </row>
        <row r="1320">
          <cell r="B1320" t="str">
            <v>ARANDCUADPLAN57X57X5</v>
          </cell>
          <cell r="F1320">
            <v>0</v>
          </cell>
        </row>
        <row r="1321">
          <cell r="B1321" t="str">
            <v>PERNMAQ16D508TYCT</v>
          </cell>
          <cell r="F1321">
            <v>0</v>
          </cell>
        </row>
        <row r="1322">
          <cell r="B1322" t="str">
            <v>ESPIG609LCABPIN563</v>
          </cell>
          <cell r="F1322">
            <v>0</v>
          </cell>
        </row>
        <row r="1323">
          <cell r="B1323" t="str">
            <v>AISLAPORCEPIN563</v>
          </cell>
          <cell r="F1323">
            <v>0</v>
          </cell>
        </row>
        <row r="1325">
          <cell r="B1325" t="str">
            <v xml:space="preserve">ARMADO TIPO </v>
          </cell>
          <cell r="F1325">
            <v>0</v>
          </cell>
        </row>
        <row r="1326">
          <cell r="B1326" t="str">
            <v>PSVE-3</v>
          </cell>
          <cell r="F1326" t="str">
            <v>TOT. MAT-1</v>
          </cell>
        </row>
        <row r="1327">
          <cell r="B1327" t="str">
            <v>ALAMBRAMARRECOC16MM2</v>
          </cell>
          <cell r="F1327">
            <v>0</v>
          </cell>
        </row>
        <row r="1328">
          <cell r="B1328" t="str">
            <v>VARILARMADOBLCOND035MM2</v>
          </cell>
          <cell r="F1328">
            <v>0</v>
          </cell>
        </row>
        <row r="1329">
          <cell r="B1329" t="str">
            <v>PERNMAQ16D356TYCT</v>
          </cell>
          <cell r="F1329">
            <v>0</v>
          </cell>
        </row>
        <row r="1330">
          <cell r="B1330" t="str">
            <v>ESPIG381LCRUPIN563</v>
          </cell>
          <cell r="F1330">
            <v>0</v>
          </cell>
        </row>
        <row r="1331">
          <cell r="B1331" t="str">
            <v>PCABCO13D152L076MA</v>
          </cell>
          <cell r="F1331">
            <v>0</v>
          </cell>
        </row>
        <row r="1332">
          <cell r="B1332" t="str">
            <v>PERNMAQ13D203TYCT</v>
          </cell>
          <cell r="F1332">
            <v>0</v>
          </cell>
        </row>
        <row r="1333">
          <cell r="B1333" t="str">
            <v>BRAZOSOPRT38X38X5MM0710L</v>
          </cell>
          <cell r="F1333">
            <v>0</v>
          </cell>
        </row>
        <row r="1334">
          <cell r="B1334" t="str">
            <v>CRMAD090115L120</v>
          </cell>
          <cell r="F1334">
            <v>0</v>
          </cell>
        </row>
        <row r="1335">
          <cell r="B1335" t="str">
            <v>ARANDCUADCURV57X57X5</v>
          </cell>
          <cell r="F1335">
            <v>0</v>
          </cell>
        </row>
        <row r="1336">
          <cell r="B1336" t="str">
            <v>ARANDCUADPLAN57X57X5</v>
          </cell>
          <cell r="F1336">
            <v>0</v>
          </cell>
        </row>
        <row r="1337">
          <cell r="B1337" t="str">
            <v>PERNMAQ16D508TYCT</v>
          </cell>
          <cell r="F1337">
            <v>0</v>
          </cell>
        </row>
        <row r="1338">
          <cell r="B1338" t="str">
            <v>ESPIG609LCABPIN563</v>
          </cell>
          <cell r="F1338">
            <v>0</v>
          </cell>
        </row>
        <row r="1339">
          <cell r="B1339" t="str">
            <v>AISLAPORCEPIN563</v>
          </cell>
          <cell r="F1339">
            <v>0</v>
          </cell>
        </row>
        <row r="1341">
          <cell r="B1341" t="str">
            <v xml:space="preserve">ARMADO TIPO </v>
          </cell>
          <cell r="F1341">
            <v>0</v>
          </cell>
        </row>
        <row r="1342">
          <cell r="B1342" t="str">
            <v>SRP-3</v>
          </cell>
          <cell r="F1342" t="str">
            <v>TOT. MAT-1</v>
          </cell>
        </row>
        <row r="1343">
          <cell r="B1343" t="str">
            <v>ALAMBRAMARRECOC16MM2</v>
          </cell>
          <cell r="F1343">
            <v>0</v>
          </cell>
        </row>
        <row r="1344">
          <cell r="B1344" t="str">
            <v>VARILARMADOBLCOND035MM2</v>
          </cell>
          <cell r="F1344">
            <v>0</v>
          </cell>
        </row>
        <row r="1345">
          <cell r="B1345" t="str">
            <v>PCABCO13D152L076MA</v>
          </cell>
          <cell r="F1345">
            <v>0</v>
          </cell>
        </row>
        <row r="1346">
          <cell r="B1346" t="str">
            <v>PERNMAQ13D203TYCT</v>
          </cell>
          <cell r="F1346">
            <v>0</v>
          </cell>
        </row>
        <row r="1347">
          <cell r="B1347" t="str">
            <v>BRAZOSOPRT38X38X5MM0710L</v>
          </cell>
          <cell r="F1347">
            <v>0</v>
          </cell>
        </row>
        <row r="1348">
          <cell r="B1348" t="str">
            <v>CRMAD090115L200</v>
          </cell>
          <cell r="F1348">
            <v>0</v>
          </cell>
        </row>
        <row r="1349">
          <cell r="B1349" t="str">
            <v>PERNMAQ16D356TYCT</v>
          </cell>
          <cell r="F1349">
            <v>0</v>
          </cell>
        </row>
        <row r="1350">
          <cell r="B1350" t="str">
            <v>ARANDCUADCURV57X57X5</v>
          </cell>
          <cell r="F1350">
            <v>0</v>
          </cell>
        </row>
        <row r="1351">
          <cell r="B1351" t="str">
            <v>ARANDCUADPLAN57X57X5</v>
          </cell>
          <cell r="F1351">
            <v>0</v>
          </cell>
        </row>
        <row r="1352">
          <cell r="B1352" t="str">
            <v>ESPIG381LCRUPIN563</v>
          </cell>
          <cell r="F1352">
            <v>0</v>
          </cell>
        </row>
        <row r="1353">
          <cell r="B1353" t="str">
            <v>PERNMAQ16D508TYCT</v>
          </cell>
          <cell r="F1353">
            <v>0</v>
          </cell>
        </row>
        <row r="1354">
          <cell r="B1354" t="str">
            <v>ESPIG609LCABPIN563</v>
          </cell>
          <cell r="F1354">
            <v>0</v>
          </cell>
        </row>
        <row r="1355">
          <cell r="B1355" t="str">
            <v>AISLAPORCEPIN563</v>
          </cell>
          <cell r="F1355">
            <v>0</v>
          </cell>
        </row>
        <row r="1357">
          <cell r="B1357" t="str">
            <v xml:space="preserve">ARMADO TIPO </v>
          </cell>
          <cell r="F1357">
            <v>0</v>
          </cell>
        </row>
        <row r="1358">
          <cell r="B1358" t="str">
            <v>DTRP-3</v>
          </cell>
          <cell r="F1358" t="str">
            <v>TOT. MAT-1</v>
          </cell>
        </row>
        <row r="1359">
          <cell r="B1359" t="str">
            <v>CONECDOBLVIABIME10MM16MM</v>
          </cell>
          <cell r="F1359">
            <v>0</v>
          </cell>
        </row>
        <row r="1360">
          <cell r="B1360" t="str">
            <v>ALAMBRAMARRECOC16MM2</v>
          </cell>
          <cell r="F1360">
            <v>0</v>
          </cell>
        </row>
        <row r="1361">
          <cell r="B1361" t="str">
            <v>VARILARMADOBLCOND035MM2</v>
          </cell>
          <cell r="F1361">
            <v>0</v>
          </cell>
        </row>
        <row r="1362">
          <cell r="B1362" t="str">
            <v>GRAPAANCLAJECOND035MM2</v>
          </cell>
          <cell r="F1362">
            <v>0</v>
          </cell>
        </row>
        <row r="1363">
          <cell r="B1363" t="str">
            <v>AISLAPORCESUSP523</v>
          </cell>
          <cell r="F1363">
            <v>0</v>
          </cell>
        </row>
        <row r="1364">
          <cell r="B1364" t="str">
            <v>TUERCAOJAL16D</v>
          </cell>
          <cell r="F1364">
            <v>0</v>
          </cell>
        </row>
        <row r="1365">
          <cell r="B1365" t="str">
            <v>GRILLETERECTO</v>
          </cell>
          <cell r="F1365">
            <v>0</v>
          </cell>
        </row>
        <row r="1366">
          <cell r="B1366" t="str">
            <v>ADAPTCASQOJOLARG</v>
          </cell>
          <cell r="F1366">
            <v>0</v>
          </cell>
        </row>
        <row r="1367">
          <cell r="B1367" t="str">
            <v>ADAPTANILBOLA</v>
          </cell>
          <cell r="F1367">
            <v>0</v>
          </cell>
        </row>
        <row r="1368">
          <cell r="B1368" t="str">
            <v>PCABCO13D152L076MA</v>
          </cell>
          <cell r="F1368">
            <v>0</v>
          </cell>
        </row>
        <row r="1369">
          <cell r="B1369" t="str">
            <v>PERNMAQ13D203TYCT</v>
          </cell>
          <cell r="F1369">
            <v>0</v>
          </cell>
        </row>
        <row r="1370">
          <cell r="B1370" t="str">
            <v>BRAZOSOPRT38X38X5MM0710L</v>
          </cell>
          <cell r="F1370">
            <v>0</v>
          </cell>
        </row>
        <row r="1371">
          <cell r="B1371" t="str">
            <v>BRAZOSOPRT38X38X5MM1350L</v>
          </cell>
          <cell r="F1371">
            <v>0</v>
          </cell>
        </row>
        <row r="1372">
          <cell r="B1372" t="str">
            <v>CRMAD090115L200</v>
          </cell>
          <cell r="F1372">
            <v>0</v>
          </cell>
        </row>
        <row r="1373">
          <cell r="B1373" t="str">
            <v>PERNDARM16D508TYCT</v>
          </cell>
          <cell r="F1373">
            <v>0</v>
          </cell>
        </row>
        <row r="1374">
          <cell r="B1374" t="str">
            <v>PERNMAQ16D356TYCT</v>
          </cell>
          <cell r="F1374">
            <v>0</v>
          </cell>
        </row>
        <row r="1375">
          <cell r="B1375" t="str">
            <v>ARANDCUADCURV57X57X5</v>
          </cell>
          <cell r="F1375">
            <v>0</v>
          </cell>
        </row>
        <row r="1376">
          <cell r="B1376" t="str">
            <v>ARANDCUADPLAN57X57X5</v>
          </cell>
          <cell r="F1376">
            <v>0</v>
          </cell>
        </row>
        <row r="1377">
          <cell r="B1377" t="str">
            <v>ESPIG381LCRUPIN563</v>
          </cell>
          <cell r="F1377">
            <v>0</v>
          </cell>
        </row>
        <row r="1378">
          <cell r="B1378" t="str">
            <v>AISLAPORCEPIN563</v>
          </cell>
          <cell r="F1378">
            <v>0</v>
          </cell>
        </row>
        <row r="1380">
          <cell r="B1380" t="str">
            <v xml:space="preserve">ARMADO TIPO </v>
          </cell>
          <cell r="F1380">
            <v>0</v>
          </cell>
        </row>
        <row r="1381">
          <cell r="B1381" t="str">
            <v>A1RP-3</v>
          </cell>
          <cell r="F1381" t="str">
            <v>TOT. MAT-1</v>
          </cell>
        </row>
        <row r="1382">
          <cell r="B1382" t="str">
            <v>ALAMBRAMARRECOC16MM2</v>
          </cell>
          <cell r="F1382">
            <v>0</v>
          </cell>
        </row>
        <row r="1383">
          <cell r="B1383" t="str">
            <v>VARILARMADOBLCOND035MM2</v>
          </cell>
          <cell r="F1383">
            <v>0</v>
          </cell>
        </row>
        <row r="1384">
          <cell r="B1384" t="str">
            <v>PCABCO13D152L076MA</v>
          </cell>
          <cell r="F1384">
            <v>0</v>
          </cell>
        </row>
        <row r="1385">
          <cell r="B1385" t="str">
            <v>PERNMAQ13D203TYCT</v>
          </cell>
          <cell r="F1385">
            <v>0</v>
          </cell>
        </row>
        <row r="1386">
          <cell r="B1386" t="str">
            <v>BRAZOSOPRT38X38X5MM0710L</v>
          </cell>
          <cell r="F1386">
            <v>0</v>
          </cell>
        </row>
        <row r="1387">
          <cell r="B1387" t="str">
            <v>CRMAD090115L120</v>
          </cell>
          <cell r="F1387">
            <v>0</v>
          </cell>
        </row>
        <row r="1388">
          <cell r="B1388" t="str">
            <v>PERNDARM16D508TYCT</v>
          </cell>
          <cell r="F1388">
            <v>0</v>
          </cell>
        </row>
        <row r="1389">
          <cell r="B1389" t="str">
            <v>ARANDCUADCURV57X57X5</v>
          </cell>
          <cell r="F1389">
            <v>0</v>
          </cell>
        </row>
        <row r="1390">
          <cell r="B1390" t="str">
            <v>ESPIG609LCABPIN563</v>
          </cell>
          <cell r="F1390">
            <v>0</v>
          </cell>
        </row>
        <row r="1391">
          <cell r="B1391" t="str">
            <v>AISLAPORCEPIN563</v>
          </cell>
          <cell r="F1391">
            <v>0</v>
          </cell>
        </row>
        <row r="1393">
          <cell r="B1393" t="str">
            <v xml:space="preserve">ARMADO TIPO </v>
          </cell>
          <cell r="F1393">
            <v>0</v>
          </cell>
        </row>
        <row r="1394">
          <cell r="B1394" t="str">
            <v>PA3-3(0)</v>
          </cell>
          <cell r="F1394" t="str">
            <v>TOT. MAT-1</v>
          </cell>
        </row>
        <row r="1395">
          <cell r="B1395" t="str">
            <v>GRAPAANCLAJECOND035MM2</v>
          </cell>
          <cell r="F1395">
            <v>0</v>
          </cell>
        </row>
        <row r="1396">
          <cell r="B1396" t="str">
            <v>GRAPADOBVIACOND035MM2</v>
          </cell>
          <cell r="F1396">
            <v>0</v>
          </cell>
        </row>
        <row r="1397">
          <cell r="B1397" t="str">
            <v>GRILLETERECTO</v>
          </cell>
          <cell r="F1397">
            <v>0</v>
          </cell>
        </row>
        <row r="1398">
          <cell r="B1398" t="str">
            <v>ADAPTCASQOJOLARG</v>
          </cell>
          <cell r="F1398">
            <v>0</v>
          </cell>
        </row>
        <row r="1399">
          <cell r="B1399" t="str">
            <v>ADAPTANILBOLA</v>
          </cell>
          <cell r="F1399">
            <v>0</v>
          </cell>
        </row>
        <row r="1400">
          <cell r="B1400" t="str">
            <v>GRAPAANCLAJECOND035MM2</v>
          </cell>
          <cell r="F1400">
            <v>0</v>
          </cell>
        </row>
        <row r="1401">
          <cell r="B1401" t="str">
            <v>AISLAPORCESUSP523</v>
          </cell>
          <cell r="F1401">
            <v>0</v>
          </cell>
        </row>
        <row r="1402">
          <cell r="B1402" t="str">
            <v>PERNOJAL16D305TYCT</v>
          </cell>
          <cell r="F1402">
            <v>0</v>
          </cell>
        </row>
        <row r="1403">
          <cell r="B1403" t="str">
            <v>ARANDCUADPLAN57X57X5</v>
          </cell>
          <cell r="F1403">
            <v>0</v>
          </cell>
        </row>
        <row r="1404">
          <cell r="B1404" t="str">
            <v>PERNMAQ16D305TYCT</v>
          </cell>
          <cell r="F1404">
            <v>0</v>
          </cell>
        </row>
        <row r="1406">
          <cell r="B1406" t="str">
            <v xml:space="preserve">ARMADO TIPO </v>
          </cell>
          <cell r="F1406">
            <v>0</v>
          </cell>
        </row>
        <row r="1407">
          <cell r="B1407" t="str">
            <v>PSEC-3P</v>
          </cell>
          <cell r="F1407" t="str">
            <v>TOT. MAT-1</v>
          </cell>
        </row>
        <row r="1408">
          <cell r="B1408" t="str">
            <v>GRILLETERECTO</v>
          </cell>
          <cell r="F1408">
            <v>0</v>
          </cell>
        </row>
        <row r="1409">
          <cell r="B1409" t="str">
            <v>FUSTIPEXPUL03ATIPOK</v>
          </cell>
          <cell r="F1409">
            <v>0</v>
          </cell>
        </row>
        <row r="1410">
          <cell r="B1410" t="str">
            <v>CONDCOBRERECCAB16MMPAT</v>
          </cell>
          <cell r="F1410">
            <v>0</v>
          </cell>
        </row>
        <row r="1411">
          <cell r="B1411" t="str">
            <v>CONECPERNPARTIDO16MM2</v>
          </cell>
          <cell r="F1411">
            <v>0</v>
          </cell>
        </row>
        <row r="1412">
          <cell r="B1412" t="str">
            <v>ADAPTCASQOJOLARG</v>
          </cell>
          <cell r="F1412">
            <v>0</v>
          </cell>
        </row>
        <row r="1413">
          <cell r="B1413" t="str">
            <v>ADAPTANILBOLA</v>
          </cell>
          <cell r="F1413">
            <v>0</v>
          </cell>
        </row>
        <row r="1414">
          <cell r="B1414" t="str">
            <v>PERNOJAL16D305TYCT</v>
          </cell>
          <cell r="F1414">
            <v>0</v>
          </cell>
        </row>
        <row r="1415">
          <cell r="B1415" t="str">
            <v>TUERCAOJAL16D</v>
          </cell>
          <cell r="F1415">
            <v>0</v>
          </cell>
        </row>
        <row r="1416">
          <cell r="B1416" t="str">
            <v>PERNMAQ16D305TYCT</v>
          </cell>
          <cell r="F1416">
            <v>0</v>
          </cell>
        </row>
        <row r="1417">
          <cell r="B1417" t="str">
            <v>ARANDCUADPLAN57X57X5</v>
          </cell>
          <cell r="F1417">
            <v>0</v>
          </cell>
        </row>
        <row r="1418">
          <cell r="B1418" t="str">
            <v>PARARRAOXIDMET27KV10KACL1</v>
          </cell>
          <cell r="F1418">
            <v>0</v>
          </cell>
        </row>
        <row r="1419">
          <cell r="B1419" t="str">
            <v>SECUNICUTOUT2738KV100A150BIL</v>
          </cell>
          <cell r="F1419">
            <v>0</v>
          </cell>
        </row>
        <row r="1420">
          <cell r="B1420" t="str">
            <v>BRAZOSOPRT38X38X5MM0710L</v>
          </cell>
          <cell r="F1420">
            <v>0</v>
          </cell>
        </row>
        <row r="1421">
          <cell r="B1421" t="str">
            <v>GRAPAANCLAJECOND035MM2</v>
          </cell>
          <cell r="F1421">
            <v>0</v>
          </cell>
        </row>
        <row r="1422">
          <cell r="B1422" t="str">
            <v>PERNDARM16D508TYCT</v>
          </cell>
          <cell r="F1422">
            <v>0</v>
          </cell>
        </row>
        <row r="1423">
          <cell r="B1423" t="str">
            <v>ARANDCUADCURV57X57X5</v>
          </cell>
          <cell r="F1423">
            <v>0</v>
          </cell>
        </row>
        <row r="1424">
          <cell r="B1424" t="str">
            <v>PERNMAQ13D203TYCT</v>
          </cell>
          <cell r="F1424">
            <v>0</v>
          </cell>
        </row>
        <row r="1425">
          <cell r="B1425" t="str">
            <v>PCABCO13D152L076MA</v>
          </cell>
          <cell r="F1425">
            <v>0</v>
          </cell>
        </row>
        <row r="1426">
          <cell r="B1426" t="str">
            <v>CRMAD090115L240</v>
          </cell>
          <cell r="F1426">
            <v>0</v>
          </cell>
        </row>
        <row r="1427">
          <cell r="B1427" t="str">
            <v>AISLAPORCESUSP523</v>
          </cell>
          <cell r="F1427">
            <v>0</v>
          </cell>
        </row>
        <row r="1429">
          <cell r="B1429" t="str">
            <v xml:space="preserve">ARMADO TIPO </v>
          </cell>
          <cell r="F1429">
            <v>0</v>
          </cell>
        </row>
        <row r="1430">
          <cell r="B1430" t="str">
            <v>STB</v>
          </cell>
          <cell r="F1430" t="str">
            <v>TOT. MAT-1</v>
          </cell>
        </row>
        <row r="1431">
          <cell r="B1431" t="str">
            <v>ALAMBRAMARRECOC16MM2</v>
          </cell>
          <cell r="F1431">
            <v>0</v>
          </cell>
        </row>
        <row r="1432">
          <cell r="B1432" t="str">
            <v>FUSTIPEXPUL03ATIPOK</v>
          </cell>
          <cell r="F1432">
            <v>0</v>
          </cell>
        </row>
        <row r="1433">
          <cell r="B1433" t="str">
            <v>CONECPERNPARTIDO16MM2</v>
          </cell>
          <cell r="F1433">
            <v>0</v>
          </cell>
        </row>
        <row r="1434">
          <cell r="B1434" t="str">
            <v>NYY1KV1X025</v>
          </cell>
          <cell r="F1434">
            <v>0</v>
          </cell>
        </row>
        <row r="1435">
          <cell r="B1435" t="str">
            <v>NYY1KV1X035</v>
          </cell>
          <cell r="F1435">
            <v>0</v>
          </cell>
        </row>
        <row r="1436">
          <cell r="B1436" t="str">
            <v>NYY1KV1X050</v>
          </cell>
          <cell r="F1436">
            <v>0</v>
          </cell>
        </row>
        <row r="1437">
          <cell r="B1437" t="str">
            <v>PERFILC76X38X635MM060L</v>
          </cell>
          <cell r="F1437">
            <v>0</v>
          </cell>
        </row>
        <row r="1438">
          <cell r="B1438" t="str">
            <v>TABDISTSETRIFA040KVA380220V</v>
          </cell>
          <cell r="F1438">
            <v>0</v>
          </cell>
        </row>
        <row r="1439">
          <cell r="B1439" t="str">
            <v>TABDISTSETRIFA075KVA380220V</v>
          </cell>
          <cell r="F1439">
            <v>0</v>
          </cell>
        </row>
        <row r="1440">
          <cell r="B1440" t="str">
            <v>CONDCOBRERECCAB16MMPAT</v>
          </cell>
          <cell r="F1440">
            <v>0</v>
          </cell>
        </row>
        <row r="1441">
          <cell r="B1441" t="str">
            <v>GRAPADOBVIACOND035MM2</v>
          </cell>
          <cell r="F1441">
            <v>0</v>
          </cell>
        </row>
        <row r="1442">
          <cell r="B1442" t="str">
            <v>ARANDCUADCURV76X76X21</v>
          </cell>
          <cell r="F1442">
            <v>0</v>
          </cell>
        </row>
        <row r="1443">
          <cell r="B1443" t="str">
            <v>ARANDCUADPLAN57X57X5</v>
          </cell>
          <cell r="F1443">
            <v>0</v>
          </cell>
        </row>
        <row r="1444">
          <cell r="B1444" t="str">
            <v>ARANDCUADCURV57X57X5</v>
          </cell>
          <cell r="F1444">
            <v>0</v>
          </cell>
        </row>
        <row r="1445">
          <cell r="B1445" t="str">
            <v>PERNMAQ13D203TYCT</v>
          </cell>
          <cell r="F1445">
            <v>0</v>
          </cell>
        </row>
        <row r="1446">
          <cell r="B1446" t="str">
            <v>PERNMAQ19D508TYCT</v>
          </cell>
          <cell r="F1446">
            <v>0</v>
          </cell>
        </row>
        <row r="1447">
          <cell r="B1447" t="str">
            <v>PERNMAQ16D356TYCT</v>
          </cell>
          <cell r="F1447">
            <v>0</v>
          </cell>
        </row>
        <row r="1448">
          <cell r="B1448" t="str">
            <v>PERNMAQ16D305TYCT</v>
          </cell>
          <cell r="F1448">
            <v>0</v>
          </cell>
        </row>
        <row r="1449">
          <cell r="B1449" t="str">
            <v>PCABCO13D152L076MA</v>
          </cell>
          <cell r="F1449">
            <v>0</v>
          </cell>
        </row>
        <row r="1450">
          <cell r="B1450" t="str">
            <v>BRAZOSOPRT38X38X5MM0710L</v>
          </cell>
          <cell r="F1450">
            <v>0</v>
          </cell>
        </row>
        <row r="1451">
          <cell r="B1451" t="str">
            <v>TRANSTRIFA040KVA229040023KV1</v>
          </cell>
          <cell r="F1451">
            <v>0</v>
          </cell>
        </row>
        <row r="1452">
          <cell r="B1452" t="str">
            <v>TRANSTRIFA075KVA229040023KV1</v>
          </cell>
          <cell r="F1452">
            <v>0</v>
          </cell>
        </row>
        <row r="1453">
          <cell r="B1453" t="str">
            <v>PARARRAOXIDMET27KV10KACL1</v>
          </cell>
          <cell r="F1453">
            <v>0</v>
          </cell>
        </row>
        <row r="1454">
          <cell r="B1454" t="str">
            <v>SECUNICUTOUT2738KV100A150BIL</v>
          </cell>
          <cell r="F1454">
            <v>0</v>
          </cell>
        </row>
        <row r="1455">
          <cell r="B1455" t="str">
            <v>ESPIG381LCRUPIN563</v>
          </cell>
          <cell r="F1455">
            <v>0</v>
          </cell>
        </row>
        <row r="1456">
          <cell r="B1456" t="str">
            <v>ESPIG609LCABPIN563</v>
          </cell>
          <cell r="F1456">
            <v>0</v>
          </cell>
        </row>
        <row r="1457">
          <cell r="B1457" t="str">
            <v>AISLAPORCEPIN563</v>
          </cell>
          <cell r="F1457">
            <v>0</v>
          </cell>
        </row>
        <row r="1458">
          <cell r="B1458" t="str">
            <v>TABMAD300300L025</v>
          </cell>
          <cell r="F1458">
            <v>0</v>
          </cell>
        </row>
        <row r="1459">
          <cell r="B1459" t="str">
            <v>CRMAD090254L240</v>
          </cell>
          <cell r="F1459">
            <v>0</v>
          </cell>
        </row>
        <row r="1460">
          <cell r="B1460" t="str">
            <v>CRMAD090115L240</v>
          </cell>
          <cell r="F1460">
            <v>0</v>
          </cell>
        </row>
        <row r="1462">
          <cell r="B1462" t="str">
            <v xml:space="preserve">ARMADO TIPO </v>
          </cell>
          <cell r="F1462">
            <v>0</v>
          </cell>
        </row>
        <row r="1463">
          <cell r="B1463" t="str">
            <v>STM-1P</v>
          </cell>
          <cell r="F1463" t="str">
            <v>TOT. MAT-1</v>
          </cell>
        </row>
        <row r="1464">
          <cell r="B1464" t="str">
            <v>NYY1KV1X025</v>
          </cell>
          <cell r="F1464">
            <v>0</v>
          </cell>
        </row>
        <row r="1465">
          <cell r="B1465" t="str">
            <v>NYY1KV1X035</v>
          </cell>
          <cell r="F1465">
            <v>0</v>
          </cell>
        </row>
        <row r="1466">
          <cell r="B1466" t="str">
            <v>NYY1KV1X050</v>
          </cell>
          <cell r="F1466">
            <v>0</v>
          </cell>
        </row>
        <row r="1467">
          <cell r="B1467" t="str">
            <v>TABDISTSETRIFA040KVA380220V</v>
          </cell>
          <cell r="F1467">
            <v>0</v>
          </cell>
        </row>
        <row r="1468">
          <cell r="B1468" t="str">
            <v>TABDISTSETRIFA075KVA380220V</v>
          </cell>
          <cell r="F1468">
            <v>0</v>
          </cell>
        </row>
        <row r="1469">
          <cell r="B1469" t="str">
            <v>PERNMAQ16D356TYCT</v>
          </cell>
          <cell r="F1469">
            <v>0</v>
          </cell>
        </row>
        <row r="1470">
          <cell r="B1470" t="str">
            <v>PCABCO13D152L076MA</v>
          </cell>
          <cell r="F1470">
            <v>0</v>
          </cell>
        </row>
        <row r="1471">
          <cell r="B1471" t="str">
            <v>CRMAD090115L240</v>
          </cell>
          <cell r="F1471">
            <v>0</v>
          </cell>
        </row>
        <row r="1472">
          <cell r="B1472" t="str">
            <v>PERNMAQ13D203TYCT</v>
          </cell>
          <cell r="F1472">
            <v>0</v>
          </cell>
        </row>
        <row r="1473">
          <cell r="B1473" t="str">
            <v>BRAZOSOPRT38X38X5MM0710L</v>
          </cell>
          <cell r="F1473">
            <v>0</v>
          </cell>
        </row>
        <row r="1474">
          <cell r="B1474" t="str">
            <v>CONDCOBRERECCAB16MMPAT</v>
          </cell>
          <cell r="F1474">
            <v>0</v>
          </cell>
        </row>
        <row r="1475">
          <cell r="B1475" t="str">
            <v>ARANDCUADCURV57X57X5</v>
          </cell>
          <cell r="F1475">
            <v>0</v>
          </cell>
        </row>
        <row r="1476">
          <cell r="B1476" t="str">
            <v>CONECPERNPARTIDO16MM2</v>
          </cell>
          <cell r="F1476">
            <v>0</v>
          </cell>
        </row>
        <row r="1477">
          <cell r="B1477" t="str">
            <v>FUSTIPEXPUL03ATIPOK</v>
          </cell>
          <cell r="F1477">
            <v>0</v>
          </cell>
        </row>
        <row r="1478">
          <cell r="B1478" t="str">
            <v>PERNMAQ16D305TYCT</v>
          </cell>
          <cell r="F1478">
            <v>0</v>
          </cell>
        </row>
        <row r="1479">
          <cell r="B1479" t="str">
            <v>PARARRAOXIDMET27KV10KACL1</v>
          </cell>
          <cell r="F1479">
            <v>0</v>
          </cell>
        </row>
        <row r="1480">
          <cell r="B1480" t="str">
            <v>ARANDCUADPLAN57X57X5</v>
          </cell>
          <cell r="F1480">
            <v>0</v>
          </cell>
        </row>
        <row r="1481">
          <cell r="B1481" t="str">
            <v>SECUNICUTOUT2738KV100A150BIL</v>
          </cell>
          <cell r="F1481">
            <v>0</v>
          </cell>
        </row>
        <row r="1482">
          <cell r="B1482" t="str">
            <v>TRANSTRIFA075KVA229040023KV1</v>
          </cell>
          <cell r="F1482">
            <v>0</v>
          </cell>
        </row>
        <row r="1483">
          <cell r="B1483" t="str">
            <v>AISLAPORCESUSP523</v>
          </cell>
          <cell r="F1483">
            <v>0</v>
          </cell>
        </row>
        <row r="1484">
          <cell r="B1484" t="str">
            <v>GRILLETERECTO</v>
          </cell>
          <cell r="F1484">
            <v>0</v>
          </cell>
        </row>
        <row r="1485">
          <cell r="B1485" t="str">
            <v>ADAPTCASQOJOLARG</v>
          </cell>
          <cell r="F1485">
            <v>0</v>
          </cell>
        </row>
        <row r="1486">
          <cell r="B1486" t="str">
            <v>ADAPTANILBOLA</v>
          </cell>
          <cell r="F1486">
            <v>0</v>
          </cell>
        </row>
        <row r="1487">
          <cell r="B1487" t="str">
            <v>TUERCAOJAL16D</v>
          </cell>
          <cell r="F1487">
            <v>0</v>
          </cell>
        </row>
        <row r="1488">
          <cell r="B1488" t="str">
            <v>GRAPAANCLAJECOND035MM2</v>
          </cell>
          <cell r="F1488">
            <v>0</v>
          </cell>
        </row>
        <row r="1490">
          <cell r="B1490" t="str">
            <v xml:space="preserve">ARMADO TIPO </v>
          </cell>
          <cell r="F1490">
            <v>0</v>
          </cell>
        </row>
        <row r="1491">
          <cell r="B1491" t="str">
            <v>STM-2P</v>
          </cell>
          <cell r="F1491" t="str">
            <v>TOT. MAT-1</v>
          </cell>
        </row>
        <row r="1492">
          <cell r="B1492" t="str">
            <v>NYY1KV1X025</v>
          </cell>
          <cell r="F1492">
            <v>0</v>
          </cell>
        </row>
        <row r="1493">
          <cell r="B1493" t="str">
            <v>NYY1KV1X035</v>
          </cell>
          <cell r="F1493">
            <v>0</v>
          </cell>
        </row>
        <row r="1494">
          <cell r="B1494" t="str">
            <v>NYY1KV1X050</v>
          </cell>
          <cell r="F1494">
            <v>0</v>
          </cell>
        </row>
        <row r="1495">
          <cell r="B1495" t="str">
            <v>TABDISTSETRIFA040KVA380220V</v>
          </cell>
          <cell r="F1495">
            <v>0</v>
          </cell>
        </row>
        <row r="1496">
          <cell r="B1496" t="str">
            <v>TABDISTSETRIFA075KVA380220V</v>
          </cell>
          <cell r="F1496">
            <v>0</v>
          </cell>
        </row>
        <row r="1497">
          <cell r="B1497" t="str">
            <v>PERNMAQ16D356TYCT</v>
          </cell>
          <cell r="F1497">
            <v>0</v>
          </cell>
        </row>
        <row r="1498">
          <cell r="B1498" t="str">
            <v>PCABCO13D152L076MA</v>
          </cell>
          <cell r="F1498">
            <v>0</v>
          </cell>
        </row>
        <row r="1499">
          <cell r="B1499" t="str">
            <v>CRMAD090115L240</v>
          </cell>
          <cell r="F1499">
            <v>0</v>
          </cell>
        </row>
        <row r="1500">
          <cell r="B1500" t="str">
            <v>PERNMAQ13D203TYCT</v>
          </cell>
          <cell r="F1500">
            <v>0</v>
          </cell>
        </row>
        <row r="1501">
          <cell r="B1501" t="str">
            <v>BRAZOSOPRT38X38X5MM0710L</v>
          </cell>
          <cell r="F1501">
            <v>0</v>
          </cell>
        </row>
        <row r="1502">
          <cell r="B1502" t="str">
            <v>CONDCOBRERECCAB16MMPAT</v>
          </cell>
          <cell r="F1502">
            <v>0</v>
          </cell>
        </row>
        <row r="1503">
          <cell r="B1503" t="str">
            <v>ARANDCUADCURV57X57X5</v>
          </cell>
          <cell r="F1503">
            <v>0</v>
          </cell>
        </row>
        <row r="1504">
          <cell r="B1504" t="str">
            <v>CONECPERNPARTIDO16MM2</v>
          </cell>
          <cell r="F1504">
            <v>0</v>
          </cell>
        </row>
        <row r="1505">
          <cell r="B1505" t="str">
            <v>FUSTIPEXPUL03ATIPOK</v>
          </cell>
          <cell r="F1505">
            <v>0</v>
          </cell>
        </row>
        <row r="1506">
          <cell r="B1506" t="str">
            <v>PERNMAQ16D305TYCT</v>
          </cell>
          <cell r="F1506">
            <v>0</v>
          </cell>
        </row>
        <row r="1507">
          <cell r="B1507" t="str">
            <v>PARARRAOXIDMET27KV10KACL1</v>
          </cell>
          <cell r="F1507">
            <v>0</v>
          </cell>
        </row>
        <row r="1508">
          <cell r="B1508" t="str">
            <v>ARANDCUADPLAN57X57X5</v>
          </cell>
          <cell r="F1508">
            <v>0</v>
          </cell>
        </row>
        <row r="1509">
          <cell r="B1509" t="str">
            <v>SECUNICUTOUT2738KV100A150BIL</v>
          </cell>
          <cell r="F1509">
            <v>0</v>
          </cell>
        </row>
        <row r="1510">
          <cell r="B1510" t="str">
            <v>TRANSTRIFA075KVA229040023KV1</v>
          </cell>
          <cell r="F1510">
            <v>0</v>
          </cell>
        </row>
        <row r="1511">
          <cell r="B1511" t="str">
            <v>ESPIG381LCRUPIN563</v>
          </cell>
          <cell r="F1511">
            <v>0</v>
          </cell>
        </row>
        <row r="1512">
          <cell r="B1512" t="str">
            <v>ESPIG609LCABPIN563</v>
          </cell>
          <cell r="F1512">
            <v>0</v>
          </cell>
        </row>
        <row r="1513">
          <cell r="B1513" t="str">
            <v>AISLAPORCEPIN563</v>
          </cell>
          <cell r="F1513">
            <v>0</v>
          </cell>
        </row>
        <row r="1514">
          <cell r="B1514" t="str">
            <v>ALAMBRAMARRECOC16MM2</v>
          </cell>
          <cell r="F1514">
            <v>0</v>
          </cell>
        </row>
        <row r="1515">
          <cell r="B1515" t="str">
            <v>VARILARMASIMPCOND025MM2</v>
          </cell>
          <cell r="F1515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-GRAL"/>
      <sheetName val="GG"/>
      <sheetName val="Crong-Valoriz"/>
      <sheetName val="CURVA S"/>
      <sheetName val="RES-LP"/>
      <sheetName val="Hoja1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ANEXO 10"/>
      <sheetName val="ANEXO 11"/>
      <sheetName val="CAL-EQUIPOS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eI_DGER 30mayo2017"/>
      <sheetName val="FPOL-RS"/>
      <sheetName val="Equipo"/>
      <sheetName val="MO"/>
      <sheetName val="Materiales"/>
      <sheetName val="Maquinaria"/>
      <sheetName val="Expediente de Replanteo"/>
    </sheetNames>
    <sheetDataSet>
      <sheetData sheetId="0">
        <row r="22">
          <cell r="F22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23">
          <cell r="F23" t="str">
            <v>PIURA</v>
          </cell>
        </row>
        <row r="24">
          <cell r="J24" t="str">
            <v>T.C. (S//US$): 3,642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tio Líneas"/>
      <sheetName val="Ratio Redes"/>
      <sheetName val="Previo LP"/>
      <sheetName val="Item No 01"/>
      <sheetName val="RESUMEN GRAL"/>
      <sheetName val="G. GENERALES"/>
      <sheetName val="CRONOG-VALORIZ"/>
      <sheetName val="RES SOLO OBRAS"/>
      <sheetName val="RES SOLO ESTUDIO"/>
      <sheetName val="RESUMEN LP"/>
      <sheetName val="SUMI LP"/>
      <sheetName val="MONT LP"/>
      <sheetName val="TRAN LP"/>
      <sheetName val="POLINO LP"/>
      <sheetName val="Previo RP"/>
      <sheetName val="RESUMEN RP"/>
      <sheetName val="SUMI RP"/>
      <sheetName val="MONT RP"/>
      <sheetName val="TRAN RP"/>
      <sheetName val="POLINO RP"/>
      <sheetName val="Previo RS"/>
      <sheetName val="RESUMEN RS"/>
      <sheetName val="SUMI RS"/>
      <sheetName val="MONT RS"/>
      <sheetName val="TRAN RS"/>
      <sheetName val="POLINO RS"/>
      <sheetName val="EQUIPO"/>
      <sheetName val="MO"/>
      <sheetName val="MATERIALES"/>
      <sheetName val="MAQUINARIA"/>
    </sheetNames>
    <sheetDataSet>
      <sheetData sheetId="0">
        <row r="1">
          <cell r="Q1">
            <v>0</v>
          </cell>
        </row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B5">
            <v>2.75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udio Suministros MEM"/>
    </sheetNames>
    <sheetDataSet>
      <sheetData sheetId="0">
        <row r="7">
          <cell r="Q7">
            <v>2</v>
          </cell>
          <cell r="R7">
            <v>1</v>
          </cell>
          <cell r="S7">
            <v>1</v>
          </cell>
          <cell r="T7">
            <v>1</v>
          </cell>
        </row>
        <row r="8">
          <cell r="Q8">
            <v>6</v>
          </cell>
          <cell r="R8">
            <v>1</v>
          </cell>
          <cell r="S8">
            <v>1</v>
          </cell>
          <cell r="T8">
            <v>1</v>
          </cell>
        </row>
        <row r="9">
          <cell r="Q9">
            <v>8</v>
          </cell>
          <cell r="R9">
            <v>1</v>
          </cell>
          <cell r="S9">
            <v>1</v>
          </cell>
          <cell r="T9">
            <v>1</v>
          </cell>
        </row>
        <row r="10">
          <cell r="Q10">
            <v>11</v>
          </cell>
          <cell r="R10">
            <v>1</v>
          </cell>
          <cell r="S10">
            <v>1</v>
          </cell>
          <cell r="T10">
            <v>1</v>
          </cell>
        </row>
        <row r="11">
          <cell r="Q11">
            <v>19</v>
          </cell>
          <cell r="R11">
            <v>1</v>
          </cell>
          <cell r="S11">
            <v>1</v>
          </cell>
          <cell r="T11">
            <v>1</v>
          </cell>
        </row>
        <row r="12">
          <cell r="Q12">
            <v>22</v>
          </cell>
          <cell r="R12">
            <v>1</v>
          </cell>
          <cell r="S12">
            <v>1</v>
          </cell>
          <cell r="T12">
            <v>1</v>
          </cell>
        </row>
        <row r="13">
          <cell r="Q13">
            <v>30</v>
          </cell>
          <cell r="R13">
            <v>1</v>
          </cell>
          <cell r="S13">
            <v>1</v>
          </cell>
          <cell r="T13">
            <v>1</v>
          </cell>
        </row>
        <row r="14">
          <cell r="Q14">
            <v>31</v>
          </cell>
          <cell r="R14">
            <v>1</v>
          </cell>
          <cell r="S14">
            <v>1</v>
          </cell>
          <cell r="T14">
            <v>1</v>
          </cell>
        </row>
        <row r="15">
          <cell r="Q15">
            <v>42</v>
          </cell>
          <cell r="R15">
            <v>1</v>
          </cell>
          <cell r="S15">
            <v>1</v>
          </cell>
          <cell r="T15">
            <v>1</v>
          </cell>
        </row>
        <row r="16">
          <cell r="Q16">
            <v>43</v>
          </cell>
          <cell r="R16">
            <v>1</v>
          </cell>
          <cell r="S16">
            <v>1</v>
          </cell>
          <cell r="T16">
            <v>1</v>
          </cell>
        </row>
        <row r="17">
          <cell r="Q17">
            <v>48</v>
          </cell>
          <cell r="R17">
            <v>1</v>
          </cell>
          <cell r="S17">
            <v>1</v>
          </cell>
          <cell r="T17">
            <v>1</v>
          </cell>
        </row>
        <row r="18">
          <cell r="Q18">
            <v>49</v>
          </cell>
          <cell r="R18">
            <v>1</v>
          </cell>
          <cell r="S18">
            <v>1</v>
          </cell>
          <cell r="T18">
            <v>1</v>
          </cell>
        </row>
        <row r="19">
          <cell r="Q19">
            <v>61</v>
          </cell>
          <cell r="R19">
            <v>1</v>
          </cell>
          <cell r="S19">
            <v>1</v>
          </cell>
          <cell r="T19">
            <v>1</v>
          </cell>
        </row>
        <row r="20">
          <cell r="Q20">
            <v>62</v>
          </cell>
          <cell r="R20">
            <v>1</v>
          </cell>
          <cell r="S20">
            <v>1</v>
          </cell>
          <cell r="T20">
            <v>1</v>
          </cell>
        </row>
        <row r="21">
          <cell r="Q21">
            <v>65</v>
          </cell>
          <cell r="R21">
            <v>1</v>
          </cell>
          <cell r="S21">
            <v>1</v>
          </cell>
          <cell r="T21">
            <v>1</v>
          </cell>
        </row>
        <row r="22">
          <cell r="Q22">
            <v>72</v>
          </cell>
          <cell r="R22">
            <v>1</v>
          </cell>
          <cell r="S22">
            <v>1</v>
          </cell>
          <cell r="T22">
            <v>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CAP-120mm2"/>
      <sheetName val="Fundacion"/>
      <sheetName val="cantidades"/>
      <sheetName val="Identificación Cargas _Anexo 4_"/>
      <sheetName val="Impuestos"/>
      <sheetName val="Sum-LT"/>
      <sheetName val="SE Sum-Tara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F7">
            <v>0</v>
          </cell>
        </row>
      </sheetData>
      <sheetData sheetId="26"/>
      <sheetData sheetId="27">
        <row r="7">
          <cell r="F7">
            <v>0</v>
          </cell>
        </row>
      </sheetData>
      <sheetData sheetId="28"/>
      <sheetData sheetId="29">
        <row r="7">
          <cell r="F7">
            <v>0</v>
          </cell>
        </row>
      </sheetData>
      <sheetData sheetId="30">
        <row r="7">
          <cell r="F7">
            <v>0</v>
          </cell>
        </row>
      </sheetData>
      <sheetData sheetId="31"/>
      <sheetData sheetId="32">
        <row r="7">
          <cell r="F7">
            <v>0</v>
          </cell>
        </row>
      </sheetData>
      <sheetData sheetId="33"/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>
        <row r="7">
          <cell r="F7">
            <v>0</v>
          </cell>
        </row>
      </sheetData>
      <sheetData sheetId="39">
        <row r="7">
          <cell r="F7">
            <v>0</v>
          </cell>
        </row>
      </sheetData>
      <sheetData sheetId="40"/>
      <sheetData sheetId="41">
        <row r="7">
          <cell r="F7">
            <v>0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General"/>
      <sheetName val="GG"/>
      <sheetName val="RESUMEN LP"/>
      <sheetName val="LP SUMI"/>
      <sheetName val="LP MONT"/>
      <sheetName val="LP TRSP"/>
      <sheetName val="FPOL-LP"/>
      <sheetName val="RESUMEN RP"/>
      <sheetName val="RP SUMI"/>
      <sheetName val="RP MONT"/>
      <sheetName val="RP TRANSP"/>
      <sheetName val="FPOL-RP"/>
      <sheetName val="RESUMEN RS"/>
      <sheetName val="RS SUMI"/>
      <sheetName val="RS MONT"/>
      <sheetName val="RS-TRANSP"/>
      <sheetName val="FPOL-RS"/>
      <sheetName val="Cronograma Valorizado"/>
      <sheetName val="Equipo"/>
      <sheetName val="MO"/>
      <sheetName val="Materiales"/>
      <sheetName val="Maquinaria"/>
      <sheetName val="PreciosTransporte"/>
    </sheetNames>
    <sheetDataSet>
      <sheetData sheetId="0">
        <row r="6">
          <cell r="A6" t="str">
            <v>AMPLIACION DEL SISTEMA DE ELECTRIFICACION RURAL PRIMARIO Y SECUNDARIO DE 13 CASERIOS EN EL DISTRITO DE SANTIAGO DE CHUCO, PROVINCIA DE SANTIAGO DE CHUCO - LA LIBERTAD</v>
          </cell>
        </row>
        <row r="8">
          <cell r="C8" t="str">
            <v>LA LIBERTAD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 refreshError="1">
        <row r="46"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Inversiones"/>
      <sheetName val="Datos de Entrada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POBLACION"/>
      <sheetName val="ESTABILIDAD"/>
      <sheetName val="DATOS"/>
      <sheetName val="Cotizaciones"/>
      <sheetName val="tipo de cambio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>
        <row r="1">
          <cell r="B1" t="str">
            <v>VALOR REFERENCIAL</v>
          </cell>
        </row>
      </sheetData>
      <sheetData sheetId="86">
        <row r="1">
          <cell r="B1" t="str">
            <v>VALOR REFERENCIAL</v>
          </cell>
        </row>
      </sheetData>
      <sheetData sheetId="87">
        <row r="1">
          <cell r="B1" t="str">
            <v>VALOR REFERENCIAL</v>
          </cell>
        </row>
      </sheetData>
      <sheetData sheetId="88">
        <row r="1">
          <cell r="B1" t="str">
            <v>VALOR REFERENCIAL</v>
          </cell>
        </row>
      </sheetData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>
        <row r="1">
          <cell r="B1" t="str">
            <v>VALOR REFERENCIAL</v>
          </cell>
        </row>
      </sheetData>
      <sheetData sheetId="94">
        <row r="1">
          <cell r="B1" t="str">
            <v>VALOR REFERENCIAL</v>
          </cell>
        </row>
      </sheetData>
      <sheetData sheetId="95">
        <row r="1">
          <cell r="B1" t="str">
            <v>VALOR REFERENCIAL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INVOICE"/>
      <sheetName val="Others"/>
      <sheetName val="CAP_120mm2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CuadroIyII"/>
      <sheetName val="Hoja1"/>
      <sheetName val="Costos Alt2"/>
      <sheetName val="AnexoVI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uadroIyII"/>
      <sheetName val="Hoja1"/>
      <sheetName val="Costos Alt2"/>
      <sheetName val="AnexoVI"/>
      <sheetName val="CONFIGURACIÓN"/>
      <sheetName val="ING. DATOS"/>
      <sheetName val="#¡REF"/>
      <sheetName val="DATOS TECNICOS SE SANTUARIO"/>
      <sheetName val="PROC MANT LT 1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Unit-op-cartel"/>
      <sheetName val="datos base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Datos de Entrada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>
        <row r="4">
          <cell r="A4" t="str">
            <v>FORMULARIO DE RESUMEN DEL VNR A 
NIVEL DE EMPRESA</v>
          </cell>
        </row>
      </sheetData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Analisis de la T.C. - 2.2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DATA"/>
      <sheetName val="PLANILLA LP 22.9 kV"/>
      <sheetName val="CALCULO"/>
      <sheetName val="DATOS TECNICOS SE SANTUARIO"/>
      <sheetName val="PROC MANT LT 1"/>
      <sheetName val="UNITARIOS-RP"/>
      <sheetName val="CALENDARIO"/>
      <sheetName val="REV3"/>
      <sheetName val="CAP-120mm2"/>
      <sheetName val="INGRESO"/>
      <sheetName val="RES"/>
      <sheetName val="CENSO93"/>
      <sheetName val="FORMA-SE2"/>
      <sheetName val="HIDRANDINA"/>
      <sheetName val="FORMA-LS3"/>
      <sheetName val="FORMA-LS1-LS2"/>
      <sheetName val="FORMA- RE1"/>
      <sheetName val="FORMA-RL1"/>
      <sheetName val="FORMA-ST1"/>
      <sheetName val="Datos de Entrada"/>
      <sheetName val="1.2.1 RENDIMIENTO"/>
      <sheetName val="Plani"/>
      <sheetName val="Hoja79"/>
      <sheetName val="CC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CuadroIyII"/>
      <sheetName val="Costos Alt2"/>
      <sheetName val="AnexoVI"/>
      <sheetName val="Desmonteras"/>
      <sheetName val="Precios Estruc."/>
      <sheetName val="PLAN R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FlujoTJ"/>
      <sheetName val="EVAL"/>
      <sheetName val="Tipo de Cambio"/>
      <sheetName val="3__Manpower"/>
      <sheetName val="DATOS_DE_CAMPO"/>
      <sheetName val="YTD Comments"/>
      <sheetName val="BasE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ARRS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/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ENTR_F"/>
      <sheetName val="3_1"/>
      <sheetName val="CAP-120mm2"/>
      <sheetName val="CAP_120mm2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PTTOREDES"/>
      <sheetName val="Montaje.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Hoja4"/>
      <sheetName val="FP"/>
      <sheetName val="Hoja1"/>
      <sheetName val="EVAL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#¡ref"/>
      <sheetName val="TRANSPORTE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Montaje."/>
      <sheetName val="PTTOREDES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CENSO93"/>
      <sheetName val="E230 - E233"/>
      <sheetName val="#¡REF"/>
      <sheetName val="DATOS TECNICOS SE SANTUARIO"/>
      <sheetName val="PROC MANT LT 1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CAP-120mm2"/>
      <sheetName val="Factors"/>
      <sheetName val="DATOS DE CAMPO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BASE DE DATOS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EVAL"/>
      <sheetName val="Base"/>
      <sheetName val="Impuestos"/>
      <sheetName val="#¡REF"/>
      <sheetName val="DATOS DE CAMPO"/>
      <sheetName val="LOCALIDAD"/>
      <sheetName val="BASE-RS"/>
      <sheetName val="Excav. Postes"/>
      <sheetName val="MONT RS"/>
      <sheetName val="SUM RS"/>
      <sheetName val="TRANSP LP"/>
      <sheetName val="TRANSP RS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1.2.1 RENDIMIENTO"/>
      <sheetName val="FORMA-SE2"/>
      <sheetName val="Resumen-RS"/>
      <sheetName val="Datos de Entrada"/>
      <sheetName val="Plani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Hoja79"/>
      <sheetName val="CC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3. Manpower"/>
      <sheetName val="Matriz"/>
      <sheetName val="DATOS DE CAMPO"/>
      <sheetName val="FlujoTJ"/>
      <sheetName val="EVAL"/>
      <sheetName val="P-A-D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FORMA-LS3"/>
      <sheetName val="FORMA-LS1-LS2"/>
      <sheetName val="FORMA- RE1"/>
      <sheetName val="FORMA-RL1"/>
      <sheetName val="FORMA-ST1"/>
      <sheetName val="OBRAS CIVILES"/>
      <sheetName val="Curva S diaria"/>
      <sheetName val="HIDRANDINA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BLA PROVEEDORES"/>
      <sheetName val="RP_JIMBE2"/>
      <sheetName val="Proyecciones"/>
      <sheetName val="B_DATOS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U.A."/>
      <sheetName val="Detalle"/>
      <sheetName val="Desmonteras"/>
      <sheetName val="ESTATU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YTD_Comments1"/>
      <sheetName val="YTD_Comments2"/>
      <sheetName val="atriz"/>
      <sheetName val="³-A-D"/>
      <sheetName val="I-WATT"/>
      <sheetName val="FinData"/>
      <sheetName val="S&amp;U OF FUNDS"/>
      <sheetName val="BALANCE"/>
      <sheetName val="DETAL0598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PLAN_RS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Resumen02"/>
      <sheetName val="PROG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>
        <row r="287">
          <cell r="B287">
            <v>0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/>
      <sheetData sheetId="277"/>
      <sheetData sheetId="278">
        <row r="287">
          <cell r="B287">
            <v>0</v>
          </cell>
        </row>
      </sheetData>
      <sheetData sheetId="279">
        <row r="287">
          <cell r="B287">
            <v>0</v>
          </cell>
        </row>
      </sheetData>
      <sheetData sheetId="280">
        <row r="287">
          <cell r="B287">
            <v>0</v>
          </cell>
        </row>
      </sheetData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>
        <row r="287">
          <cell r="B287">
            <v>0</v>
          </cell>
        </row>
      </sheetData>
      <sheetData sheetId="297">
        <row r="287">
          <cell r="B287">
            <v>0</v>
          </cell>
        </row>
      </sheetData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0"/>
  <sheetViews>
    <sheetView tabSelected="1" view="pageBreakPreview" topLeftCell="B1" zoomScale="90" zoomScaleNormal="80" zoomScaleSheetLayoutView="90" workbookViewId="0">
      <selection activeCell="K8" sqref="K8"/>
    </sheetView>
  </sheetViews>
  <sheetFormatPr baseColWidth="10" defaultRowHeight="15" x14ac:dyDescent="0.25"/>
  <cols>
    <col min="2" max="2" width="21.42578125" customWidth="1"/>
    <col min="3" max="11" width="17.28515625" customWidth="1"/>
    <col min="12" max="12" width="0.85546875" style="23" customWidth="1"/>
    <col min="13" max="13" width="21.5703125" customWidth="1"/>
    <col min="14" max="14" width="18" customWidth="1"/>
    <col min="15" max="15" width="13.5703125" bestFit="1" customWidth="1"/>
    <col min="19" max="19" width="13" customWidth="1"/>
  </cols>
  <sheetData>
    <row r="1" spans="2:24" s="2" customFormat="1" ht="29.25" customHeight="1" x14ac:dyDescent="0.25">
      <c r="B1" s="378" t="s">
        <v>50</v>
      </c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</row>
    <row r="2" spans="2:24" s="2" customFormat="1" ht="17.25" customHeight="1" x14ac:dyDescent="0.25">
      <c r="L2" s="22"/>
    </row>
    <row r="3" spans="2:24" s="2" customFormat="1" ht="39.75" customHeight="1" x14ac:dyDescent="0.25">
      <c r="B3" s="79" t="s">
        <v>51</v>
      </c>
      <c r="C3" s="79" t="str">
        <f>+LP!C3</f>
        <v>: “AMPLIACIÓN DEL SERVICIO DE ENERGÍA ELÉCTRICA EN LA PROVINCIA DEL SANTA Y EN EL DISTRITO DE PAMPAROMAS – DEPARTAMENTO DE ANCASH”</v>
      </c>
      <c r="D3" s="79"/>
      <c r="E3" s="79"/>
      <c r="F3" s="79"/>
      <c r="G3" s="373"/>
      <c r="H3" s="373"/>
      <c r="I3" s="373"/>
      <c r="J3" s="373"/>
      <c r="K3" s="373"/>
      <c r="L3" s="373"/>
      <c r="M3" s="373"/>
      <c r="N3" s="3"/>
      <c r="O3" s="3"/>
      <c r="P3" s="3"/>
      <c r="Q3" s="3"/>
      <c r="R3" s="3"/>
      <c r="S3" s="3"/>
      <c r="T3" s="3"/>
      <c r="U3" s="3"/>
      <c r="V3" s="3"/>
      <c r="W3" s="71"/>
      <c r="X3" s="3"/>
    </row>
    <row r="4" spans="2:24" s="78" customFormat="1" ht="21" customHeight="1" x14ac:dyDescent="0.25">
      <c r="B4" s="79" t="s">
        <v>55</v>
      </c>
      <c r="C4" s="80" t="s">
        <v>62</v>
      </c>
      <c r="D4" s="79"/>
      <c r="E4" s="79"/>
      <c r="F4" s="79"/>
      <c r="G4" s="80"/>
      <c r="H4" s="80"/>
      <c r="I4" s="80"/>
      <c r="J4" s="80"/>
      <c r="K4" s="80"/>
      <c r="L4" s="82"/>
      <c r="M4" s="80"/>
      <c r="N4" s="14"/>
      <c r="O4" s="14"/>
      <c r="P4" s="14"/>
      <c r="Q4" s="29"/>
      <c r="R4" s="29"/>
      <c r="S4" s="29"/>
      <c r="T4" s="29"/>
      <c r="U4" s="29"/>
      <c r="V4" s="29"/>
      <c r="W4" s="72"/>
      <c r="X4" s="29"/>
    </row>
    <row r="5" spans="2:24" s="2" customFormat="1" ht="21" customHeight="1" x14ac:dyDescent="0.25">
      <c r="B5" s="79" t="s">
        <v>52</v>
      </c>
      <c r="C5" s="79" t="s">
        <v>69</v>
      </c>
      <c r="D5" s="79"/>
      <c r="E5" s="79"/>
      <c r="F5" s="79"/>
      <c r="G5" s="80"/>
      <c r="H5" s="80"/>
      <c r="I5" s="80"/>
      <c r="J5" s="80"/>
      <c r="K5" s="80"/>
      <c r="L5" s="82"/>
      <c r="M5" s="80"/>
      <c r="N5" s="14"/>
      <c r="O5" s="14"/>
      <c r="P5" s="14"/>
      <c r="Q5" s="29"/>
      <c r="R5" s="29"/>
      <c r="S5" s="29"/>
      <c r="T5" s="29"/>
      <c r="U5" s="29"/>
      <c r="V5" s="29"/>
      <c r="W5" s="72"/>
      <c r="X5" s="29"/>
    </row>
    <row r="6" spans="2:24" s="78" customFormat="1" ht="21" customHeight="1" x14ac:dyDescent="0.25">
      <c r="B6" s="79" t="s">
        <v>53</v>
      </c>
      <c r="C6" s="79" t="s">
        <v>428</v>
      </c>
      <c r="D6" s="79"/>
      <c r="E6" s="79"/>
      <c r="F6" s="79"/>
      <c r="G6" s="80"/>
      <c r="H6" s="80"/>
      <c r="I6" s="80"/>
      <c r="J6" s="80"/>
      <c r="K6" s="80"/>
      <c r="L6" s="82"/>
      <c r="M6" s="80"/>
      <c r="N6" s="14"/>
      <c r="O6" s="14"/>
      <c r="P6" s="14"/>
      <c r="Q6" s="29"/>
      <c r="R6" s="29"/>
      <c r="S6" s="29"/>
      <c r="T6" s="29"/>
      <c r="U6" s="29"/>
      <c r="V6" s="29"/>
      <c r="W6" s="72"/>
      <c r="X6" s="29"/>
    </row>
    <row r="7" spans="2:24" s="78" customFormat="1" ht="33.75" customHeight="1" x14ac:dyDescent="0.25">
      <c r="B7" s="86" t="s">
        <v>160</v>
      </c>
      <c r="C7" s="79" t="s">
        <v>162</v>
      </c>
      <c r="D7" s="79"/>
      <c r="E7" s="79"/>
      <c r="F7" s="79"/>
      <c r="G7" s="80"/>
      <c r="H7" s="80"/>
      <c r="I7" s="80"/>
      <c r="J7" s="80"/>
      <c r="K7" s="80"/>
      <c r="L7" s="82"/>
      <c r="M7" s="80"/>
      <c r="N7" s="14"/>
      <c r="O7" s="14"/>
      <c r="P7" s="14"/>
      <c r="Q7" s="29"/>
      <c r="R7" s="29"/>
      <c r="S7" s="29"/>
      <c r="T7" s="29"/>
      <c r="U7" s="29"/>
      <c r="V7" s="29"/>
      <c r="W7" s="72"/>
      <c r="X7" s="29"/>
    </row>
    <row r="8" spans="2:24" s="78" customFormat="1" ht="33.75" customHeight="1" x14ac:dyDescent="0.25">
      <c r="B8" s="86" t="s">
        <v>161</v>
      </c>
      <c r="C8" s="79" t="s">
        <v>427</v>
      </c>
      <c r="D8" s="79"/>
      <c r="E8" s="79"/>
      <c r="F8" s="79"/>
      <c r="G8" s="80"/>
      <c r="H8" s="80"/>
      <c r="I8" s="80"/>
      <c r="J8" s="80"/>
      <c r="K8" s="80"/>
      <c r="L8" s="82"/>
      <c r="M8" s="80"/>
      <c r="N8" s="14"/>
      <c r="O8" s="14"/>
      <c r="P8" s="14"/>
      <c r="Q8" s="29"/>
      <c r="R8" s="29"/>
      <c r="S8" s="29"/>
      <c r="T8" s="29"/>
      <c r="U8" s="29"/>
      <c r="V8" s="29"/>
      <c r="W8" s="72"/>
      <c r="X8" s="29"/>
    </row>
    <row r="9" spans="2:24" s="2" customFormat="1" ht="35.25" customHeight="1" x14ac:dyDescent="0.25">
      <c r="B9" s="86" t="s">
        <v>155</v>
      </c>
      <c r="C9" s="79" t="s">
        <v>172</v>
      </c>
      <c r="D9" s="79"/>
      <c r="E9" s="79"/>
      <c r="F9" s="79"/>
      <c r="G9" s="80"/>
      <c r="H9" s="80"/>
      <c r="I9" s="80"/>
      <c r="J9" s="80"/>
      <c r="K9" s="80"/>
      <c r="L9" s="82"/>
      <c r="M9" s="80"/>
      <c r="N9" s="14"/>
      <c r="O9" s="28"/>
      <c r="P9" s="14"/>
      <c r="Q9" s="29"/>
      <c r="R9" s="29"/>
      <c r="S9" s="29"/>
      <c r="T9" s="29"/>
      <c r="U9" s="29"/>
      <c r="V9" s="29"/>
      <c r="W9" s="72"/>
      <c r="X9" s="29"/>
    </row>
    <row r="10" spans="2:24" s="2" customFormat="1" ht="12" customHeight="1" thickBot="1" x14ac:dyDescent="0.3">
      <c r="B10" s="86"/>
      <c r="C10" s="79"/>
      <c r="D10" s="79"/>
      <c r="E10" s="79"/>
      <c r="F10" s="79"/>
      <c r="G10" s="80"/>
      <c r="H10" s="80"/>
      <c r="I10" s="80"/>
      <c r="J10" s="80"/>
      <c r="K10" s="80"/>
      <c r="L10" s="82"/>
      <c r="M10" s="80"/>
      <c r="N10" s="14"/>
      <c r="O10" s="28"/>
      <c r="P10" s="14"/>
      <c r="Q10" s="29"/>
      <c r="R10" s="29"/>
      <c r="S10" s="29"/>
      <c r="T10" s="29"/>
      <c r="U10" s="29"/>
      <c r="V10" s="29"/>
      <c r="W10" s="72"/>
      <c r="X10" s="29"/>
    </row>
    <row r="11" spans="2:24" s="73" customFormat="1" ht="31.5" customHeight="1" thickBot="1" x14ac:dyDescent="0.25">
      <c r="B11" s="367"/>
      <c r="C11" s="380" t="s">
        <v>159</v>
      </c>
      <c r="D11" s="381"/>
      <c r="E11" s="381"/>
      <c r="F11" s="382"/>
      <c r="G11" s="381" t="s">
        <v>163</v>
      </c>
      <c r="H11" s="381"/>
      <c r="I11" s="381"/>
      <c r="J11" s="381"/>
      <c r="K11" s="382"/>
      <c r="L11" s="77"/>
      <c r="M11" s="65"/>
      <c r="N11" s="14"/>
      <c r="O11" s="28"/>
      <c r="P11" s="14"/>
      <c r="Q11" s="29"/>
      <c r="R11" s="29"/>
      <c r="S11" s="29"/>
      <c r="T11" s="29"/>
      <c r="U11" s="29"/>
      <c r="V11" s="29"/>
      <c r="W11" s="72"/>
      <c r="X11" s="29"/>
    </row>
    <row r="12" spans="2:24" s="73" customFormat="1" ht="48" customHeight="1" thickBot="1" x14ac:dyDescent="0.3">
      <c r="B12" s="151" t="s">
        <v>60</v>
      </c>
      <c r="C12" s="356" t="s">
        <v>151</v>
      </c>
      <c r="D12" s="356" t="s">
        <v>152</v>
      </c>
      <c r="E12" s="356" t="s">
        <v>153</v>
      </c>
      <c r="F12" s="356" t="s">
        <v>154</v>
      </c>
      <c r="G12" s="152" t="s">
        <v>63</v>
      </c>
      <c r="H12" s="152" t="s">
        <v>64</v>
      </c>
      <c r="I12" s="153" t="s">
        <v>65</v>
      </c>
      <c r="J12" s="153" t="s">
        <v>66</v>
      </c>
      <c r="K12" s="154" t="s">
        <v>157</v>
      </c>
      <c r="L12" s="133"/>
      <c r="M12" s="154" t="s">
        <v>158</v>
      </c>
      <c r="N12" s="74"/>
      <c r="O12" s="81"/>
      <c r="P12"/>
      <c r="Q12"/>
      <c r="R12"/>
      <c r="S12"/>
      <c r="T12"/>
      <c r="U12"/>
      <c r="V12"/>
      <c r="W12"/>
      <c r="X12"/>
    </row>
    <row r="13" spans="2:24" s="73" customFormat="1" ht="33.75" customHeight="1" x14ac:dyDescent="0.25">
      <c r="B13" s="360" t="s">
        <v>119</v>
      </c>
      <c r="C13" s="134">
        <v>0</v>
      </c>
      <c r="D13" s="357"/>
      <c r="E13" s="357"/>
      <c r="F13" s="357"/>
      <c r="G13" s="134"/>
      <c r="H13" s="134"/>
      <c r="I13" s="134"/>
      <c r="J13" s="134"/>
      <c r="K13" s="136">
        <f>SUM(C13:J13)</f>
        <v>0</v>
      </c>
      <c r="L13" s="133"/>
      <c r="M13" s="136">
        <f>+K13</f>
        <v>0</v>
      </c>
      <c r="N13" s="74"/>
      <c r="O13" s="81"/>
      <c r="P13"/>
      <c r="Q13"/>
      <c r="R13"/>
      <c r="S13"/>
      <c r="T13"/>
      <c r="U13"/>
      <c r="V13"/>
      <c r="W13"/>
      <c r="X13"/>
    </row>
    <row r="14" spans="2:24" s="73" customFormat="1" ht="33.75" customHeight="1" x14ac:dyDescent="0.25">
      <c r="B14" s="361" t="s">
        <v>120</v>
      </c>
      <c r="C14" s="365"/>
      <c r="D14" s="135">
        <v>70843.14</v>
      </c>
      <c r="E14" s="362"/>
      <c r="F14" s="362"/>
      <c r="G14" s="363"/>
      <c r="H14" s="363"/>
      <c r="I14" s="363"/>
      <c r="J14" s="363"/>
      <c r="K14" s="137">
        <f>SUM(C14:J14)</f>
        <v>70843.14</v>
      </c>
      <c r="L14" s="133"/>
      <c r="M14" s="364">
        <f>+M13+K14</f>
        <v>70843.14</v>
      </c>
      <c r="N14" s="74"/>
      <c r="O14" s="81"/>
      <c r="P14"/>
      <c r="Q14"/>
      <c r="R14"/>
      <c r="S14"/>
      <c r="T14"/>
      <c r="U14"/>
      <c r="V14"/>
      <c r="W14"/>
      <c r="X14"/>
    </row>
    <row r="15" spans="2:24" s="73" customFormat="1" ht="33.75" customHeight="1" x14ac:dyDescent="0.25">
      <c r="B15" s="361" t="s">
        <v>121</v>
      </c>
      <c r="C15" s="366"/>
      <c r="D15" s="358"/>
      <c r="E15" s="135">
        <v>70843.14</v>
      </c>
      <c r="F15" s="358"/>
      <c r="G15" s="135"/>
      <c r="H15" s="135"/>
      <c r="I15" s="135"/>
      <c r="J15" s="135"/>
      <c r="K15" s="137">
        <f>SUM(C15:J15)</f>
        <v>70843.14</v>
      </c>
      <c r="L15" s="138"/>
      <c r="M15" s="137">
        <f>+K15+M14</f>
        <v>141686.28</v>
      </c>
      <c r="N15" s="74"/>
      <c r="O15" s="81"/>
      <c r="P15"/>
      <c r="Q15"/>
      <c r="R15"/>
      <c r="S15"/>
      <c r="T15"/>
      <c r="U15"/>
      <c r="V15"/>
      <c r="W15"/>
      <c r="X15"/>
    </row>
    <row r="16" spans="2:24" s="73" customFormat="1" ht="33.75" customHeight="1" thickBot="1" x14ac:dyDescent="0.3">
      <c r="B16" s="371" t="s">
        <v>122</v>
      </c>
      <c r="C16" s="366"/>
      <c r="D16" s="358"/>
      <c r="E16" s="358"/>
      <c r="F16" s="135">
        <v>94457.53</v>
      </c>
      <c r="G16" s="135"/>
      <c r="H16" s="135"/>
      <c r="I16" s="135"/>
      <c r="J16" s="135"/>
      <c r="K16" s="137">
        <f>SUM(C16:J16)</f>
        <v>94457.53</v>
      </c>
      <c r="L16" s="138"/>
      <c r="M16" s="137">
        <f>+K16+M15+0.01</f>
        <v>236143.82</v>
      </c>
      <c r="N16" s="74"/>
      <c r="O16" s="81"/>
      <c r="P16"/>
      <c r="Q16"/>
      <c r="R16"/>
      <c r="S16"/>
      <c r="T16"/>
      <c r="U16"/>
      <c r="V16"/>
      <c r="W16"/>
      <c r="X16"/>
    </row>
    <row r="17" spans="2:24" s="78" customFormat="1" ht="30" customHeight="1" x14ac:dyDescent="0.25">
      <c r="B17" s="155" t="s">
        <v>123</v>
      </c>
      <c r="C17" s="357"/>
      <c r="D17" s="357"/>
      <c r="E17" s="357"/>
      <c r="F17" s="357"/>
      <c r="G17" s="134">
        <f t="array" ref="G17:G23">+TRANSPOSE(LP!E67:K67)</f>
        <v>12520.900000000003</v>
      </c>
      <c r="H17" s="134">
        <f t="array" ref="H17:H23">+TRANSPOSE(RP!E61:K61)</f>
        <v>4311.63</v>
      </c>
      <c r="I17" s="134">
        <f t="array" ref="I17:I23">+TRANSPOSE(RS!E54:K54)</f>
        <v>4526.67</v>
      </c>
      <c r="J17" s="134">
        <f t="array" ref="J17:J23">+TRANSPOSE(SFD!E45:K45)</f>
        <v>0</v>
      </c>
      <c r="K17" s="136">
        <f>SUM(G17:J17)</f>
        <v>21359.200000000004</v>
      </c>
      <c r="L17" s="133"/>
      <c r="M17" s="136">
        <f>+K17+M16</f>
        <v>257503.02000000002</v>
      </c>
      <c r="N17" s="422"/>
      <c r="O17" s="5"/>
      <c r="P17" s="2"/>
      <c r="Q17" s="2"/>
      <c r="R17" s="2"/>
      <c r="S17" s="5"/>
      <c r="T17" s="5"/>
      <c r="U17" s="2"/>
      <c r="V17" s="2"/>
      <c r="W17" s="2"/>
      <c r="X17" s="2"/>
    </row>
    <row r="18" spans="2:24" s="78" customFormat="1" ht="30" customHeight="1" x14ac:dyDescent="0.25">
      <c r="B18" s="156" t="s">
        <v>124</v>
      </c>
      <c r="C18" s="358"/>
      <c r="D18" s="358"/>
      <c r="E18" s="358"/>
      <c r="F18" s="358"/>
      <c r="G18" s="135">
        <v>62364.252000000008</v>
      </c>
      <c r="H18" s="135">
        <v>14744.519999999999</v>
      </c>
      <c r="I18" s="135">
        <v>36707.14</v>
      </c>
      <c r="J18" s="135">
        <v>0</v>
      </c>
      <c r="K18" s="137">
        <f>SUM(G18:J18)-0.01</f>
        <v>113815.90200000002</v>
      </c>
      <c r="L18" s="138"/>
      <c r="M18" s="137">
        <f>+K18+M17</f>
        <v>371318.92200000002</v>
      </c>
      <c r="N18" s="422"/>
      <c r="O18" s="5"/>
      <c r="P18" s="2"/>
      <c r="Q18" s="2"/>
      <c r="R18" s="2"/>
      <c r="S18" s="5"/>
      <c r="T18" s="5"/>
      <c r="U18" s="2"/>
      <c r="V18" s="2"/>
      <c r="W18" s="2"/>
      <c r="X18" s="2"/>
    </row>
    <row r="19" spans="2:24" s="78" customFormat="1" ht="30" customHeight="1" x14ac:dyDescent="0.25">
      <c r="B19" s="156" t="s">
        <v>169</v>
      </c>
      <c r="C19" s="358"/>
      <c r="D19" s="358"/>
      <c r="E19" s="358"/>
      <c r="F19" s="358"/>
      <c r="G19" s="135">
        <v>201641.01799999998</v>
      </c>
      <c r="H19" s="135">
        <v>52674.900000000016</v>
      </c>
      <c r="I19" s="135">
        <v>109168.91</v>
      </c>
      <c r="J19" s="135">
        <v>4768.92</v>
      </c>
      <c r="K19" s="137">
        <f>SUM(G19:J19)</f>
        <v>368253.74799999996</v>
      </c>
      <c r="L19" s="138"/>
      <c r="M19" s="137">
        <f t="shared" ref="M19:M23" si="0">+K19+M18</f>
        <v>739572.66999999993</v>
      </c>
      <c r="N19" s="5"/>
      <c r="O19" s="5"/>
      <c r="P19" s="2"/>
      <c r="Q19" s="2"/>
      <c r="R19" s="2"/>
      <c r="S19" s="5"/>
      <c r="T19" s="5"/>
      <c r="U19" s="2"/>
      <c r="V19" s="2"/>
      <c r="W19" s="2"/>
      <c r="X19" s="2"/>
    </row>
    <row r="20" spans="2:24" s="78" customFormat="1" ht="30" customHeight="1" x14ac:dyDescent="0.25">
      <c r="B20" s="156" t="s">
        <v>170</v>
      </c>
      <c r="C20" s="358"/>
      <c r="D20" s="358"/>
      <c r="E20" s="358"/>
      <c r="F20" s="358"/>
      <c r="G20" s="135">
        <v>445833.12000000005</v>
      </c>
      <c r="H20" s="135">
        <v>125883.31999999996</v>
      </c>
      <c r="I20" s="135">
        <v>300095.66000000003</v>
      </c>
      <c r="J20" s="135">
        <v>18807.014999999999</v>
      </c>
      <c r="K20" s="137">
        <f>SUM(G20:J20)</f>
        <v>890619.11500000011</v>
      </c>
      <c r="L20" s="138"/>
      <c r="M20" s="137">
        <f t="shared" si="0"/>
        <v>1630191.7850000001</v>
      </c>
      <c r="N20" s="5"/>
      <c r="O20" s="5"/>
      <c r="P20" s="2"/>
      <c r="Q20" s="2"/>
      <c r="R20" s="2"/>
      <c r="S20" s="5"/>
      <c r="T20" s="5"/>
      <c r="U20" s="2"/>
      <c r="V20" s="2"/>
      <c r="W20" s="2"/>
      <c r="X20" s="2"/>
    </row>
    <row r="21" spans="2:24" s="78" customFormat="1" ht="30" customHeight="1" x14ac:dyDescent="0.25">
      <c r="B21" s="156" t="s">
        <v>171</v>
      </c>
      <c r="C21" s="358"/>
      <c r="D21" s="358"/>
      <c r="E21" s="358"/>
      <c r="F21" s="358"/>
      <c r="G21" s="135">
        <v>545669.85</v>
      </c>
      <c r="H21" s="135">
        <v>190464.54</v>
      </c>
      <c r="I21" s="135">
        <v>159840.65000000002</v>
      </c>
      <c r="J21" s="135">
        <v>54165.094999999994</v>
      </c>
      <c r="K21" s="137">
        <f>SUM(G21:J21)</f>
        <v>950140.13500000001</v>
      </c>
      <c r="L21" s="138"/>
      <c r="M21" s="137">
        <f t="shared" si="0"/>
        <v>2580331.92</v>
      </c>
      <c r="N21" s="5"/>
      <c r="O21" s="5"/>
      <c r="P21" s="2"/>
      <c r="Q21" s="2"/>
      <c r="R21" s="2"/>
      <c r="S21" s="5"/>
      <c r="T21" s="5"/>
      <c r="U21" s="2"/>
      <c r="V21" s="2"/>
      <c r="W21" s="2"/>
      <c r="X21" s="2"/>
    </row>
    <row r="22" spans="2:24" s="78" customFormat="1" ht="30" customHeight="1" x14ac:dyDescent="0.25">
      <c r="B22" s="156" t="s">
        <v>424</v>
      </c>
      <c r="C22" s="358"/>
      <c r="D22" s="358"/>
      <c r="E22" s="358"/>
      <c r="F22" s="358"/>
      <c r="G22" s="135">
        <v>114115.85</v>
      </c>
      <c r="H22" s="135">
        <v>14338.330000000002</v>
      </c>
      <c r="I22" s="135">
        <v>290266.96000000002</v>
      </c>
      <c r="J22" s="135">
        <v>262444.74</v>
      </c>
      <c r="K22" s="137">
        <f>SUM(G22:J22)</f>
        <v>681165.88</v>
      </c>
      <c r="L22" s="138"/>
      <c r="M22" s="137">
        <f t="shared" si="0"/>
        <v>3261497.8</v>
      </c>
      <c r="N22" s="5"/>
      <c r="O22" s="5"/>
      <c r="P22" s="2"/>
      <c r="Q22" s="2"/>
      <c r="R22" s="2"/>
      <c r="S22" s="5"/>
      <c r="T22" s="5"/>
      <c r="U22" s="2"/>
      <c r="V22" s="2"/>
      <c r="W22" s="2"/>
      <c r="X22" s="2"/>
    </row>
    <row r="23" spans="2:24" s="78" customFormat="1" ht="30" customHeight="1" x14ac:dyDescent="0.25">
      <c r="B23" s="156" t="s">
        <v>425</v>
      </c>
      <c r="C23" s="358"/>
      <c r="D23" s="358"/>
      <c r="E23" s="358"/>
      <c r="F23" s="358"/>
      <c r="G23" s="135">
        <v>347463.33</v>
      </c>
      <c r="H23" s="135">
        <v>34302.979999999996</v>
      </c>
      <c r="I23" s="135">
        <v>154099.76</v>
      </c>
      <c r="J23" s="135">
        <v>43926.64</v>
      </c>
      <c r="K23" s="137">
        <f>SUM(G23:J23)-0.01</f>
        <v>579792.70000000007</v>
      </c>
      <c r="L23" s="138"/>
      <c r="M23" s="137">
        <f t="shared" si="0"/>
        <v>3841290.5</v>
      </c>
      <c r="N23" s="5"/>
      <c r="O23" s="5"/>
      <c r="P23" s="2"/>
      <c r="Q23" s="2"/>
      <c r="R23" s="2"/>
      <c r="S23" s="5"/>
      <c r="T23" s="5"/>
      <c r="U23" s="2"/>
      <c r="V23" s="2"/>
      <c r="W23" s="2"/>
      <c r="X23" s="2"/>
    </row>
    <row r="24" spans="2:24" s="73" customFormat="1" ht="12" customHeight="1" thickBot="1" x14ac:dyDescent="0.3">
      <c r="B24" s="139"/>
      <c r="C24" s="359"/>
      <c r="D24" s="359"/>
      <c r="E24" s="359"/>
      <c r="F24" s="359"/>
      <c r="G24" s="140"/>
      <c r="H24" s="140"/>
      <c r="I24" s="141"/>
      <c r="J24" s="141"/>
      <c r="K24" s="142"/>
      <c r="L24" s="143"/>
      <c r="M24" s="142"/>
      <c r="N24"/>
      <c r="O24"/>
      <c r="P24"/>
      <c r="Q24"/>
      <c r="R24"/>
      <c r="S24"/>
      <c r="T24"/>
      <c r="U24"/>
      <c r="V24"/>
      <c r="W24"/>
      <c r="X24"/>
    </row>
    <row r="25" spans="2:24" s="73" customFormat="1" ht="24" customHeight="1" thickBot="1" x14ac:dyDescent="0.3">
      <c r="B25" s="146" t="s">
        <v>156</v>
      </c>
      <c r="C25" s="147">
        <f>SUM(C13:C24)</f>
        <v>0</v>
      </c>
      <c r="D25" s="147">
        <f>SUM(D13:D24)</f>
        <v>70843.14</v>
      </c>
      <c r="E25" s="147">
        <f>SUM(E13:E24)</f>
        <v>70843.14</v>
      </c>
      <c r="F25" s="147">
        <f>SUM(F13:F24)</f>
        <v>94457.53</v>
      </c>
      <c r="G25" s="147">
        <f>SUM(G17:G24)</f>
        <v>1729608.3200000003</v>
      </c>
      <c r="H25" s="147">
        <f>SUM(H17:H24)</f>
        <v>436720.22000000003</v>
      </c>
      <c r="I25" s="148">
        <f>SUM(I17:I24)+0.01</f>
        <v>1054705.76</v>
      </c>
      <c r="J25" s="148">
        <f>SUM(J17:J24)+0.01</f>
        <v>384112.42000000004</v>
      </c>
      <c r="K25" s="149">
        <f>SUM(C25:J25)-0.03</f>
        <v>3841290.5000000005</v>
      </c>
      <c r="L25" s="150"/>
      <c r="M25" s="149"/>
      <c r="N25" s="85">
        <v>3841290.5</v>
      </c>
      <c r="O25" s="374">
        <f>+K25-N25</f>
        <v>0</v>
      </c>
      <c r="P25"/>
      <c r="Q25"/>
      <c r="R25"/>
      <c r="S25"/>
      <c r="T25"/>
      <c r="U25"/>
      <c r="V25"/>
      <c r="W25"/>
      <c r="X25"/>
    </row>
    <row r="26" spans="2:24" s="73" customFormat="1" ht="29.25" customHeight="1" x14ac:dyDescent="0.25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83"/>
      <c r="N26"/>
      <c r="O26"/>
      <c r="P26"/>
      <c r="Q26"/>
      <c r="R26"/>
      <c r="S26"/>
      <c r="T26"/>
      <c r="U26"/>
      <c r="V26"/>
      <c r="W26"/>
      <c r="X26"/>
    </row>
    <row r="27" spans="2:24" s="73" customFormat="1" x14ac:dyDescent="0.25">
      <c r="B27" s="75"/>
      <c r="C27" s="75"/>
      <c r="D27" s="75"/>
      <c r="E27" s="75"/>
      <c r="F27" s="75"/>
      <c r="L27" s="83"/>
      <c r="N27" s="399"/>
      <c r="O27"/>
      <c r="P27"/>
      <c r="Q27"/>
      <c r="R27"/>
      <c r="S27"/>
      <c r="T27"/>
      <c r="U27"/>
      <c r="V27"/>
      <c r="W27"/>
      <c r="X27"/>
    </row>
    <row r="35" spans="2:24" s="73" customFormat="1" hidden="1" x14ac:dyDescent="0.25">
      <c r="B35"/>
      <c r="C35"/>
      <c r="D35"/>
      <c r="E35"/>
      <c r="F35"/>
      <c r="G35"/>
      <c r="K35"/>
      <c r="L35" s="23"/>
      <c r="M35"/>
      <c r="N35"/>
      <c r="O35"/>
      <c r="P35"/>
      <c r="Q35"/>
      <c r="R35"/>
      <c r="S35"/>
      <c r="T35"/>
      <c r="U35"/>
      <c r="V35"/>
      <c r="W35"/>
      <c r="X35"/>
    </row>
    <row r="36" spans="2:24" s="73" customFormat="1" hidden="1" x14ac:dyDescent="0.25">
      <c r="B36"/>
      <c r="C36"/>
      <c r="D36"/>
      <c r="E36"/>
      <c r="F36"/>
      <c r="G36"/>
      <c r="K36"/>
      <c r="L36" s="23"/>
      <c r="M36"/>
      <c r="N36"/>
      <c r="O36"/>
      <c r="P36"/>
      <c r="Q36"/>
      <c r="R36"/>
      <c r="S36"/>
      <c r="T36"/>
      <c r="U36"/>
      <c r="V36"/>
      <c r="W36"/>
      <c r="X36"/>
    </row>
    <row r="37" spans="2:24" s="73" customFormat="1" hidden="1" x14ac:dyDescent="0.25">
      <c r="B37"/>
      <c r="C37"/>
      <c r="D37"/>
      <c r="E37"/>
      <c r="F37"/>
      <c r="G37"/>
      <c r="K37"/>
      <c r="L37" s="23"/>
      <c r="M37"/>
      <c r="N37"/>
      <c r="O37"/>
      <c r="P37"/>
      <c r="Q37"/>
      <c r="R37"/>
      <c r="S37"/>
      <c r="T37"/>
      <c r="U37"/>
      <c r="V37"/>
      <c r="W37"/>
      <c r="X37"/>
    </row>
    <row r="38" spans="2:24" s="73" customFormat="1" hidden="1" x14ac:dyDescent="0.25">
      <c r="B38"/>
      <c r="C38"/>
      <c r="D38"/>
      <c r="E38"/>
      <c r="F38"/>
      <c r="G38"/>
      <c r="H38" s="76"/>
      <c r="I38" s="76"/>
      <c r="J38" s="76"/>
      <c r="K38"/>
      <c r="L38" s="23"/>
      <c r="M38"/>
      <c r="N38"/>
      <c r="O38"/>
      <c r="P38"/>
      <c r="Q38"/>
      <c r="R38"/>
      <c r="S38"/>
      <c r="T38"/>
      <c r="U38"/>
      <c r="V38"/>
      <c r="W38"/>
      <c r="X38"/>
    </row>
    <row r="39" spans="2:24" s="73" customFormat="1" ht="34.9" hidden="1" customHeight="1" x14ac:dyDescent="0.25">
      <c r="B39"/>
      <c r="C39"/>
      <c r="D39"/>
      <c r="E39"/>
      <c r="F39"/>
      <c r="G39"/>
      <c r="H39" s="379" t="s">
        <v>61</v>
      </c>
      <c r="I39" s="379"/>
      <c r="J39" s="379"/>
      <c r="K39"/>
      <c r="L39" s="23"/>
      <c r="M39"/>
      <c r="N39"/>
      <c r="O39"/>
      <c r="P39"/>
      <c r="Q39"/>
      <c r="R39"/>
      <c r="S39"/>
      <c r="T39"/>
      <c r="U39"/>
      <c r="V39"/>
      <c r="W39"/>
      <c r="X39"/>
    </row>
    <row r="40" spans="2:24" s="73" customFormat="1" x14ac:dyDescent="0.25">
      <c r="B40"/>
      <c r="C40"/>
      <c r="D40"/>
      <c r="E40"/>
      <c r="F40"/>
      <c r="G40"/>
      <c r="K40"/>
      <c r="L40" s="23"/>
      <c r="M40"/>
      <c r="N40"/>
      <c r="O40"/>
      <c r="P40"/>
      <c r="Q40"/>
      <c r="R40"/>
      <c r="S40"/>
      <c r="T40"/>
      <c r="U40"/>
      <c r="V40"/>
      <c r="W40"/>
      <c r="X40"/>
    </row>
  </sheetData>
  <mergeCells count="4">
    <mergeCell ref="B1:M1"/>
    <mergeCell ref="H39:J39"/>
    <mergeCell ref="C11:F11"/>
    <mergeCell ref="G11:K11"/>
  </mergeCells>
  <printOptions horizontalCentered="1"/>
  <pageMargins left="0.31496062992125984" right="0.31496062992125984" top="1.3385826771653544" bottom="0.74803149606299213" header="0.31496062992125984" footer="0.31496062992125984"/>
  <pageSetup paperSize="8" scale="70" orientation="portrait" horizontalDpi="1200" verticalDpi="1200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57"/>
  <sheetViews>
    <sheetView zoomScaleNormal="100" workbookViewId="0">
      <selection activeCell="L23" sqref="L23"/>
    </sheetView>
  </sheetViews>
  <sheetFormatPr baseColWidth="10" defaultColWidth="11.42578125" defaultRowHeight="12.75" x14ac:dyDescent="0.25"/>
  <cols>
    <col min="1" max="1" width="1" style="160" customWidth="1"/>
    <col min="2" max="2" width="9.7109375" style="159" customWidth="1"/>
    <col min="3" max="3" width="2.5703125" style="159" customWidth="1"/>
    <col min="4" max="4" width="4.5703125" style="159" customWidth="1"/>
    <col min="5" max="5" width="52.85546875" style="159" customWidth="1"/>
    <col min="6" max="12" width="16.140625" style="159" customWidth="1"/>
    <col min="13" max="13" width="24.85546875" style="159" customWidth="1"/>
    <col min="14" max="17" width="11.85546875" style="160" customWidth="1"/>
    <col min="18" max="26" width="11.42578125" style="161"/>
    <col min="27" max="16384" width="11.42578125" style="160"/>
  </cols>
  <sheetData>
    <row r="1" spans="2:25" ht="6.75" customHeight="1" thickBot="1" x14ac:dyDescent="0.3">
      <c r="B1" s="157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2:25" ht="22.9" customHeight="1" x14ac:dyDescent="0.25">
      <c r="B2" s="162" t="s">
        <v>114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</row>
    <row r="3" spans="2:25" ht="15" customHeight="1" x14ac:dyDescent="0.25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</row>
    <row r="4" spans="2:25" ht="64.5" customHeight="1" x14ac:dyDescent="0.25">
      <c r="B4" s="383" t="s">
        <v>137</v>
      </c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5"/>
      <c r="N4" s="168"/>
      <c r="P4" s="169"/>
      <c r="Q4" s="169"/>
      <c r="R4" s="170"/>
      <c r="S4" s="170"/>
      <c r="T4" s="170"/>
      <c r="U4" s="170"/>
    </row>
    <row r="5" spans="2:25" ht="10.5" customHeight="1" x14ac:dyDescent="0.25">
      <c r="B5" s="171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67"/>
      <c r="P5" s="169"/>
      <c r="Q5" s="169"/>
      <c r="R5" s="170"/>
      <c r="S5" s="170"/>
      <c r="T5" s="170"/>
      <c r="U5" s="170"/>
    </row>
    <row r="6" spans="2:25" ht="15" customHeight="1" x14ac:dyDescent="0.25">
      <c r="B6" s="173" t="s">
        <v>115</v>
      </c>
      <c r="C6" s="174"/>
      <c r="D6" s="175" t="s">
        <v>116</v>
      </c>
      <c r="E6" s="174" t="s">
        <v>138</v>
      </c>
      <c r="F6" s="174"/>
      <c r="G6" s="174"/>
      <c r="H6" s="174"/>
      <c r="I6" s="174"/>
      <c r="J6" s="174"/>
      <c r="K6" s="174"/>
      <c r="L6" s="174"/>
      <c r="M6" s="167"/>
      <c r="P6" s="169"/>
      <c r="Q6" s="169"/>
      <c r="R6" s="170"/>
      <c r="S6" s="170"/>
      <c r="T6" s="176"/>
      <c r="U6" s="176"/>
      <c r="V6" s="177"/>
      <c r="W6" s="177"/>
      <c r="X6" s="177"/>
      <c r="Y6" s="177"/>
    </row>
    <row r="7" spans="2:25" ht="15" customHeight="1" x14ac:dyDescent="0.25">
      <c r="B7" s="178" t="s">
        <v>117</v>
      </c>
      <c r="C7" s="179"/>
      <c r="D7" s="180" t="s">
        <v>116</v>
      </c>
      <c r="E7" s="181" t="s">
        <v>0</v>
      </c>
      <c r="F7" s="181"/>
      <c r="G7" s="181"/>
      <c r="H7" s="181"/>
      <c r="I7" s="181"/>
      <c r="J7" s="181"/>
      <c r="K7" s="181"/>
      <c r="L7" s="181"/>
      <c r="M7" s="182"/>
      <c r="T7" s="177">
        <v>16910.97</v>
      </c>
      <c r="U7" s="177"/>
      <c r="V7" s="177"/>
      <c r="W7" s="177"/>
      <c r="X7" s="177"/>
      <c r="Y7" s="177"/>
    </row>
    <row r="8" spans="2:25" ht="15" customHeight="1" thickBot="1" x14ac:dyDescent="0.3">
      <c r="B8" s="183"/>
      <c r="C8" s="184"/>
      <c r="D8" s="185"/>
      <c r="E8" s="185"/>
      <c r="F8" s="185"/>
      <c r="G8" s="185"/>
      <c r="H8" s="185"/>
      <c r="I8" s="185"/>
      <c r="J8" s="185"/>
      <c r="K8" s="185"/>
      <c r="L8" s="185"/>
      <c r="M8" s="182" t="str">
        <f>tc</f>
        <v>T.C. (S//US$): 3,642</v>
      </c>
      <c r="T8" s="177"/>
      <c r="U8" s="177"/>
      <c r="V8" s="177"/>
      <c r="W8" s="177"/>
      <c r="X8" s="177"/>
      <c r="Y8" s="177"/>
    </row>
    <row r="9" spans="2:25" ht="27" customHeight="1" thickBot="1" x14ac:dyDescent="0.3">
      <c r="B9" s="186" t="s">
        <v>48</v>
      </c>
      <c r="C9" s="187" t="s">
        <v>118</v>
      </c>
      <c r="D9" s="188"/>
      <c r="E9" s="188"/>
      <c r="F9" s="403" t="s">
        <v>119</v>
      </c>
      <c r="G9" s="403" t="s">
        <v>120</v>
      </c>
      <c r="H9" s="403" t="s">
        <v>121</v>
      </c>
      <c r="I9" s="403" t="s">
        <v>122</v>
      </c>
      <c r="J9" s="403" t="s">
        <v>123</v>
      </c>
      <c r="K9" s="403" t="s">
        <v>124</v>
      </c>
      <c r="L9" s="403" t="s">
        <v>169</v>
      </c>
      <c r="M9" s="189" t="s">
        <v>125</v>
      </c>
      <c r="O9" s="169"/>
      <c r="P9" s="169"/>
      <c r="Q9" s="169"/>
      <c r="R9" s="170"/>
      <c r="S9" s="170"/>
      <c r="T9" s="176"/>
      <c r="U9" s="176"/>
      <c r="V9" s="177"/>
      <c r="W9" s="177"/>
      <c r="X9" s="177"/>
      <c r="Y9" s="177"/>
    </row>
    <row r="10" spans="2:25" ht="15" customHeight="1" x14ac:dyDescent="0.25">
      <c r="B10" s="190"/>
      <c r="C10" s="191"/>
      <c r="D10" s="192"/>
      <c r="E10" s="192"/>
      <c r="F10" s="192"/>
      <c r="G10" s="192"/>
      <c r="H10" s="192"/>
      <c r="I10" s="192"/>
      <c r="J10" s="192"/>
      <c r="K10" s="192"/>
      <c r="L10" s="192"/>
      <c r="M10" s="193"/>
      <c r="O10" s="169"/>
      <c r="P10" s="169"/>
      <c r="T10" s="177"/>
      <c r="U10" s="177"/>
      <c r="V10" s="177"/>
      <c r="W10" s="177"/>
      <c r="X10" s="177"/>
      <c r="Y10" s="177"/>
    </row>
    <row r="11" spans="2:25" ht="21.75" customHeight="1" x14ac:dyDescent="0.25">
      <c r="B11" s="194" t="s">
        <v>126</v>
      </c>
      <c r="C11" s="195"/>
      <c r="D11" s="195" t="s">
        <v>7</v>
      </c>
      <c r="E11" s="184"/>
      <c r="F11" s="196">
        <f>+LP!E12</f>
        <v>4113.3100000000004</v>
      </c>
      <c r="G11" s="196">
        <f>+LP!F12</f>
        <v>28952.002000000004</v>
      </c>
      <c r="H11" s="196">
        <f>+LP!G12</f>
        <v>109978.38800000001</v>
      </c>
      <c r="I11" s="196">
        <f>+LP!H12</f>
        <v>264989.59000000008</v>
      </c>
      <c r="J11" s="196">
        <f>+LP!I12</f>
        <v>275696.90000000002</v>
      </c>
      <c r="K11" s="196">
        <f>+LP!J12</f>
        <v>0</v>
      </c>
      <c r="L11" s="196">
        <f>+LP!K12</f>
        <v>0</v>
      </c>
      <c r="M11" s="197">
        <f>+SUM(F11:L11)</f>
        <v>683730.19000000018</v>
      </c>
      <c r="N11" s="198"/>
      <c r="O11" s="169"/>
      <c r="P11" s="375"/>
      <c r="Q11" s="169"/>
      <c r="R11" s="199"/>
      <c r="S11" s="199"/>
      <c r="T11" s="200"/>
      <c r="U11" s="177"/>
      <c r="V11" s="177"/>
      <c r="W11" s="177"/>
      <c r="X11" s="177"/>
      <c r="Y11" s="177"/>
    </row>
    <row r="12" spans="2:25" ht="21.75" customHeight="1" x14ac:dyDescent="0.25">
      <c r="B12" s="194" t="s">
        <v>127</v>
      </c>
      <c r="C12" s="201"/>
      <c r="D12" s="185" t="s">
        <v>128</v>
      </c>
      <c r="E12" s="185"/>
      <c r="F12" s="202">
        <f>+LP!E40</f>
        <v>2571.44</v>
      </c>
      <c r="G12" s="202">
        <f>+LP!F40</f>
        <v>11099.67</v>
      </c>
      <c r="H12" s="202">
        <f>+LP!G40</f>
        <v>27108.310000000005</v>
      </c>
      <c r="I12" s="202">
        <f>+LP!H40</f>
        <v>42690.11</v>
      </c>
      <c r="J12" s="202">
        <f>+LP!I40</f>
        <v>123493.33000000002</v>
      </c>
      <c r="K12" s="202">
        <f>+LP!J40</f>
        <v>85491.83</v>
      </c>
      <c r="L12" s="202">
        <f>+LP!K40</f>
        <v>260308.04000000004</v>
      </c>
      <c r="M12" s="197">
        <f>+SUM(F12:L12)</f>
        <v>552762.73</v>
      </c>
      <c r="N12" s="198"/>
      <c r="O12" s="170"/>
      <c r="P12" s="375"/>
      <c r="Q12" s="170"/>
      <c r="R12" s="199"/>
      <c r="S12" s="199"/>
      <c r="T12" s="200"/>
      <c r="U12" s="177"/>
      <c r="V12" s="177"/>
      <c r="W12" s="177"/>
      <c r="X12" s="177"/>
      <c r="Y12" s="177"/>
    </row>
    <row r="13" spans="2:25" ht="21.75" customHeight="1" thickBot="1" x14ac:dyDescent="0.3">
      <c r="B13" s="194" t="s">
        <v>129</v>
      </c>
      <c r="C13" s="201"/>
      <c r="D13" s="185" t="s">
        <v>130</v>
      </c>
      <c r="E13" s="185"/>
      <c r="F13" s="202">
        <f>+LP!E26</f>
        <v>2695.4900000000025</v>
      </c>
      <c r="G13" s="202">
        <f>+LP!F26</f>
        <v>6669.55</v>
      </c>
      <c r="H13" s="202">
        <f>+LP!G26</f>
        <v>13976.09</v>
      </c>
      <c r="I13" s="202">
        <f>+LP!H26</f>
        <v>26323.719999999998</v>
      </c>
      <c r="J13" s="202">
        <f>+LP!I26</f>
        <v>9607.5800000000017</v>
      </c>
      <c r="K13" s="202">
        <f>+LP!J26</f>
        <v>0</v>
      </c>
      <c r="L13" s="202">
        <f>+LP!K26</f>
        <v>0</v>
      </c>
      <c r="M13" s="197">
        <f>+SUM(F13:L13)</f>
        <v>59272.430000000008</v>
      </c>
      <c r="N13" s="203"/>
      <c r="O13" s="170"/>
      <c r="P13" s="375"/>
      <c r="Q13" s="170"/>
      <c r="R13" s="199"/>
      <c r="S13" s="199"/>
      <c r="T13" s="200"/>
      <c r="U13" s="177"/>
      <c r="V13" s="177"/>
      <c r="W13" s="177"/>
      <c r="X13" s="177"/>
      <c r="Y13" s="177"/>
    </row>
    <row r="14" spans="2:25" ht="35.25" customHeight="1" thickBot="1" x14ac:dyDescent="0.3">
      <c r="B14" s="204" t="s">
        <v>131</v>
      </c>
      <c r="C14" s="205"/>
      <c r="D14" s="206" t="s">
        <v>132</v>
      </c>
      <c r="E14" s="206"/>
      <c r="F14" s="207">
        <f>SUM(F11:F13)</f>
        <v>9380.2400000000016</v>
      </c>
      <c r="G14" s="207">
        <f t="shared" ref="G14:L14" si="0">SUM(G11:G13)</f>
        <v>46721.222000000009</v>
      </c>
      <c r="H14" s="207">
        <f t="shared" si="0"/>
        <v>151062.788</v>
      </c>
      <c r="I14" s="207">
        <f t="shared" si="0"/>
        <v>334003.42000000004</v>
      </c>
      <c r="J14" s="207">
        <f t="shared" ref="J14" si="1">SUM(J11:J13)</f>
        <v>408797.81000000006</v>
      </c>
      <c r="K14" s="207">
        <f t="shared" si="0"/>
        <v>85491.83</v>
      </c>
      <c r="L14" s="207">
        <f t="shared" si="0"/>
        <v>260308.04000000004</v>
      </c>
      <c r="M14" s="208">
        <f>SUM(M11:M13)</f>
        <v>1295765.3500000001</v>
      </c>
      <c r="N14" s="198"/>
      <c r="O14" s="176"/>
      <c r="P14" s="375"/>
      <c r="Q14" s="176"/>
      <c r="R14" s="199"/>
      <c r="S14" s="199"/>
      <c r="T14" s="200"/>
      <c r="U14" s="177"/>
      <c r="V14" s="177"/>
      <c r="W14" s="177"/>
      <c r="X14" s="177"/>
      <c r="Y14" s="177"/>
    </row>
    <row r="15" spans="2:25" ht="8.25" customHeight="1" x14ac:dyDescent="0.25">
      <c r="B15" s="194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197"/>
      <c r="N15" s="198"/>
      <c r="P15" s="375"/>
      <c r="Q15" s="176"/>
      <c r="R15" s="199"/>
      <c r="S15" s="199"/>
      <c r="T15" s="200"/>
      <c r="U15" s="177"/>
      <c r="V15" s="177"/>
      <c r="W15" s="177"/>
      <c r="X15" s="177"/>
      <c r="Y15" s="177"/>
    </row>
    <row r="16" spans="2:25" ht="21.75" customHeight="1" x14ac:dyDescent="0.25">
      <c r="B16" s="211" t="s">
        <v>133</v>
      </c>
      <c r="C16" s="191"/>
      <c r="D16" s="191"/>
      <c r="E16" s="212" t="s">
        <v>88</v>
      </c>
      <c r="F16" s="212">
        <f>ROUND(+F14*$N$16,2)</f>
        <v>949.28</v>
      </c>
      <c r="G16" s="212">
        <f t="shared" ref="G16:L16" si="2">ROUND(+G14*$N$16,2)</f>
        <v>4728.1899999999996</v>
      </c>
      <c r="H16" s="212">
        <f t="shared" si="2"/>
        <v>15287.55</v>
      </c>
      <c r="I16" s="212">
        <f t="shared" si="2"/>
        <v>33801.15</v>
      </c>
      <c r="J16" s="212">
        <f t="shared" ref="J16" si="3">ROUND(+J14*$N$16,2)</f>
        <v>41370.339999999997</v>
      </c>
      <c r="K16" s="212">
        <f t="shared" si="2"/>
        <v>8651.77</v>
      </c>
      <c r="L16" s="212">
        <f t="shared" si="2"/>
        <v>26343.17</v>
      </c>
      <c r="M16" s="197">
        <f>+SUM(F16:L16)+0.01</f>
        <v>131131.46000000002</v>
      </c>
      <c r="N16" s="213">
        <v>0.1012</v>
      </c>
      <c r="O16" s="198"/>
      <c r="P16" s="375"/>
      <c r="Q16" s="214"/>
      <c r="R16" s="199"/>
      <c r="S16" s="199"/>
      <c r="T16" s="200"/>
      <c r="U16" s="177"/>
      <c r="V16" s="177"/>
      <c r="W16" s="177"/>
      <c r="X16" s="177"/>
      <c r="Y16" s="177"/>
    </row>
    <row r="17" spans="2:26" ht="21.75" customHeight="1" thickBot="1" x14ac:dyDescent="0.3">
      <c r="B17" s="211" t="s">
        <v>134</v>
      </c>
      <c r="C17" s="191"/>
      <c r="D17" s="191"/>
      <c r="E17" s="212" t="s">
        <v>136</v>
      </c>
      <c r="F17" s="212">
        <f>ROUND(+F14*$N$17,2)</f>
        <v>281.41000000000003</v>
      </c>
      <c r="G17" s="212">
        <f t="shared" ref="G17:L17" si="4">ROUND(+G14*$N$17,2)</f>
        <v>1401.64</v>
      </c>
      <c r="H17" s="212">
        <f t="shared" si="4"/>
        <v>4531.88</v>
      </c>
      <c r="I17" s="212">
        <f t="shared" si="4"/>
        <v>10020.1</v>
      </c>
      <c r="J17" s="212">
        <f t="shared" ref="J17" si="5">ROUND(+J14*$N$17,2)</f>
        <v>12263.93</v>
      </c>
      <c r="K17" s="212">
        <f t="shared" si="4"/>
        <v>2564.75</v>
      </c>
      <c r="L17" s="212">
        <f t="shared" si="4"/>
        <v>7809.24</v>
      </c>
      <c r="M17" s="197">
        <f>+SUM(F17:L17)</f>
        <v>38872.949999999997</v>
      </c>
      <c r="N17" s="215">
        <v>0.03</v>
      </c>
      <c r="O17" s="198"/>
      <c r="P17" s="375"/>
      <c r="Q17" s="214"/>
      <c r="R17" s="199"/>
      <c r="S17" s="199"/>
      <c r="T17" s="200"/>
      <c r="U17" s="177"/>
      <c r="V17" s="177"/>
      <c r="W17" s="177"/>
      <c r="X17" s="177"/>
      <c r="Y17" s="177"/>
    </row>
    <row r="18" spans="2:26" ht="13.5" customHeight="1" x14ac:dyDescent="0.25">
      <c r="B18" s="216"/>
      <c r="C18" s="217"/>
      <c r="D18" s="217"/>
      <c r="E18" s="218"/>
      <c r="F18" s="218"/>
      <c r="G18" s="218"/>
      <c r="H18" s="218"/>
      <c r="I18" s="218"/>
      <c r="J18" s="218"/>
      <c r="K18" s="218"/>
      <c r="L18" s="218"/>
      <c r="M18" s="219"/>
      <c r="N18" s="198"/>
      <c r="P18" s="375"/>
      <c r="Q18" s="214"/>
      <c r="R18" s="199"/>
      <c r="S18" s="199"/>
      <c r="T18" s="200"/>
      <c r="U18" s="177"/>
      <c r="V18" s="177"/>
      <c r="W18" s="177"/>
      <c r="X18" s="177"/>
      <c r="Y18" s="177"/>
    </row>
    <row r="19" spans="2:26" ht="21.75" customHeight="1" thickBot="1" x14ac:dyDescent="0.3">
      <c r="B19" s="220"/>
      <c r="C19" s="221"/>
      <c r="D19" s="222" t="s">
        <v>135</v>
      </c>
      <c r="E19" s="222"/>
      <c r="F19" s="223">
        <f>+F14+F16+F17</f>
        <v>10610.930000000002</v>
      </c>
      <c r="G19" s="223">
        <f t="shared" ref="G19:L19" si="6">+G14+G16+G17</f>
        <v>52851.052000000011</v>
      </c>
      <c r="H19" s="223">
        <f t="shared" si="6"/>
        <v>170882.21799999999</v>
      </c>
      <c r="I19" s="223">
        <f t="shared" si="6"/>
        <v>377824.67000000004</v>
      </c>
      <c r="J19" s="223">
        <f t="shared" ref="J19" si="7">+J14+J16+J17</f>
        <v>462432.08</v>
      </c>
      <c r="K19" s="223">
        <f t="shared" si="6"/>
        <v>96708.35</v>
      </c>
      <c r="L19" s="223">
        <f t="shared" si="6"/>
        <v>294460.45</v>
      </c>
      <c r="M19" s="224">
        <f>+M14+M16+M17</f>
        <v>1465769.76</v>
      </c>
      <c r="N19" s="198"/>
      <c r="O19" s="198"/>
      <c r="P19" s="375"/>
      <c r="Q19" s="214"/>
      <c r="R19" s="199"/>
      <c r="S19" s="199"/>
      <c r="T19" s="200"/>
      <c r="U19" s="177"/>
      <c r="V19" s="177"/>
      <c r="W19" s="177"/>
      <c r="X19" s="177"/>
      <c r="Y19" s="177"/>
    </row>
    <row r="20" spans="2:26" ht="11.25" customHeight="1" thickBot="1" x14ac:dyDescent="0.3">
      <c r="B20" s="225"/>
      <c r="C20" s="226"/>
      <c r="D20" s="221"/>
      <c r="E20" s="227"/>
      <c r="F20" s="227"/>
      <c r="G20" s="227"/>
      <c r="H20" s="227"/>
      <c r="I20" s="227"/>
      <c r="J20" s="227"/>
      <c r="K20" s="227"/>
      <c r="L20" s="227"/>
      <c r="M20" s="228"/>
      <c r="T20" s="177"/>
      <c r="U20" s="177"/>
      <c r="V20" s="177"/>
      <c r="W20" s="177"/>
      <c r="X20" s="177"/>
      <c r="Y20" s="177"/>
    </row>
    <row r="21" spans="2:26" ht="18.75" customHeight="1" x14ac:dyDescent="0.25">
      <c r="B21" s="229"/>
      <c r="C21" s="230"/>
      <c r="D21" s="230"/>
      <c r="E21" s="230"/>
      <c r="F21" s="405"/>
      <c r="G21" s="405"/>
      <c r="H21" s="405"/>
      <c r="I21" s="405"/>
      <c r="J21" s="405"/>
      <c r="K21" s="405"/>
      <c r="L21" s="405"/>
      <c r="T21" s="177"/>
      <c r="U21" s="177"/>
      <c r="V21" s="177"/>
      <c r="W21" s="177"/>
      <c r="X21" s="177"/>
      <c r="Y21" s="177"/>
    </row>
    <row r="22" spans="2:26" x14ac:dyDescent="0.25">
      <c r="F22" s="231"/>
      <c r="G22" s="231"/>
      <c r="H22" s="231"/>
      <c r="I22" s="231"/>
      <c r="J22" s="231"/>
      <c r="K22" s="231"/>
      <c r="L22" s="231"/>
      <c r="M22" s="231">
        <v>1300732.08</v>
      </c>
      <c r="T22" s="177"/>
      <c r="U22" s="177"/>
      <c r="V22" s="177"/>
      <c r="W22" s="177"/>
      <c r="X22" s="177"/>
      <c r="Y22" s="177"/>
    </row>
    <row r="23" spans="2:26" s="232" customFormat="1" x14ac:dyDescent="0.25">
      <c r="R23" s="161"/>
      <c r="S23" s="161"/>
      <c r="T23" s="177"/>
      <c r="U23" s="177"/>
      <c r="V23" s="177"/>
      <c r="W23" s="177"/>
      <c r="X23" s="177"/>
      <c r="Y23" s="177"/>
      <c r="Z23" s="161"/>
    </row>
    <row r="24" spans="2:26" s="232" customFormat="1" x14ac:dyDescent="0.25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177"/>
      <c r="S24" s="161"/>
      <c r="T24" s="177"/>
      <c r="U24" s="177"/>
      <c r="V24" s="177"/>
      <c r="W24" s="177"/>
      <c r="X24" s="177"/>
      <c r="Y24" s="177"/>
      <c r="Z24" s="161"/>
    </row>
    <row r="25" spans="2:26" s="232" customFormat="1" x14ac:dyDescent="0.25"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177"/>
      <c r="S25" s="161"/>
      <c r="T25" s="177"/>
      <c r="U25" s="177"/>
      <c r="V25" s="177"/>
      <c r="W25" s="177"/>
      <c r="X25" s="177"/>
      <c r="Y25" s="177"/>
      <c r="Z25" s="161"/>
    </row>
    <row r="26" spans="2:26" s="232" customFormat="1" x14ac:dyDescent="0.25"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177"/>
      <c r="S26" s="161"/>
      <c r="T26" s="177"/>
      <c r="U26" s="177"/>
      <c r="V26" s="177"/>
      <c r="W26" s="177"/>
      <c r="X26" s="177"/>
      <c r="Y26" s="177"/>
      <c r="Z26" s="161"/>
    </row>
    <row r="27" spans="2:26" s="232" customFormat="1" x14ac:dyDescent="0.25"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177"/>
      <c r="S27" s="161"/>
      <c r="T27" s="177"/>
      <c r="U27" s="177"/>
      <c r="V27" s="177"/>
      <c r="W27" s="177"/>
      <c r="X27" s="177"/>
      <c r="Y27" s="177"/>
      <c r="Z27" s="161"/>
    </row>
    <row r="28" spans="2:26" s="232" customFormat="1" x14ac:dyDescent="0.25"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177"/>
      <c r="S28" s="161"/>
      <c r="T28" s="177"/>
      <c r="U28" s="177"/>
      <c r="V28" s="177"/>
      <c r="W28" s="177"/>
      <c r="X28" s="177"/>
      <c r="Y28" s="177"/>
      <c r="Z28" s="161"/>
    </row>
    <row r="29" spans="2:26" s="232" customFormat="1" x14ac:dyDescent="0.25"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177"/>
      <c r="S29" s="161"/>
      <c r="T29" s="177"/>
      <c r="U29" s="177"/>
      <c r="V29" s="177"/>
      <c r="W29" s="177"/>
      <c r="X29" s="177"/>
      <c r="Y29" s="177"/>
      <c r="Z29" s="161"/>
    </row>
    <row r="30" spans="2:26" s="232" customFormat="1" x14ac:dyDescent="0.25"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177"/>
      <c r="S30" s="161"/>
      <c r="T30" s="177"/>
      <c r="U30" s="177"/>
      <c r="V30" s="177"/>
      <c r="W30" s="177"/>
      <c r="X30" s="177"/>
      <c r="Y30" s="177"/>
      <c r="Z30" s="161"/>
    </row>
    <row r="31" spans="2:26" s="232" customFormat="1" x14ac:dyDescent="0.25"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177"/>
      <c r="S31" s="161"/>
      <c r="T31" s="177"/>
      <c r="U31" s="177"/>
      <c r="V31" s="177"/>
      <c r="W31" s="177"/>
      <c r="X31" s="177"/>
      <c r="Y31" s="177"/>
      <c r="Z31" s="161"/>
    </row>
    <row r="32" spans="2:26" s="232" customFormat="1" x14ac:dyDescent="0.25"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177"/>
      <c r="S32" s="161"/>
      <c r="T32" s="177"/>
      <c r="U32" s="177"/>
      <c r="V32" s="177"/>
      <c r="W32" s="177"/>
      <c r="X32" s="177"/>
      <c r="Y32" s="177"/>
      <c r="Z32" s="161"/>
    </row>
    <row r="33" spans="2:26" s="232" customFormat="1" x14ac:dyDescent="0.25"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177"/>
      <c r="S33" s="161"/>
      <c r="T33" s="177"/>
      <c r="U33" s="177"/>
      <c r="V33" s="177"/>
      <c r="W33" s="177"/>
      <c r="X33" s="177"/>
      <c r="Y33" s="177"/>
      <c r="Z33" s="161"/>
    </row>
    <row r="34" spans="2:26" s="232" customFormat="1" x14ac:dyDescent="0.25"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177"/>
      <c r="S34" s="161"/>
      <c r="T34" s="161"/>
      <c r="U34" s="161"/>
      <c r="V34" s="161"/>
      <c r="W34" s="161"/>
      <c r="X34" s="161"/>
      <c r="Y34" s="161"/>
      <c r="Z34" s="161"/>
    </row>
    <row r="35" spans="2:26" s="232" customFormat="1" x14ac:dyDescent="0.25"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177"/>
      <c r="S35" s="161"/>
      <c r="T35" s="161"/>
      <c r="U35" s="161"/>
      <c r="V35" s="161"/>
      <c r="W35" s="161"/>
      <c r="X35" s="161"/>
      <c r="Y35" s="161"/>
      <c r="Z35" s="161"/>
    </row>
    <row r="36" spans="2:26" s="232" customFormat="1" x14ac:dyDescent="0.25"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177"/>
      <c r="S36" s="161"/>
      <c r="T36" s="161"/>
      <c r="U36" s="161"/>
      <c r="V36" s="161"/>
      <c r="W36" s="161"/>
      <c r="X36" s="161"/>
      <c r="Y36" s="161"/>
      <c r="Z36" s="161"/>
    </row>
    <row r="37" spans="2:26" s="232" customFormat="1" x14ac:dyDescent="0.25"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177"/>
      <c r="S37" s="161"/>
      <c r="T37" s="161"/>
      <c r="U37" s="161"/>
      <c r="V37" s="161"/>
      <c r="W37" s="161"/>
      <c r="X37" s="161"/>
      <c r="Y37" s="161"/>
      <c r="Z37" s="161"/>
    </row>
    <row r="38" spans="2:26" s="232" customFormat="1" x14ac:dyDescent="0.25"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177"/>
      <c r="S38" s="161"/>
      <c r="T38" s="161"/>
      <c r="U38" s="161"/>
      <c r="V38" s="161"/>
      <c r="W38" s="161"/>
      <c r="X38" s="161"/>
      <c r="Y38" s="161"/>
      <c r="Z38" s="161"/>
    </row>
    <row r="39" spans="2:26" s="232" customFormat="1" x14ac:dyDescent="0.25"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177"/>
      <c r="S39" s="161"/>
      <c r="T39" s="161"/>
      <c r="U39" s="161"/>
      <c r="V39" s="161"/>
      <c r="W39" s="161"/>
      <c r="X39" s="161"/>
      <c r="Y39" s="161"/>
      <c r="Z39" s="161"/>
    </row>
    <row r="40" spans="2:26" s="232" customFormat="1" x14ac:dyDescent="0.25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177"/>
      <c r="S40" s="161"/>
      <c r="T40" s="161"/>
      <c r="U40" s="161"/>
      <c r="V40" s="161"/>
      <c r="W40" s="161"/>
      <c r="X40" s="161"/>
      <c r="Y40" s="161"/>
      <c r="Z40" s="161"/>
    </row>
    <row r="41" spans="2:26" s="232" customFormat="1" x14ac:dyDescent="0.25"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177"/>
      <c r="S41" s="161"/>
      <c r="T41" s="161"/>
      <c r="U41" s="161"/>
      <c r="V41" s="161"/>
      <c r="W41" s="161"/>
      <c r="X41" s="161"/>
      <c r="Y41" s="161"/>
      <c r="Z41" s="161"/>
    </row>
    <row r="42" spans="2:26" s="232" customFormat="1" x14ac:dyDescent="0.25"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177"/>
      <c r="S42" s="161"/>
      <c r="T42" s="161"/>
      <c r="U42" s="161"/>
      <c r="V42" s="161"/>
      <c r="W42" s="161"/>
      <c r="X42" s="161"/>
      <c r="Y42" s="161"/>
      <c r="Z42" s="161"/>
    </row>
    <row r="43" spans="2:26" s="232" customFormat="1" x14ac:dyDescent="0.25"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177"/>
      <c r="S43" s="161"/>
      <c r="T43" s="161"/>
      <c r="U43" s="161"/>
      <c r="V43" s="161"/>
      <c r="W43" s="161"/>
      <c r="X43" s="161"/>
      <c r="Y43" s="161"/>
      <c r="Z43" s="161"/>
    </row>
    <row r="44" spans="2:26" s="232" customFormat="1" x14ac:dyDescent="0.25"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177"/>
      <c r="S44" s="161"/>
      <c r="T44" s="161"/>
      <c r="U44" s="161"/>
      <c r="V44" s="161"/>
      <c r="W44" s="161"/>
      <c r="X44" s="161"/>
      <c r="Y44" s="161"/>
      <c r="Z44" s="161"/>
    </row>
    <row r="45" spans="2:26" s="232" customFormat="1" x14ac:dyDescent="0.25"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177"/>
      <c r="S45" s="161"/>
      <c r="T45" s="161"/>
      <c r="U45" s="161"/>
      <c r="V45" s="161"/>
      <c r="W45" s="161"/>
      <c r="X45" s="161"/>
      <c r="Y45" s="161"/>
      <c r="Z45" s="161"/>
    </row>
    <row r="46" spans="2:26" s="232" customFormat="1" x14ac:dyDescent="0.25"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177"/>
      <c r="S46" s="161"/>
      <c r="T46" s="161"/>
      <c r="U46" s="161"/>
      <c r="V46" s="161"/>
      <c r="W46" s="161"/>
      <c r="X46" s="161"/>
      <c r="Y46" s="161"/>
      <c r="Z46" s="161"/>
    </row>
    <row r="47" spans="2:26" s="232" customFormat="1" x14ac:dyDescent="0.25"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177"/>
      <c r="S47" s="161"/>
      <c r="T47" s="161"/>
      <c r="U47" s="161"/>
      <c r="V47" s="161"/>
      <c r="W47" s="161"/>
      <c r="X47" s="161"/>
      <c r="Y47" s="161"/>
      <c r="Z47" s="161"/>
    </row>
    <row r="48" spans="2:26" s="232" customFormat="1" x14ac:dyDescent="0.25"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177"/>
      <c r="S48" s="161"/>
      <c r="T48" s="161"/>
      <c r="U48" s="161"/>
      <c r="V48" s="161"/>
      <c r="W48" s="161"/>
      <c r="X48" s="161"/>
      <c r="Y48" s="161"/>
      <c r="Z48" s="161"/>
    </row>
    <row r="49" spans="2:26" s="232" customFormat="1" x14ac:dyDescent="0.25"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177"/>
      <c r="S49" s="161"/>
      <c r="T49" s="161"/>
      <c r="U49" s="161"/>
      <c r="V49" s="161"/>
      <c r="W49" s="161"/>
      <c r="X49" s="161"/>
      <c r="Y49" s="161"/>
      <c r="Z49" s="161"/>
    </row>
    <row r="50" spans="2:26" s="232" customFormat="1" x14ac:dyDescent="0.25"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177"/>
      <c r="S50" s="161"/>
      <c r="T50" s="161"/>
      <c r="U50" s="161"/>
      <c r="V50" s="161"/>
      <c r="W50" s="161"/>
      <c r="X50" s="161"/>
      <c r="Y50" s="161"/>
      <c r="Z50" s="161"/>
    </row>
    <row r="51" spans="2:26" x14ac:dyDescent="0.25"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5"/>
      <c r="O51" s="235"/>
      <c r="P51" s="235"/>
      <c r="Q51" s="235"/>
      <c r="R51" s="177"/>
    </row>
    <row r="52" spans="2:26" x14ac:dyDescent="0.25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5"/>
      <c r="O52" s="235"/>
      <c r="P52" s="235"/>
      <c r="Q52" s="235"/>
      <c r="R52" s="177"/>
    </row>
    <row r="53" spans="2:26" x14ac:dyDescent="0.25"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5"/>
      <c r="O53" s="235"/>
      <c r="P53" s="235"/>
      <c r="Q53" s="235"/>
      <c r="R53" s="177"/>
    </row>
    <row r="54" spans="2:26" x14ac:dyDescent="0.25"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5"/>
      <c r="O54" s="235"/>
      <c r="P54" s="235"/>
      <c r="Q54" s="235"/>
      <c r="R54" s="177"/>
    </row>
    <row r="55" spans="2:26" x14ac:dyDescent="0.25"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5"/>
      <c r="O55" s="235"/>
      <c r="P55" s="235"/>
      <c r="Q55" s="235"/>
      <c r="R55" s="177"/>
    </row>
    <row r="56" spans="2:26" x14ac:dyDescent="0.25"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5"/>
      <c r="O56" s="235"/>
      <c r="P56" s="235"/>
      <c r="Q56" s="235"/>
      <c r="R56" s="177"/>
    </row>
    <row r="57" spans="2:26" x14ac:dyDescent="0.25"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5"/>
      <c r="O57" s="235"/>
      <c r="P57" s="235"/>
      <c r="Q57" s="235"/>
      <c r="R57" s="177"/>
    </row>
  </sheetData>
  <mergeCells count="1">
    <mergeCell ref="B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57"/>
  <sheetViews>
    <sheetView topLeftCell="E1" workbookViewId="0">
      <selection activeCell="G7" sqref="G7"/>
    </sheetView>
  </sheetViews>
  <sheetFormatPr baseColWidth="10" defaultColWidth="11.42578125" defaultRowHeight="12.75" x14ac:dyDescent="0.25"/>
  <cols>
    <col min="1" max="1" width="1" style="160" customWidth="1"/>
    <col min="2" max="2" width="9.7109375" style="159" customWidth="1"/>
    <col min="3" max="3" width="2.5703125" style="159" customWidth="1"/>
    <col min="4" max="4" width="4.5703125" style="159" customWidth="1"/>
    <col min="5" max="5" width="52.85546875" style="159" customWidth="1"/>
    <col min="6" max="12" width="16.140625" style="159" customWidth="1"/>
    <col min="13" max="13" width="24.85546875" style="159" customWidth="1"/>
    <col min="14" max="17" width="11.85546875" style="160" customWidth="1"/>
    <col min="18" max="26" width="11.42578125" style="161"/>
    <col min="27" max="16384" width="11.42578125" style="160"/>
  </cols>
  <sheetData>
    <row r="1" spans="2:25" ht="6.75" customHeight="1" thickBot="1" x14ac:dyDescent="0.3">
      <c r="B1" s="157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2:25" ht="22.9" customHeight="1" x14ac:dyDescent="0.25">
      <c r="B2" s="162" t="s">
        <v>139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</row>
    <row r="3" spans="2:25" ht="15" customHeight="1" x14ac:dyDescent="0.25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</row>
    <row r="4" spans="2:25" ht="64.5" customHeight="1" x14ac:dyDescent="0.25">
      <c r="B4" s="383" t="s">
        <v>137</v>
      </c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5"/>
      <c r="N4" s="168"/>
      <c r="P4" s="169"/>
      <c r="Q4" s="169"/>
      <c r="R4" s="170"/>
      <c r="S4" s="170"/>
      <c r="T4" s="170"/>
      <c r="U4" s="170"/>
    </row>
    <row r="5" spans="2:25" ht="10.5" customHeight="1" x14ac:dyDescent="0.25">
      <c r="B5" s="171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67"/>
      <c r="P5" s="169"/>
      <c r="Q5" s="169"/>
      <c r="R5" s="170"/>
      <c r="S5" s="170"/>
      <c r="T5" s="170"/>
      <c r="U5" s="170"/>
    </row>
    <row r="6" spans="2:25" ht="15" customHeight="1" x14ac:dyDescent="0.25">
      <c r="B6" s="173" t="s">
        <v>115</v>
      </c>
      <c r="C6" s="174"/>
      <c r="D6" s="175" t="s">
        <v>116</v>
      </c>
      <c r="E6" s="174" t="s">
        <v>138</v>
      </c>
      <c r="F6" s="174"/>
      <c r="G6" s="174"/>
      <c r="H6" s="174"/>
      <c r="I6" s="174"/>
      <c r="J6" s="174"/>
      <c r="K6" s="174"/>
      <c r="L6" s="174"/>
      <c r="M6" s="167"/>
      <c r="P6" s="169"/>
      <c r="Q6" s="169"/>
      <c r="R6" s="170"/>
      <c r="S6" s="170"/>
      <c r="T6" s="176"/>
      <c r="U6" s="176"/>
      <c r="V6" s="177"/>
      <c r="W6" s="177"/>
      <c r="X6" s="177"/>
      <c r="Y6" s="177"/>
    </row>
    <row r="7" spans="2:25" ht="15" customHeight="1" x14ac:dyDescent="0.25">
      <c r="B7" s="178" t="s">
        <v>117</v>
      </c>
      <c r="C7" s="179"/>
      <c r="D7" s="180" t="s">
        <v>116</v>
      </c>
      <c r="E7" s="181" t="s">
        <v>19</v>
      </c>
      <c r="F7" s="181"/>
      <c r="G7" s="181"/>
      <c r="H7" s="181"/>
      <c r="I7" s="181"/>
      <c r="J7" s="181"/>
      <c r="K7" s="181"/>
      <c r="L7" s="181"/>
      <c r="M7" s="182"/>
      <c r="T7" s="177">
        <v>16910.97</v>
      </c>
      <c r="U7" s="177"/>
      <c r="V7" s="177"/>
      <c r="W7" s="177"/>
      <c r="X7" s="177"/>
      <c r="Y7" s="177"/>
    </row>
    <row r="8" spans="2:25" ht="15" customHeight="1" thickBot="1" x14ac:dyDescent="0.3">
      <c r="B8" s="183"/>
      <c r="C8" s="184"/>
      <c r="D8" s="185"/>
      <c r="E8" s="185"/>
      <c r="F8" s="185"/>
      <c r="G8" s="185"/>
      <c r="H8" s="185"/>
      <c r="I8" s="185"/>
      <c r="J8" s="185"/>
      <c r="K8" s="185"/>
      <c r="L8" s="185"/>
      <c r="M8" s="182" t="str">
        <f>tc</f>
        <v>T.C. (S//US$): 3,642</v>
      </c>
      <c r="T8" s="177"/>
      <c r="U8" s="177"/>
      <c r="V8" s="177"/>
      <c r="W8" s="177"/>
      <c r="X8" s="177"/>
      <c r="Y8" s="177"/>
    </row>
    <row r="9" spans="2:25" ht="27" customHeight="1" thickBot="1" x14ac:dyDescent="0.3">
      <c r="B9" s="186" t="s">
        <v>48</v>
      </c>
      <c r="C9" s="187" t="s">
        <v>118</v>
      </c>
      <c r="D9" s="188"/>
      <c r="E9" s="188"/>
      <c r="F9" s="403" t="s">
        <v>119</v>
      </c>
      <c r="G9" s="403" t="s">
        <v>120</v>
      </c>
      <c r="H9" s="403" t="s">
        <v>121</v>
      </c>
      <c r="I9" s="403" t="s">
        <v>122</v>
      </c>
      <c r="J9" s="403" t="s">
        <v>123</v>
      </c>
      <c r="K9" s="403" t="s">
        <v>124</v>
      </c>
      <c r="L9" s="403" t="s">
        <v>169</v>
      </c>
      <c r="M9" s="189" t="s">
        <v>125</v>
      </c>
      <c r="O9" s="169"/>
      <c r="P9" s="169"/>
      <c r="Q9" s="169"/>
      <c r="R9" s="170"/>
      <c r="S9" s="170"/>
      <c r="T9" s="176"/>
      <c r="U9" s="176"/>
      <c r="V9" s="177"/>
      <c r="W9" s="177"/>
      <c r="X9" s="177"/>
      <c r="Y9" s="177"/>
    </row>
    <row r="10" spans="2:25" ht="15" customHeight="1" x14ac:dyDescent="0.25">
      <c r="B10" s="190"/>
      <c r="C10" s="191"/>
      <c r="D10" s="192"/>
      <c r="E10" s="192"/>
      <c r="F10" s="192"/>
      <c r="G10" s="192"/>
      <c r="H10" s="192"/>
      <c r="I10" s="192"/>
      <c r="J10" s="192"/>
      <c r="K10" s="192"/>
      <c r="L10" s="192"/>
      <c r="M10" s="193"/>
      <c r="O10" s="169"/>
      <c r="P10" s="169"/>
      <c r="T10" s="177"/>
      <c r="U10" s="177"/>
      <c r="V10" s="177"/>
      <c r="W10" s="177"/>
      <c r="X10" s="177"/>
      <c r="Y10" s="177"/>
    </row>
    <row r="11" spans="2:25" ht="21.75" customHeight="1" x14ac:dyDescent="0.25">
      <c r="B11" s="194" t="s">
        <v>126</v>
      </c>
      <c r="C11" s="195"/>
      <c r="D11" s="195" t="s">
        <v>7</v>
      </c>
      <c r="E11" s="184"/>
      <c r="F11" s="196">
        <f>+RP!E12</f>
        <v>582.28</v>
      </c>
      <c r="G11" s="196">
        <f>+RP!F12</f>
        <v>6535.4000000000005</v>
      </c>
      <c r="H11" s="196">
        <f>+RP!G12</f>
        <v>29031.640000000003</v>
      </c>
      <c r="I11" s="196">
        <f>+RP!H12</f>
        <v>75295.259999999995</v>
      </c>
      <c r="J11" s="196">
        <f>+RP!I12</f>
        <v>111761.01</v>
      </c>
      <c r="K11" s="196">
        <f>+RP!J12</f>
        <v>0</v>
      </c>
      <c r="L11" s="196">
        <f>+RP!K12</f>
        <v>0</v>
      </c>
      <c r="M11" s="197">
        <f>+SUM(F11:L11)</f>
        <v>223205.59</v>
      </c>
      <c r="N11" s="198"/>
      <c r="O11" s="169"/>
      <c r="P11" s="375"/>
      <c r="Q11" s="169"/>
      <c r="R11" s="199"/>
      <c r="S11" s="199"/>
      <c r="T11" s="200"/>
      <c r="U11" s="177"/>
      <c r="V11" s="177"/>
      <c r="W11" s="177"/>
      <c r="X11" s="177"/>
      <c r="Y11" s="177"/>
    </row>
    <row r="12" spans="2:25" ht="21.75" customHeight="1" x14ac:dyDescent="0.25">
      <c r="B12" s="194" t="s">
        <v>127</v>
      </c>
      <c r="C12" s="201"/>
      <c r="D12" s="185" t="s">
        <v>128</v>
      </c>
      <c r="E12" s="185"/>
      <c r="F12" s="202">
        <f>+RP!E44</f>
        <v>1869.14</v>
      </c>
      <c r="G12" s="202">
        <f>+RP!F44</f>
        <v>2817.42</v>
      </c>
      <c r="H12" s="202">
        <f>+RP!G44</f>
        <v>6378.9500000000007</v>
      </c>
      <c r="I12" s="202">
        <f>+RP!H44</f>
        <v>11562.76</v>
      </c>
      <c r="J12" s="202">
        <f>+RP!I44</f>
        <v>25786.75</v>
      </c>
      <c r="K12" s="202">
        <f>+RP!J44</f>
        <v>10741.810000000001</v>
      </c>
      <c r="L12" s="202">
        <f>+RP!K44</f>
        <v>25698.66</v>
      </c>
      <c r="M12" s="197">
        <f>+SUM(F12:L12)</f>
        <v>84855.49</v>
      </c>
      <c r="N12" s="198"/>
      <c r="O12" s="170"/>
      <c r="P12" s="375"/>
      <c r="Q12" s="170"/>
      <c r="R12" s="199"/>
      <c r="S12" s="199"/>
      <c r="T12" s="200"/>
      <c r="U12" s="177"/>
      <c r="V12" s="177"/>
      <c r="W12" s="177"/>
      <c r="X12" s="177"/>
      <c r="Y12" s="177"/>
    </row>
    <row r="13" spans="2:25" ht="21.75" customHeight="1" thickBot="1" x14ac:dyDescent="0.3">
      <c r="B13" s="194" t="s">
        <v>129</v>
      </c>
      <c r="C13" s="201"/>
      <c r="D13" s="185" t="s">
        <v>130</v>
      </c>
      <c r="E13" s="185"/>
      <c r="F13" s="202">
        <f>+RP!E28</f>
        <v>778.71</v>
      </c>
      <c r="G13" s="202">
        <f>+RP!F28</f>
        <v>1693.29</v>
      </c>
      <c r="H13" s="202">
        <f>+RP!G28</f>
        <v>4051.7000000000007</v>
      </c>
      <c r="I13" s="202">
        <f>+RP!H28</f>
        <v>7449.59</v>
      </c>
      <c r="J13" s="202">
        <f>+RP!I28</f>
        <v>5141.9700000000012</v>
      </c>
      <c r="K13" s="202">
        <f>+RP!J28</f>
        <v>0</v>
      </c>
      <c r="L13" s="202">
        <f>+RP!K28</f>
        <v>0</v>
      </c>
      <c r="M13" s="197">
        <f>+SUM(F13:L13)</f>
        <v>19115.260000000002</v>
      </c>
      <c r="N13" s="203"/>
      <c r="O13" s="170"/>
      <c r="P13" s="375"/>
      <c r="Q13" s="170"/>
      <c r="R13" s="199"/>
      <c r="S13" s="199"/>
      <c r="T13" s="200"/>
      <c r="U13" s="177"/>
      <c r="V13" s="177"/>
      <c r="W13" s="177"/>
      <c r="X13" s="177"/>
      <c r="Y13" s="177"/>
    </row>
    <row r="14" spans="2:25" ht="35.25" customHeight="1" thickBot="1" x14ac:dyDescent="0.3">
      <c r="B14" s="204" t="s">
        <v>131</v>
      </c>
      <c r="C14" s="205"/>
      <c r="D14" s="206" t="s">
        <v>132</v>
      </c>
      <c r="E14" s="206"/>
      <c r="F14" s="207">
        <f>SUM(F11:F13)</f>
        <v>3230.13</v>
      </c>
      <c r="G14" s="207">
        <f t="shared" ref="G14:L14" si="0">SUM(G11:G13)</f>
        <v>11046.11</v>
      </c>
      <c r="H14" s="207">
        <f t="shared" si="0"/>
        <v>39462.290000000008</v>
      </c>
      <c r="I14" s="207">
        <f t="shared" si="0"/>
        <v>94307.609999999986</v>
      </c>
      <c r="J14" s="207">
        <f t="shared" ref="J14" si="1">SUM(J11:J13)</f>
        <v>142689.73000000001</v>
      </c>
      <c r="K14" s="207">
        <f t="shared" si="0"/>
        <v>10741.810000000001</v>
      </c>
      <c r="L14" s="207">
        <f t="shared" si="0"/>
        <v>25698.66</v>
      </c>
      <c r="M14" s="208">
        <f>SUM(M11:M13)</f>
        <v>327176.34000000003</v>
      </c>
      <c r="N14" s="198"/>
      <c r="O14" s="176"/>
      <c r="P14" s="375"/>
      <c r="Q14" s="176"/>
      <c r="R14" s="199"/>
      <c r="S14" s="199"/>
      <c r="T14" s="200"/>
      <c r="U14" s="177"/>
      <c r="V14" s="177"/>
      <c r="W14" s="177"/>
      <c r="X14" s="177"/>
      <c r="Y14" s="177"/>
    </row>
    <row r="15" spans="2:25" ht="8.25" customHeight="1" x14ac:dyDescent="0.25">
      <c r="B15" s="194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197"/>
      <c r="N15" s="198"/>
      <c r="P15" s="375"/>
      <c r="Q15" s="176"/>
      <c r="R15" s="199"/>
      <c r="S15" s="199"/>
      <c r="T15" s="200"/>
      <c r="U15" s="177"/>
      <c r="V15" s="177"/>
      <c r="W15" s="177"/>
      <c r="X15" s="177"/>
      <c r="Y15" s="177"/>
    </row>
    <row r="16" spans="2:25" ht="21.75" customHeight="1" x14ac:dyDescent="0.25">
      <c r="B16" s="211" t="s">
        <v>133</v>
      </c>
      <c r="C16" s="191"/>
      <c r="D16" s="191"/>
      <c r="E16" s="212" t="s">
        <v>88</v>
      </c>
      <c r="F16" s="212">
        <f>ROUND(+F14*$N$16,2)</f>
        <v>326.89</v>
      </c>
      <c r="G16" s="212">
        <f t="shared" ref="G16:L16" si="2">ROUND(+G14*$N$16,2)</f>
        <v>1117.8699999999999</v>
      </c>
      <c r="H16" s="212">
        <f t="shared" si="2"/>
        <v>3993.58</v>
      </c>
      <c r="I16" s="212">
        <f t="shared" si="2"/>
        <v>9543.93</v>
      </c>
      <c r="J16" s="212">
        <f t="shared" ref="J16" si="3">ROUND(+J14*$N$16,2)</f>
        <v>14440.2</v>
      </c>
      <c r="K16" s="212">
        <f t="shared" si="2"/>
        <v>1087.07</v>
      </c>
      <c r="L16" s="212">
        <f t="shared" si="2"/>
        <v>2600.6999999999998</v>
      </c>
      <c r="M16" s="197">
        <f>+SUM(F16:L16)+0.01</f>
        <v>33110.25</v>
      </c>
      <c r="N16" s="213">
        <v>0.1012</v>
      </c>
      <c r="O16" s="198"/>
      <c r="P16" s="375"/>
      <c r="Q16" s="214"/>
      <c r="R16" s="199"/>
      <c r="S16" s="199"/>
      <c r="T16" s="200"/>
      <c r="U16" s="177"/>
      <c r="V16" s="177"/>
      <c r="W16" s="177"/>
      <c r="X16" s="177"/>
      <c r="Y16" s="177"/>
    </row>
    <row r="17" spans="2:26" ht="21.75" customHeight="1" thickBot="1" x14ac:dyDescent="0.3">
      <c r="B17" s="211" t="s">
        <v>134</v>
      </c>
      <c r="C17" s="191"/>
      <c r="D17" s="191"/>
      <c r="E17" s="212" t="s">
        <v>136</v>
      </c>
      <c r="F17" s="212">
        <f>ROUND(+F14*$N$17,2)</f>
        <v>96.9</v>
      </c>
      <c r="G17" s="212">
        <f t="shared" ref="G17:L17" si="4">ROUND(+G14*$N$17,2)</f>
        <v>331.38</v>
      </c>
      <c r="H17" s="212">
        <f t="shared" si="4"/>
        <v>1183.8699999999999</v>
      </c>
      <c r="I17" s="212">
        <f t="shared" si="4"/>
        <v>2829.23</v>
      </c>
      <c r="J17" s="212">
        <f t="shared" ref="J17" si="5">ROUND(+J14*$N$17,2)</f>
        <v>4280.6899999999996</v>
      </c>
      <c r="K17" s="212">
        <f t="shared" si="4"/>
        <v>322.25</v>
      </c>
      <c r="L17" s="212">
        <f t="shared" si="4"/>
        <v>770.96</v>
      </c>
      <c r="M17" s="197">
        <f>+SUM(F17:L17)+0.01</f>
        <v>9815.2899999999991</v>
      </c>
      <c r="N17" s="215">
        <v>0.03</v>
      </c>
      <c r="O17" s="198"/>
      <c r="P17" s="375"/>
      <c r="Q17" s="214"/>
      <c r="R17" s="199"/>
      <c r="S17" s="199"/>
      <c r="T17" s="200"/>
      <c r="U17" s="177"/>
      <c r="V17" s="177"/>
      <c r="W17" s="177"/>
      <c r="X17" s="177"/>
      <c r="Y17" s="177"/>
    </row>
    <row r="18" spans="2:26" ht="13.5" customHeight="1" x14ac:dyDescent="0.25">
      <c r="B18" s="216"/>
      <c r="C18" s="217"/>
      <c r="D18" s="217"/>
      <c r="E18" s="218"/>
      <c r="F18" s="218"/>
      <c r="G18" s="218"/>
      <c r="H18" s="218"/>
      <c r="I18" s="218"/>
      <c r="J18" s="218"/>
      <c r="K18" s="218"/>
      <c r="L18" s="218"/>
      <c r="M18" s="219"/>
      <c r="N18" s="198"/>
      <c r="P18" s="375"/>
      <c r="Q18" s="214"/>
      <c r="R18" s="199"/>
      <c r="S18" s="199"/>
      <c r="T18" s="200"/>
      <c r="U18" s="177"/>
      <c r="V18" s="177"/>
      <c r="W18" s="177"/>
      <c r="X18" s="177"/>
      <c r="Y18" s="177"/>
    </row>
    <row r="19" spans="2:26" ht="21.75" customHeight="1" thickBot="1" x14ac:dyDescent="0.3">
      <c r="B19" s="220"/>
      <c r="C19" s="221"/>
      <c r="D19" s="222" t="s">
        <v>135</v>
      </c>
      <c r="E19" s="222"/>
      <c r="F19" s="223">
        <f>+F14+F16+F17</f>
        <v>3653.92</v>
      </c>
      <c r="G19" s="223">
        <f t="shared" ref="G19:L19" si="6">+G14+G16+G17</f>
        <v>12495.359999999999</v>
      </c>
      <c r="H19" s="223">
        <f t="shared" si="6"/>
        <v>44639.740000000013</v>
      </c>
      <c r="I19" s="223">
        <f t="shared" si="6"/>
        <v>106680.76999999997</v>
      </c>
      <c r="J19" s="223">
        <f t="shared" ref="J19" si="7">+J14+J16+J17</f>
        <v>161410.62000000002</v>
      </c>
      <c r="K19" s="223">
        <f t="shared" si="6"/>
        <v>12151.130000000001</v>
      </c>
      <c r="L19" s="223">
        <f t="shared" si="6"/>
        <v>29070.32</v>
      </c>
      <c r="M19" s="224">
        <f>+M14+M16+M17</f>
        <v>370101.88</v>
      </c>
      <c r="N19" s="198"/>
      <c r="O19" s="198"/>
      <c r="P19" s="375"/>
      <c r="Q19" s="214"/>
      <c r="R19" s="199"/>
      <c r="S19" s="199"/>
      <c r="T19" s="200"/>
      <c r="U19" s="177"/>
      <c r="V19" s="177"/>
      <c r="W19" s="177"/>
      <c r="X19" s="177"/>
      <c r="Y19" s="177"/>
    </row>
    <row r="20" spans="2:26" ht="11.25" customHeight="1" thickBot="1" x14ac:dyDescent="0.3">
      <c r="B20" s="225"/>
      <c r="C20" s="226"/>
      <c r="D20" s="221"/>
      <c r="E20" s="227"/>
      <c r="F20" s="227"/>
      <c r="G20" s="227"/>
      <c r="H20" s="227"/>
      <c r="I20" s="227"/>
      <c r="J20" s="227"/>
      <c r="K20" s="227"/>
      <c r="L20" s="227"/>
      <c r="M20" s="228"/>
      <c r="T20" s="177"/>
      <c r="U20" s="177"/>
      <c r="V20" s="177"/>
      <c r="W20" s="177"/>
      <c r="X20" s="177"/>
      <c r="Y20" s="177"/>
    </row>
    <row r="21" spans="2:26" ht="18.75" customHeight="1" x14ac:dyDescent="0.25">
      <c r="B21" s="229"/>
      <c r="C21" s="230"/>
      <c r="D21" s="230"/>
      <c r="E21" s="230"/>
      <c r="F21" s="405"/>
      <c r="G21" s="405"/>
      <c r="H21" s="405"/>
      <c r="I21" s="405"/>
      <c r="J21" s="405"/>
      <c r="K21" s="405"/>
      <c r="L21" s="405"/>
      <c r="T21" s="177"/>
      <c r="U21" s="177"/>
      <c r="V21" s="177"/>
      <c r="W21" s="177"/>
      <c r="X21" s="177"/>
      <c r="Y21" s="177"/>
    </row>
    <row r="22" spans="2:26" x14ac:dyDescent="0.25">
      <c r="F22" s="231"/>
      <c r="G22" s="231"/>
      <c r="H22" s="231"/>
      <c r="I22" s="231"/>
      <c r="J22" s="231"/>
      <c r="K22" s="231"/>
      <c r="L22" s="231"/>
      <c r="M22" s="231"/>
      <c r="T22" s="177"/>
      <c r="U22" s="177"/>
      <c r="V22" s="177"/>
      <c r="W22" s="177"/>
      <c r="X22" s="177"/>
      <c r="Y22" s="177"/>
    </row>
    <row r="23" spans="2:26" s="232" customFormat="1" x14ac:dyDescent="0.25">
      <c r="F23" s="232">
        <v>30.52</v>
      </c>
      <c r="R23" s="161"/>
      <c r="S23" s="161"/>
      <c r="T23" s="177"/>
      <c r="U23" s="177"/>
      <c r="V23" s="177"/>
      <c r="W23" s="177"/>
      <c r="X23" s="177"/>
      <c r="Y23" s="177"/>
      <c r="Z23" s="161"/>
    </row>
    <row r="24" spans="2:26" s="232" customFormat="1" x14ac:dyDescent="0.25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177"/>
      <c r="S24" s="161"/>
      <c r="T24" s="177"/>
      <c r="U24" s="177"/>
      <c r="V24" s="177"/>
      <c r="W24" s="177"/>
      <c r="X24" s="177"/>
      <c r="Y24" s="177"/>
      <c r="Z24" s="161"/>
    </row>
    <row r="25" spans="2:26" s="232" customFormat="1" x14ac:dyDescent="0.25"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177"/>
      <c r="S25" s="161"/>
      <c r="T25" s="177"/>
      <c r="U25" s="177"/>
      <c r="V25" s="177"/>
      <c r="W25" s="177"/>
      <c r="X25" s="177"/>
      <c r="Y25" s="177"/>
      <c r="Z25" s="161"/>
    </row>
    <row r="26" spans="2:26" s="232" customFormat="1" x14ac:dyDescent="0.25"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177"/>
      <c r="S26" s="161"/>
      <c r="T26" s="177"/>
      <c r="U26" s="177"/>
      <c r="V26" s="177"/>
      <c r="W26" s="177"/>
      <c r="X26" s="177"/>
      <c r="Y26" s="177"/>
      <c r="Z26" s="161"/>
    </row>
    <row r="27" spans="2:26" s="232" customFormat="1" x14ac:dyDescent="0.25"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177"/>
      <c r="S27" s="161"/>
      <c r="T27" s="177"/>
      <c r="U27" s="177"/>
      <c r="V27" s="177"/>
      <c r="W27" s="177"/>
      <c r="X27" s="177"/>
      <c r="Y27" s="177"/>
      <c r="Z27" s="161"/>
    </row>
    <row r="28" spans="2:26" s="232" customFormat="1" x14ac:dyDescent="0.25"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177"/>
      <c r="S28" s="161"/>
      <c r="T28" s="177"/>
      <c r="U28" s="177"/>
      <c r="V28" s="177"/>
      <c r="W28" s="177"/>
      <c r="X28" s="177"/>
      <c r="Y28" s="177"/>
      <c r="Z28" s="161"/>
    </row>
    <row r="29" spans="2:26" s="232" customFormat="1" x14ac:dyDescent="0.25"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177"/>
      <c r="S29" s="161"/>
      <c r="T29" s="177"/>
      <c r="U29" s="177"/>
      <c r="V29" s="177"/>
      <c r="W29" s="177"/>
      <c r="X29" s="177"/>
      <c r="Y29" s="177"/>
      <c r="Z29" s="161"/>
    </row>
    <row r="30" spans="2:26" s="232" customFormat="1" x14ac:dyDescent="0.25"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177"/>
      <c r="S30" s="161"/>
      <c r="T30" s="177"/>
      <c r="U30" s="177"/>
      <c r="V30" s="177"/>
      <c r="W30" s="177"/>
      <c r="X30" s="177"/>
      <c r="Y30" s="177"/>
      <c r="Z30" s="161"/>
    </row>
    <row r="31" spans="2:26" s="232" customFormat="1" x14ac:dyDescent="0.25"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177"/>
      <c r="S31" s="161"/>
      <c r="T31" s="177"/>
      <c r="U31" s="177"/>
      <c r="V31" s="177"/>
      <c r="W31" s="177"/>
      <c r="X31" s="177"/>
      <c r="Y31" s="177"/>
      <c r="Z31" s="161"/>
    </row>
    <row r="32" spans="2:26" s="232" customFormat="1" x14ac:dyDescent="0.25"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177"/>
      <c r="S32" s="161"/>
      <c r="T32" s="177"/>
      <c r="U32" s="177"/>
      <c r="V32" s="177"/>
      <c r="W32" s="177"/>
      <c r="X32" s="177"/>
      <c r="Y32" s="177"/>
      <c r="Z32" s="161"/>
    </row>
    <row r="33" spans="2:26" s="232" customFormat="1" x14ac:dyDescent="0.25"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177"/>
      <c r="S33" s="161"/>
      <c r="T33" s="177"/>
      <c r="U33" s="177"/>
      <c r="V33" s="177"/>
      <c r="W33" s="177"/>
      <c r="X33" s="177"/>
      <c r="Y33" s="177"/>
      <c r="Z33" s="161"/>
    </row>
    <row r="34" spans="2:26" s="232" customFormat="1" x14ac:dyDescent="0.25"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177"/>
      <c r="S34" s="161"/>
      <c r="T34" s="161"/>
      <c r="U34" s="161"/>
      <c r="V34" s="161"/>
      <c r="W34" s="161"/>
      <c r="X34" s="161"/>
      <c r="Y34" s="161"/>
      <c r="Z34" s="161"/>
    </row>
    <row r="35" spans="2:26" s="232" customFormat="1" x14ac:dyDescent="0.25"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177"/>
      <c r="S35" s="161"/>
      <c r="T35" s="161"/>
      <c r="U35" s="161"/>
      <c r="V35" s="161"/>
      <c r="W35" s="161"/>
      <c r="X35" s="161"/>
      <c r="Y35" s="161"/>
      <c r="Z35" s="161"/>
    </row>
    <row r="36" spans="2:26" s="232" customFormat="1" x14ac:dyDescent="0.25"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177"/>
      <c r="S36" s="161"/>
      <c r="T36" s="161"/>
      <c r="U36" s="161"/>
      <c r="V36" s="161"/>
      <c r="W36" s="161"/>
      <c r="X36" s="161"/>
      <c r="Y36" s="161"/>
      <c r="Z36" s="161"/>
    </row>
    <row r="37" spans="2:26" s="232" customFormat="1" x14ac:dyDescent="0.25"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177"/>
      <c r="S37" s="161"/>
      <c r="T37" s="161"/>
      <c r="U37" s="161"/>
      <c r="V37" s="161"/>
      <c r="W37" s="161"/>
      <c r="X37" s="161"/>
      <c r="Y37" s="161"/>
      <c r="Z37" s="161"/>
    </row>
    <row r="38" spans="2:26" s="232" customFormat="1" x14ac:dyDescent="0.25"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177"/>
      <c r="S38" s="161"/>
      <c r="T38" s="161"/>
      <c r="U38" s="161"/>
      <c r="V38" s="161"/>
      <c r="W38" s="161"/>
      <c r="X38" s="161"/>
      <c r="Y38" s="161"/>
      <c r="Z38" s="161"/>
    </row>
    <row r="39" spans="2:26" s="232" customFormat="1" x14ac:dyDescent="0.25"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177"/>
      <c r="S39" s="161"/>
      <c r="T39" s="161"/>
      <c r="U39" s="161"/>
      <c r="V39" s="161"/>
      <c r="W39" s="161"/>
      <c r="X39" s="161"/>
      <c r="Y39" s="161"/>
      <c r="Z39" s="161"/>
    </row>
    <row r="40" spans="2:26" s="232" customFormat="1" x14ac:dyDescent="0.25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177"/>
      <c r="S40" s="161"/>
      <c r="T40" s="161"/>
      <c r="U40" s="161"/>
      <c r="V40" s="161"/>
      <c r="W40" s="161"/>
      <c r="X40" s="161"/>
      <c r="Y40" s="161"/>
      <c r="Z40" s="161"/>
    </row>
    <row r="41" spans="2:26" s="232" customFormat="1" x14ac:dyDescent="0.25"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177"/>
      <c r="S41" s="161"/>
      <c r="T41" s="161"/>
      <c r="U41" s="161"/>
      <c r="V41" s="161"/>
      <c r="W41" s="161"/>
      <c r="X41" s="161"/>
      <c r="Y41" s="161"/>
      <c r="Z41" s="161"/>
    </row>
    <row r="42" spans="2:26" s="232" customFormat="1" x14ac:dyDescent="0.25"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177"/>
      <c r="S42" s="161"/>
      <c r="T42" s="161"/>
      <c r="U42" s="161"/>
      <c r="V42" s="161"/>
      <c r="W42" s="161"/>
      <c r="X42" s="161"/>
      <c r="Y42" s="161"/>
      <c r="Z42" s="161"/>
    </row>
    <row r="43" spans="2:26" s="232" customFormat="1" x14ac:dyDescent="0.25"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177"/>
      <c r="S43" s="161"/>
      <c r="T43" s="161"/>
      <c r="U43" s="161"/>
      <c r="V43" s="161"/>
      <c r="W43" s="161"/>
      <c r="X43" s="161"/>
      <c r="Y43" s="161"/>
      <c r="Z43" s="161"/>
    </row>
    <row r="44" spans="2:26" s="232" customFormat="1" x14ac:dyDescent="0.25"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177"/>
      <c r="S44" s="161"/>
      <c r="T44" s="161"/>
      <c r="U44" s="161"/>
      <c r="V44" s="161"/>
      <c r="W44" s="161"/>
      <c r="X44" s="161"/>
      <c r="Y44" s="161"/>
      <c r="Z44" s="161"/>
    </row>
    <row r="45" spans="2:26" s="232" customFormat="1" x14ac:dyDescent="0.25"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177"/>
      <c r="S45" s="161"/>
      <c r="T45" s="161"/>
      <c r="U45" s="161"/>
      <c r="V45" s="161"/>
      <c r="W45" s="161"/>
      <c r="X45" s="161"/>
      <c r="Y45" s="161"/>
      <c r="Z45" s="161"/>
    </row>
    <row r="46" spans="2:26" s="232" customFormat="1" x14ac:dyDescent="0.25"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177"/>
      <c r="S46" s="161"/>
      <c r="T46" s="161"/>
      <c r="U46" s="161"/>
      <c r="V46" s="161"/>
      <c r="W46" s="161"/>
      <c r="X46" s="161"/>
      <c r="Y46" s="161"/>
      <c r="Z46" s="161"/>
    </row>
    <row r="47" spans="2:26" s="232" customFormat="1" x14ac:dyDescent="0.25"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177"/>
      <c r="S47" s="161"/>
      <c r="T47" s="161"/>
      <c r="U47" s="161"/>
      <c r="V47" s="161"/>
      <c r="W47" s="161"/>
      <c r="X47" s="161"/>
      <c r="Y47" s="161"/>
      <c r="Z47" s="161"/>
    </row>
    <row r="48" spans="2:26" s="232" customFormat="1" x14ac:dyDescent="0.25"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177"/>
      <c r="S48" s="161"/>
      <c r="T48" s="161"/>
      <c r="U48" s="161"/>
      <c r="V48" s="161"/>
      <c r="W48" s="161"/>
      <c r="X48" s="161"/>
      <c r="Y48" s="161"/>
      <c r="Z48" s="161"/>
    </row>
    <row r="49" spans="2:26" s="232" customFormat="1" x14ac:dyDescent="0.25"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177"/>
      <c r="S49" s="161"/>
      <c r="T49" s="161"/>
      <c r="U49" s="161"/>
      <c r="V49" s="161"/>
      <c r="W49" s="161"/>
      <c r="X49" s="161"/>
      <c r="Y49" s="161"/>
      <c r="Z49" s="161"/>
    </row>
    <row r="50" spans="2:26" s="232" customFormat="1" x14ac:dyDescent="0.25"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177"/>
      <c r="S50" s="161"/>
      <c r="T50" s="161"/>
      <c r="U50" s="161"/>
      <c r="V50" s="161"/>
      <c r="W50" s="161"/>
      <c r="X50" s="161"/>
      <c r="Y50" s="161"/>
      <c r="Z50" s="161"/>
    </row>
    <row r="51" spans="2:26" x14ac:dyDescent="0.25"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5"/>
      <c r="O51" s="235"/>
      <c r="P51" s="235"/>
      <c r="Q51" s="235"/>
      <c r="R51" s="177"/>
    </row>
    <row r="52" spans="2:26" x14ac:dyDescent="0.25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5"/>
      <c r="O52" s="235"/>
      <c r="P52" s="235"/>
      <c r="Q52" s="235"/>
      <c r="R52" s="177"/>
    </row>
    <row r="53" spans="2:26" x14ac:dyDescent="0.25"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5"/>
      <c r="O53" s="235"/>
      <c r="P53" s="235"/>
      <c r="Q53" s="235"/>
      <c r="R53" s="177"/>
    </row>
    <row r="54" spans="2:26" x14ac:dyDescent="0.25"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5"/>
      <c r="O54" s="235"/>
      <c r="P54" s="235"/>
      <c r="Q54" s="235"/>
      <c r="R54" s="177"/>
    </row>
    <row r="55" spans="2:26" x14ac:dyDescent="0.25"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5"/>
      <c r="O55" s="235"/>
      <c r="P55" s="235"/>
      <c r="Q55" s="235"/>
      <c r="R55" s="177"/>
    </row>
    <row r="56" spans="2:26" x14ac:dyDescent="0.25"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5"/>
      <c r="O56" s="235"/>
      <c r="P56" s="235"/>
      <c r="Q56" s="235"/>
      <c r="R56" s="177"/>
    </row>
    <row r="57" spans="2:26" x14ac:dyDescent="0.25"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5"/>
      <c r="O57" s="235"/>
      <c r="P57" s="235"/>
      <c r="Q57" s="235"/>
      <c r="R57" s="177"/>
    </row>
  </sheetData>
  <mergeCells count="1">
    <mergeCell ref="B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57"/>
  <sheetViews>
    <sheetView topLeftCell="E1" workbookViewId="0">
      <selection activeCell="F6" sqref="F6"/>
    </sheetView>
  </sheetViews>
  <sheetFormatPr baseColWidth="10" defaultColWidth="11.42578125" defaultRowHeight="12.75" x14ac:dyDescent="0.25"/>
  <cols>
    <col min="1" max="1" width="1" style="160" customWidth="1"/>
    <col min="2" max="2" width="9.7109375" style="159" customWidth="1"/>
    <col min="3" max="3" width="2.5703125" style="159" customWidth="1"/>
    <col min="4" max="4" width="4.5703125" style="159" customWidth="1"/>
    <col min="5" max="5" width="52.85546875" style="159" customWidth="1"/>
    <col min="6" max="12" width="16.140625" style="159" customWidth="1"/>
    <col min="13" max="13" width="24.85546875" style="159" customWidth="1"/>
    <col min="14" max="17" width="11.85546875" style="160" customWidth="1"/>
    <col min="18" max="26" width="11.42578125" style="161"/>
    <col min="27" max="16384" width="11.42578125" style="160"/>
  </cols>
  <sheetData>
    <row r="1" spans="2:25" ht="6.75" customHeight="1" thickBot="1" x14ac:dyDescent="0.3">
      <c r="B1" s="157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2:25" ht="22.9" customHeight="1" x14ac:dyDescent="0.25">
      <c r="B2" s="162" t="s">
        <v>140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</row>
    <row r="3" spans="2:25" ht="15" customHeight="1" x14ac:dyDescent="0.25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</row>
    <row r="4" spans="2:25" ht="64.5" customHeight="1" x14ac:dyDescent="0.25">
      <c r="B4" s="383" t="s">
        <v>137</v>
      </c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5"/>
      <c r="N4" s="168"/>
      <c r="P4" s="169"/>
      <c r="Q4" s="169"/>
      <c r="R4" s="170"/>
      <c r="S4" s="170"/>
      <c r="T4" s="170"/>
      <c r="U4" s="170"/>
    </row>
    <row r="5" spans="2:25" ht="10.5" customHeight="1" x14ac:dyDescent="0.25">
      <c r="B5" s="171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67"/>
      <c r="P5" s="169"/>
      <c r="Q5" s="169"/>
      <c r="R5" s="170"/>
      <c r="S5" s="170"/>
      <c r="T5" s="170"/>
      <c r="U5" s="170"/>
    </row>
    <row r="6" spans="2:25" ht="15" customHeight="1" x14ac:dyDescent="0.25">
      <c r="B6" s="173" t="s">
        <v>115</v>
      </c>
      <c r="C6" s="174"/>
      <c r="D6" s="175" t="s">
        <v>116</v>
      </c>
      <c r="E6" s="174" t="s">
        <v>138</v>
      </c>
      <c r="F6" s="174"/>
      <c r="G6" s="174"/>
      <c r="H6" s="174"/>
      <c r="I6" s="174"/>
      <c r="J6" s="174"/>
      <c r="K6" s="174"/>
      <c r="L6" s="174"/>
      <c r="M6" s="167"/>
      <c r="P6" s="169"/>
      <c r="Q6" s="169"/>
      <c r="R6" s="170"/>
      <c r="S6" s="170"/>
      <c r="T6" s="176"/>
      <c r="U6" s="176"/>
      <c r="V6" s="177"/>
      <c r="W6" s="177"/>
      <c r="X6" s="177"/>
      <c r="Y6" s="177"/>
    </row>
    <row r="7" spans="2:25" ht="15" customHeight="1" x14ac:dyDescent="0.25">
      <c r="B7" s="178" t="s">
        <v>117</v>
      </c>
      <c r="C7" s="179"/>
      <c r="D7" s="180" t="s">
        <v>116</v>
      </c>
      <c r="E7" s="181" t="s">
        <v>24</v>
      </c>
      <c r="F7" s="181"/>
      <c r="G7" s="181"/>
      <c r="H7" s="181"/>
      <c r="I7" s="181"/>
      <c r="J7" s="181"/>
      <c r="K7" s="181"/>
      <c r="L7" s="181"/>
      <c r="M7" s="182" t="e">
        <f>Fecha</f>
        <v>#REF!</v>
      </c>
      <c r="T7" s="177">
        <v>16910.97</v>
      </c>
      <c r="U7" s="177"/>
      <c r="V7" s="177"/>
      <c r="W7" s="177"/>
      <c r="X7" s="177"/>
      <c r="Y7" s="177"/>
    </row>
    <row r="8" spans="2:25" ht="15" customHeight="1" thickBot="1" x14ac:dyDescent="0.3">
      <c r="B8" s="183"/>
      <c r="C8" s="184"/>
      <c r="D8" s="185"/>
      <c r="E8" s="185"/>
      <c r="F8" s="185"/>
      <c r="G8" s="185"/>
      <c r="H8" s="185"/>
      <c r="I8" s="185"/>
      <c r="J8" s="185"/>
      <c r="K8" s="185"/>
      <c r="L8" s="185"/>
      <c r="M8" s="182" t="str">
        <f>tc</f>
        <v>T.C. (S//US$): 3,642</v>
      </c>
      <c r="T8" s="177"/>
      <c r="U8" s="177"/>
      <c r="V8" s="177"/>
      <c r="W8" s="177"/>
      <c r="X8" s="177"/>
      <c r="Y8" s="177"/>
    </row>
    <row r="9" spans="2:25" ht="27" customHeight="1" thickBot="1" x14ac:dyDescent="0.3">
      <c r="B9" s="186" t="s">
        <v>48</v>
      </c>
      <c r="C9" s="187" t="s">
        <v>118</v>
      </c>
      <c r="D9" s="188"/>
      <c r="E9" s="188"/>
      <c r="F9" s="403" t="s">
        <v>119</v>
      </c>
      <c r="G9" s="403" t="s">
        <v>120</v>
      </c>
      <c r="H9" s="403" t="s">
        <v>121</v>
      </c>
      <c r="I9" s="403" t="s">
        <v>122</v>
      </c>
      <c r="J9" s="403" t="s">
        <v>123</v>
      </c>
      <c r="K9" s="403" t="s">
        <v>124</v>
      </c>
      <c r="L9" s="403" t="s">
        <v>169</v>
      </c>
      <c r="M9" s="189" t="s">
        <v>125</v>
      </c>
      <c r="O9" s="169"/>
      <c r="P9" s="169"/>
      <c r="Q9" s="169"/>
      <c r="R9" s="170"/>
      <c r="S9" s="170"/>
      <c r="T9" s="176"/>
      <c r="U9" s="176"/>
      <c r="V9" s="177"/>
      <c r="W9" s="177"/>
      <c r="X9" s="177"/>
      <c r="Y9" s="177"/>
    </row>
    <row r="10" spans="2:25" ht="15" customHeight="1" x14ac:dyDescent="0.25">
      <c r="B10" s="190"/>
      <c r="C10" s="191"/>
      <c r="D10" s="192"/>
      <c r="E10" s="192"/>
      <c r="F10" s="192"/>
      <c r="G10" s="192"/>
      <c r="H10" s="192"/>
      <c r="I10" s="192"/>
      <c r="J10" s="192"/>
      <c r="K10" s="192"/>
      <c r="L10" s="192"/>
      <c r="M10" s="193"/>
      <c r="O10" s="169"/>
      <c r="P10" s="169"/>
      <c r="T10" s="177"/>
      <c r="U10" s="177"/>
      <c r="V10" s="177"/>
      <c r="W10" s="177"/>
      <c r="X10" s="177"/>
      <c r="Y10" s="177"/>
    </row>
    <row r="11" spans="2:25" ht="21.75" customHeight="1" x14ac:dyDescent="0.25">
      <c r="B11" s="194" t="s">
        <v>126</v>
      </c>
      <c r="C11" s="195"/>
      <c r="D11" s="195" t="s">
        <v>7</v>
      </c>
      <c r="E11" s="184"/>
      <c r="F11" s="196">
        <f>+RS!E12</f>
        <v>1945.27</v>
      </c>
      <c r="G11" s="196">
        <f>+RS!F12</f>
        <v>13666.07</v>
      </c>
      <c r="H11" s="196">
        <f>+RS!G12</f>
        <v>51873.229999999996</v>
      </c>
      <c r="I11" s="196">
        <f>+RS!H12</f>
        <v>174912.29</v>
      </c>
      <c r="J11" s="196">
        <f>+RS!I12</f>
        <v>49262.500000000007</v>
      </c>
      <c r="K11" s="196">
        <f>+RS!J12</f>
        <v>128751.25</v>
      </c>
      <c r="L11" s="196">
        <f>+RS!K12</f>
        <v>0</v>
      </c>
      <c r="M11" s="197">
        <f>+SUM(F11:L11)</f>
        <v>420410.61</v>
      </c>
      <c r="N11" s="198"/>
      <c r="O11" s="169"/>
      <c r="P11" s="375"/>
      <c r="Q11" s="169"/>
      <c r="R11" s="199"/>
      <c r="S11" s="199"/>
      <c r="T11" s="200"/>
      <c r="U11" s="177"/>
      <c r="V11" s="177"/>
      <c r="W11" s="177"/>
      <c r="X11" s="177"/>
      <c r="Y11" s="177"/>
    </row>
    <row r="12" spans="2:25" ht="21.75" customHeight="1" x14ac:dyDescent="0.25">
      <c r="B12" s="194" t="s">
        <v>127</v>
      </c>
      <c r="C12" s="201"/>
      <c r="D12" s="185" t="s">
        <v>128</v>
      </c>
      <c r="E12" s="185"/>
      <c r="F12" s="202">
        <f>+RS!E34</f>
        <v>0</v>
      </c>
      <c r="G12" s="202">
        <f>+RS!F34</f>
        <v>9255.8799999999992</v>
      </c>
      <c r="H12" s="202">
        <f>+RS!G34</f>
        <v>16050.34</v>
      </c>
      <c r="I12" s="202">
        <f>+RS!H34</f>
        <v>25513.910000000003</v>
      </c>
      <c r="J12" s="202">
        <f>+RS!I34</f>
        <v>68832.52</v>
      </c>
      <c r="K12" s="202">
        <f>+RS!J34</f>
        <v>87917.82</v>
      </c>
      <c r="L12" s="202">
        <f>+RS!K34</f>
        <v>115446.45000000001</v>
      </c>
      <c r="M12" s="197">
        <f>+SUM(F12:L12)</f>
        <v>323016.92000000004</v>
      </c>
      <c r="N12" s="198"/>
      <c r="O12" s="170"/>
      <c r="P12" s="375"/>
      <c r="Q12" s="170"/>
      <c r="R12" s="199"/>
      <c r="S12" s="199"/>
      <c r="T12" s="200"/>
      <c r="U12" s="177"/>
      <c r="V12" s="177"/>
      <c r="W12" s="177"/>
      <c r="X12" s="177"/>
      <c r="Y12" s="177"/>
    </row>
    <row r="13" spans="2:25" ht="21.75" customHeight="1" thickBot="1" x14ac:dyDescent="0.3">
      <c r="B13" s="194" t="s">
        <v>129</v>
      </c>
      <c r="C13" s="201"/>
      <c r="D13" s="185" t="s">
        <v>130</v>
      </c>
      <c r="E13" s="185"/>
      <c r="F13" s="202">
        <f>+RS!E23</f>
        <v>1445.96</v>
      </c>
      <c r="G13" s="202">
        <f>+RS!F23</f>
        <v>4577.82</v>
      </c>
      <c r="H13" s="202">
        <f>+RS!G23</f>
        <v>13862.159999999998</v>
      </c>
      <c r="I13" s="202">
        <f>+RS!H23</f>
        <v>24395.54</v>
      </c>
      <c r="J13" s="202">
        <f>+RS!I23</f>
        <v>1652.31</v>
      </c>
      <c r="K13" s="202">
        <f>+RS!J23</f>
        <v>789.34</v>
      </c>
      <c r="L13" s="202">
        <f>+RS!K23</f>
        <v>0</v>
      </c>
      <c r="M13" s="197">
        <f>+SUM(F13:L13)</f>
        <v>46723.12999999999</v>
      </c>
      <c r="N13" s="203"/>
      <c r="O13" s="170"/>
      <c r="P13" s="375"/>
      <c r="Q13" s="170"/>
      <c r="R13" s="199"/>
      <c r="S13" s="199"/>
      <c r="T13" s="200"/>
      <c r="U13" s="177"/>
      <c r="V13" s="177"/>
      <c r="W13" s="177"/>
      <c r="X13" s="177"/>
      <c r="Y13" s="177"/>
    </row>
    <row r="14" spans="2:25" ht="35.25" customHeight="1" thickBot="1" x14ac:dyDescent="0.3">
      <c r="B14" s="204" t="s">
        <v>131</v>
      </c>
      <c r="C14" s="205"/>
      <c r="D14" s="206" t="s">
        <v>132</v>
      </c>
      <c r="E14" s="206"/>
      <c r="F14" s="207">
        <f>SUM(F11:F13)</f>
        <v>3391.23</v>
      </c>
      <c r="G14" s="207">
        <f t="shared" ref="G14:L14" si="0">SUM(G11:G13)</f>
        <v>27499.769999999997</v>
      </c>
      <c r="H14" s="207">
        <f t="shared" si="0"/>
        <v>81785.73</v>
      </c>
      <c r="I14" s="207">
        <f t="shared" si="0"/>
        <v>224821.74000000002</v>
      </c>
      <c r="J14" s="207">
        <f t="shared" ref="J14" si="1">SUM(J11:J13)</f>
        <v>119747.33000000002</v>
      </c>
      <c r="K14" s="207">
        <f t="shared" si="0"/>
        <v>217458.41</v>
      </c>
      <c r="L14" s="207">
        <f t="shared" si="0"/>
        <v>115446.45000000001</v>
      </c>
      <c r="M14" s="208">
        <f>SUM(M11:M13)</f>
        <v>790150.66</v>
      </c>
      <c r="N14" s="198"/>
      <c r="O14" s="176"/>
      <c r="P14" s="375"/>
      <c r="Q14" s="176"/>
      <c r="R14" s="199"/>
      <c r="S14" s="199"/>
      <c r="T14" s="200"/>
      <c r="U14" s="177"/>
      <c r="V14" s="177"/>
      <c r="W14" s="177"/>
      <c r="X14" s="177"/>
      <c r="Y14" s="177"/>
    </row>
    <row r="15" spans="2:25" ht="8.25" customHeight="1" x14ac:dyDescent="0.25">
      <c r="B15" s="194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197"/>
      <c r="N15" s="198"/>
      <c r="P15" s="375"/>
      <c r="Q15" s="176"/>
      <c r="R15" s="199"/>
      <c r="S15" s="199"/>
      <c r="T15" s="200"/>
      <c r="U15" s="177"/>
      <c r="V15" s="177"/>
      <c r="W15" s="177"/>
      <c r="X15" s="177"/>
      <c r="Y15" s="177"/>
    </row>
    <row r="16" spans="2:25" ht="21.75" customHeight="1" x14ac:dyDescent="0.25">
      <c r="B16" s="211" t="s">
        <v>133</v>
      </c>
      <c r="C16" s="191"/>
      <c r="D16" s="191"/>
      <c r="E16" s="212" t="s">
        <v>88</v>
      </c>
      <c r="F16" s="212">
        <f>ROUND(+F14*$N$16,2)</f>
        <v>343.19</v>
      </c>
      <c r="G16" s="212">
        <f t="shared" ref="G16:L16" si="2">ROUND(+G14*$N$16,2)</f>
        <v>2782.98</v>
      </c>
      <c r="H16" s="212">
        <f t="shared" si="2"/>
        <v>8276.7199999999993</v>
      </c>
      <c r="I16" s="212">
        <f t="shared" si="2"/>
        <v>22751.96</v>
      </c>
      <c r="J16" s="212">
        <f t="shared" ref="J16" si="3">ROUND(+J14*$N$16,2)</f>
        <v>12118.43</v>
      </c>
      <c r="K16" s="212">
        <f t="shared" si="2"/>
        <v>22006.79</v>
      </c>
      <c r="L16" s="212">
        <f t="shared" si="2"/>
        <v>11683.18</v>
      </c>
      <c r="M16" s="197">
        <f>+SUM(F16:L16)+0.01</f>
        <v>79963.259999999995</v>
      </c>
      <c r="N16" s="213">
        <v>0.1012</v>
      </c>
      <c r="O16" s="198"/>
      <c r="P16" s="375"/>
      <c r="Q16" s="214"/>
      <c r="R16" s="199"/>
      <c r="S16" s="199"/>
      <c r="T16" s="200"/>
      <c r="U16" s="177"/>
      <c r="V16" s="177"/>
      <c r="W16" s="177"/>
      <c r="X16" s="177"/>
      <c r="Y16" s="177"/>
    </row>
    <row r="17" spans="2:26" ht="21.75" customHeight="1" thickBot="1" x14ac:dyDescent="0.3">
      <c r="B17" s="211" t="s">
        <v>134</v>
      </c>
      <c r="C17" s="191"/>
      <c r="D17" s="191"/>
      <c r="E17" s="212" t="s">
        <v>136</v>
      </c>
      <c r="F17" s="212">
        <f>ROUND(+F14*$N$17,2)</f>
        <v>101.74</v>
      </c>
      <c r="G17" s="212">
        <f t="shared" ref="G17:L17" si="4">ROUND(+G14*$N$17,2)</f>
        <v>824.99</v>
      </c>
      <c r="H17" s="212">
        <f t="shared" si="4"/>
        <v>2453.5700000000002</v>
      </c>
      <c r="I17" s="212">
        <f t="shared" si="4"/>
        <v>6744.65</v>
      </c>
      <c r="J17" s="212">
        <f t="shared" ref="J17" si="5">ROUND(+J14*$N$17,2)</f>
        <v>3592.42</v>
      </c>
      <c r="K17" s="212">
        <f t="shared" si="4"/>
        <v>6523.75</v>
      </c>
      <c r="L17" s="212">
        <f t="shared" si="4"/>
        <v>3463.39</v>
      </c>
      <c r="M17" s="197">
        <f>+SUM(F17:L17)</f>
        <v>23704.510000000002</v>
      </c>
      <c r="N17" s="215">
        <v>0.03</v>
      </c>
      <c r="O17" s="198"/>
      <c r="P17" s="375"/>
      <c r="Q17" s="214"/>
      <c r="R17" s="199"/>
      <c r="S17" s="199"/>
      <c r="T17" s="200"/>
      <c r="U17" s="177"/>
      <c r="V17" s="177"/>
      <c r="W17" s="177"/>
      <c r="X17" s="177"/>
      <c r="Y17" s="177"/>
    </row>
    <row r="18" spans="2:26" ht="13.5" customHeight="1" x14ac:dyDescent="0.25">
      <c r="B18" s="216"/>
      <c r="C18" s="217"/>
      <c r="D18" s="217"/>
      <c r="E18" s="218"/>
      <c r="F18" s="218"/>
      <c r="G18" s="218"/>
      <c r="H18" s="218"/>
      <c r="I18" s="218"/>
      <c r="J18" s="218"/>
      <c r="K18" s="218"/>
      <c r="L18" s="218"/>
      <c r="M18" s="219"/>
      <c r="N18" s="198"/>
      <c r="P18" s="375"/>
      <c r="Q18" s="214"/>
      <c r="R18" s="199"/>
      <c r="S18" s="199"/>
      <c r="T18" s="200"/>
      <c r="U18" s="177"/>
      <c r="V18" s="177"/>
      <c r="W18" s="177"/>
      <c r="X18" s="177"/>
      <c r="Y18" s="177"/>
    </row>
    <row r="19" spans="2:26" ht="21.75" customHeight="1" thickBot="1" x14ac:dyDescent="0.3">
      <c r="B19" s="220"/>
      <c r="C19" s="221"/>
      <c r="D19" s="222" t="s">
        <v>135</v>
      </c>
      <c r="E19" s="222"/>
      <c r="F19" s="223">
        <f>+F14+F16+F17</f>
        <v>3836.16</v>
      </c>
      <c r="G19" s="223">
        <f t="shared" ref="G19:L19" si="6">+G14+G16+G17</f>
        <v>31107.739999999998</v>
      </c>
      <c r="H19" s="223">
        <f t="shared" si="6"/>
        <v>92516.02</v>
      </c>
      <c r="I19" s="223">
        <f t="shared" si="6"/>
        <v>254318.35</v>
      </c>
      <c r="J19" s="223">
        <f t="shared" ref="J19" si="7">+J14+J16+J17</f>
        <v>135458.18000000002</v>
      </c>
      <c r="K19" s="223">
        <f t="shared" si="6"/>
        <v>245988.95</v>
      </c>
      <c r="L19" s="223">
        <f t="shared" si="6"/>
        <v>130593.02</v>
      </c>
      <c r="M19" s="224">
        <f>+M14+M16+M17</f>
        <v>893818.43</v>
      </c>
      <c r="N19" s="198"/>
      <c r="O19" s="198"/>
      <c r="P19" s="375"/>
      <c r="Q19" s="214"/>
      <c r="R19" s="199"/>
      <c r="S19" s="199"/>
      <c r="T19" s="200"/>
      <c r="U19" s="177"/>
      <c r="V19" s="177"/>
      <c r="W19" s="177"/>
      <c r="X19" s="177"/>
      <c r="Y19" s="177"/>
    </row>
    <row r="20" spans="2:26" ht="11.25" customHeight="1" thickBot="1" x14ac:dyDescent="0.3">
      <c r="B20" s="225"/>
      <c r="C20" s="226"/>
      <c r="D20" s="221"/>
      <c r="E20" s="227"/>
      <c r="F20" s="227"/>
      <c r="G20" s="227"/>
      <c r="H20" s="227"/>
      <c r="I20" s="227"/>
      <c r="J20" s="227"/>
      <c r="K20" s="227"/>
      <c r="L20" s="227"/>
      <c r="M20" s="228"/>
      <c r="T20" s="177"/>
      <c r="U20" s="177"/>
      <c r="V20" s="177"/>
      <c r="W20" s="177"/>
      <c r="X20" s="177"/>
      <c r="Y20" s="177"/>
    </row>
    <row r="21" spans="2:26" ht="18.75" customHeight="1" x14ac:dyDescent="0.25">
      <c r="B21" s="229"/>
      <c r="C21" s="230"/>
      <c r="D21" s="230"/>
      <c r="E21" s="230"/>
      <c r="F21" s="404"/>
      <c r="G21" s="404"/>
      <c r="H21" s="404"/>
      <c r="I21" s="404"/>
      <c r="J21" s="404"/>
      <c r="K21" s="404"/>
      <c r="L21" s="404"/>
      <c r="T21" s="177"/>
      <c r="U21" s="177"/>
      <c r="V21" s="177"/>
      <c r="W21" s="177"/>
      <c r="X21" s="177"/>
      <c r="Y21" s="177"/>
    </row>
    <row r="22" spans="2:26" x14ac:dyDescent="0.25">
      <c r="F22" s="231"/>
      <c r="G22" s="231"/>
      <c r="H22" s="231"/>
      <c r="I22" s="231"/>
      <c r="J22" s="231"/>
      <c r="K22" s="231"/>
      <c r="L22" s="231"/>
      <c r="M22" s="231">
        <v>695458.08000000007</v>
      </c>
      <c r="T22" s="177"/>
      <c r="U22" s="177"/>
      <c r="V22" s="177"/>
      <c r="W22" s="177"/>
      <c r="X22" s="177"/>
      <c r="Y22" s="177"/>
    </row>
    <row r="23" spans="2:26" s="232" customFormat="1" x14ac:dyDescent="0.25">
      <c r="F23" s="232">
        <v>30.52</v>
      </c>
      <c r="R23" s="161"/>
      <c r="S23" s="161"/>
      <c r="T23" s="177"/>
      <c r="U23" s="177"/>
      <c r="V23" s="177"/>
      <c r="W23" s="177"/>
      <c r="X23" s="177"/>
      <c r="Y23" s="177"/>
      <c r="Z23" s="161"/>
    </row>
    <row r="24" spans="2:26" s="232" customFormat="1" x14ac:dyDescent="0.25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177"/>
      <c r="S24" s="161"/>
      <c r="T24" s="177"/>
      <c r="U24" s="177"/>
      <c r="V24" s="177"/>
      <c r="W24" s="177"/>
      <c r="X24" s="177"/>
      <c r="Y24" s="177"/>
      <c r="Z24" s="161"/>
    </row>
    <row r="25" spans="2:26" s="232" customFormat="1" x14ac:dyDescent="0.25"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177"/>
      <c r="S25" s="161"/>
      <c r="T25" s="177"/>
      <c r="U25" s="177"/>
      <c r="V25" s="177"/>
      <c r="W25" s="177"/>
      <c r="X25" s="177"/>
      <c r="Y25" s="177"/>
      <c r="Z25" s="161"/>
    </row>
    <row r="26" spans="2:26" s="232" customFormat="1" x14ac:dyDescent="0.25"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177"/>
      <c r="S26" s="161"/>
      <c r="T26" s="177"/>
      <c r="U26" s="177"/>
      <c r="V26" s="177"/>
      <c r="W26" s="177"/>
      <c r="X26" s="177"/>
      <c r="Y26" s="177"/>
      <c r="Z26" s="161"/>
    </row>
    <row r="27" spans="2:26" s="232" customFormat="1" x14ac:dyDescent="0.25"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177"/>
      <c r="S27" s="161"/>
      <c r="T27" s="177"/>
      <c r="U27" s="177"/>
      <c r="V27" s="177"/>
      <c r="W27" s="177"/>
      <c r="X27" s="177"/>
      <c r="Y27" s="177"/>
      <c r="Z27" s="161"/>
    </row>
    <row r="28" spans="2:26" s="232" customFormat="1" x14ac:dyDescent="0.25"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177"/>
      <c r="S28" s="161"/>
      <c r="T28" s="177"/>
      <c r="U28" s="177"/>
      <c r="V28" s="177"/>
      <c r="W28" s="177"/>
      <c r="X28" s="177"/>
      <c r="Y28" s="177"/>
      <c r="Z28" s="161"/>
    </row>
    <row r="29" spans="2:26" s="232" customFormat="1" x14ac:dyDescent="0.25"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177"/>
      <c r="S29" s="161"/>
      <c r="T29" s="177"/>
      <c r="U29" s="177"/>
      <c r="V29" s="177"/>
      <c r="W29" s="177"/>
      <c r="X29" s="177"/>
      <c r="Y29" s="177"/>
      <c r="Z29" s="161"/>
    </row>
    <row r="30" spans="2:26" s="232" customFormat="1" x14ac:dyDescent="0.25"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177"/>
      <c r="S30" s="161"/>
      <c r="T30" s="177"/>
      <c r="U30" s="177"/>
      <c r="V30" s="177"/>
      <c r="W30" s="177"/>
      <c r="X30" s="177"/>
      <c r="Y30" s="177"/>
      <c r="Z30" s="161"/>
    </row>
    <row r="31" spans="2:26" s="232" customFormat="1" x14ac:dyDescent="0.25"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177"/>
      <c r="S31" s="161"/>
      <c r="T31" s="177"/>
      <c r="U31" s="177"/>
      <c r="V31" s="177"/>
      <c r="W31" s="177"/>
      <c r="X31" s="177"/>
      <c r="Y31" s="177"/>
      <c r="Z31" s="161"/>
    </row>
    <row r="32" spans="2:26" s="232" customFormat="1" x14ac:dyDescent="0.25"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177"/>
      <c r="S32" s="161"/>
      <c r="T32" s="177"/>
      <c r="U32" s="177"/>
      <c r="V32" s="177"/>
      <c r="W32" s="177"/>
      <c r="X32" s="177"/>
      <c r="Y32" s="177"/>
      <c r="Z32" s="161"/>
    </row>
    <row r="33" spans="2:26" s="232" customFormat="1" x14ac:dyDescent="0.25"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177"/>
      <c r="S33" s="161"/>
      <c r="T33" s="177"/>
      <c r="U33" s="177"/>
      <c r="V33" s="177"/>
      <c r="W33" s="177"/>
      <c r="X33" s="177"/>
      <c r="Y33" s="177"/>
      <c r="Z33" s="161"/>
    </row>
    <row r="34" spans="2:26" s="232" customFormat="1" x14ac:dyDescent="0.25"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177"/>
      <c r="S34" s="161"/>
      <c r="T34" s="161"/>
      <c r="U34" s="161"/>
      <c r="V34" s="161"/>
      <c r="W34" s="161"/>
      <c r="X34" s="161"/>
      <c r="Y34" s="161"/>
      <c r="Z34" s="161"/>
    </row>
    <row r="35" spans="2:26" s="232" customFormat="1" x14ac:dyDescent="0.25"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177"/>
      <c r="S35" s="161"/>
      <c r="T35" s="161"/>
      <c r="U35" s="161"/>
      <c r="V35" s="161"/>
      <c r="W35" s="161"/>
      <c r="X35" s="161"/>
      <c r="Y35" s="161"/>
      <c r="Z35" s="161"/>
    </row>
    <row r="36" spans="2:26" s="232" customFormat="1" x14ac:dyDescent="0.25"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177"/>
      <c r="S36" s="161"/>
      <c r="T36" s="161"/>
      <c r="U36" s="161"/>
      <c r="V36" s="161"/>
      <c r="W36" s="161"/>
      <c r="X36" s="161"/>
      <c r="Y36" s="161"/>
      <c r="Z36" s="161"/>
    </row>
    <row r="37" spans="2:26" s="232" customFormat="1" x14ac:dyDescent="0.25"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177"/>
      <c r="S37" s="161"/>
      <c r="T37" s="161"/>
      <c r="U37" s="161"/>
      <c r="V37" s="161"/>
      <c r="W37" s="161"/>
      <c r="X37" s="161"/>
      <c r="Y37" s="161"/>
      <c r="Z37" s="161"/>
    </row>
    <row r="38" spans="2:26" s="232" customFormat="1" x14ac:dyDescent="0.25"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177"/>
      <c r="S38" s="161"/>
      <c r="T38" s="161"/>
      <c r="U38" s="161"/>
      <c r="V38" s="161"/>
      <c r="W38" s="161"/>
      <c r="X38" s="161"/>
      <c r="Y38" s="161"/>
      <c r="Z38" s="161"/>
    </row>
    <row r="39" spans="2:26" s="232" customFormat="1" x14ac:dyDescent="0.25"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177"/>
      <c r="S39" s="161"/>
      <c r="T39" s="161"/>
      <c r="U39" s="161"/>
      <c r="V39" s="161"/>
      <c r="W39" s="161"/>
      <c r="X39" s="161"/>
      <c r="Y39" s="161"/>
      <c r="Z39" s="161"/>
    </row>
    <row r="40" spans="2:26" s="232" customFormat="1" x14ac:dyDescent="0.25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177"/>
      <c r="S40" s="161"/>
      <c r="T40" s="161"/>
      <c r="U40" s="161"/>
      <c r="V40" s="161"/>
      <c r="W40" s="161"/>
      <c r="X40" s="161"/>
      <c r="Y40" s="161"/>
      <c r="Z40" s="161"/>
    </row>
    <row r="41" spans="2:26" s="232" customFormat="1" x14ac:dyDescent="0.25"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177"/>
      <c r="S41" s="161"/>
      <c r="T41" s="161"/>
      <c r="U41" s="161"/>
      <c r="V41" s="161"/>
      <c r="W41" s="161"/>
      <c r="X41" s="161"/>
      <c r="Y41" s="161"/>
      <c r="Z41" s="161"/>
    </row>
    <row r="42" spans="2:26" s="232" customFormat="1" x14ac:dyDescent="0.25"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177"/>
      <c r="S42" s="161"/>
      <c r="T42" s="161"/>
      <c r="U42" s="161"/>
      <c r="V42" s="161"/>
      <c r="W42" s="161"/>
      <c r="X42" s="161"/>
      <c r="Y42" s="161"/>
      <c r="Z42" s="161"/>
    </row>
    <row r="43" spans="2:26" s="232" customFormat="1" x14ac:dyDescent="0.25"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177"/>
      <c r="S43" s="161"/>
      <c r="T43" s="161"/>
      <c r="U43" s="161"/>
      <c r="V43" s="161"/>
      <c r="W43" s="161"/>
      <c r="X43" s="161"/>
      <c r="Y43" s="161"/>
      <c r="Z43" s="161"/>
    </row>
    <row r="44" spans="2:26" s="232" customFormat="1" x14ac:dyDescent="0.25"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177"/>
      <c r="S44" s="161"/>
      <c r="T44" s="161"/>
      <c r="U44" s="161"/>
      <c r="V44" s="161"/>
      <c r="W44" s="161"/>
      <c r="X44" s="161"/>
      <c r="Y44" s="161"/>
      <c r="Z44" s="161"/>
    </row>
    <row r="45" spans="2:26" s="232" customFormat="1" x14ac:dyDescent="0.25"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177"/>
      <c r="S45" s="161"/>
      <c r="T45" s="161"/>
      <c r="U45" s="161"/>
      <c r="V45" s="161"/>
      <c r="W45" s="161"/>
      <c r="X45" s="161"/>
      <c r="Y45" s="161"/>
      <c r="Z45" s="161"/>
    </row>
    <row r="46" spans="2:26" s="232" customFormat="1" x14ac:dyDescent="0.25"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177"/>
      <c r="S46" s="161"/>
      <c r="T46" s="161"/>
      <c r="U46" s="161"/>
      <c r="V46" s="161"/>
      <c r="W46" s="161"/>
      <c r="X46" s="161"/>
      <c r="Y46" s="161"/>
      <c r="Z46" s="161"/>
    </row>
    <row r="47" spans="2:26" s="232" customFormat="1" x14ac:dyDescent="0.25"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177"/>
      <c r="S47" s="161"/>
      <c r="T47" s="161"/>
      <c r="U47" s="161"/>
      <c r="V47" s="161"/>
      <c r="W47" s="161"/>
      <c r="X47" s="161"/>
      <c r="Y47" s="161"/>
      <c r="Z47" s="161"/>
    </row>
    <row r="48" spans="2:26" s="232" customFormat="1" x14ac:dyDescent="0.25"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177"/>
      <c r="S48" s="161"/>
      <c r="T48" s="161"/>
      <c r="U48" s="161"/>
      <c r="V48" s="161"/>
      <c r="W48" s="161"/>
      <c r="X48" s="161"/>
      <c r="Y48" s="161"/>
      <c r="Z48" s="161"/>
    </row>
    <row r="49" spans="2:26" s="232" customFormat="1" x14ac:dyDescent="0.25"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177"/>
      <c r="S49" s="161"/>
      <c r="T49" s="161"/>
      <c r="U49" s="161"/>
      <c r="V49" s="161"/>
      <c r="W49" s="161"/>
      <c r="X49" s="161"/>
      <c r="Y49" s="161"/>
      <c r="Z49" s="161"/>
    </row>
    <row r="50" spans="2:26" s="232" customFormat="1" x14ac:dyDescent="0.25"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177"/>
      <c r="S50" s="161"/>
      <c r="T50" s="161"/>
      <c r="U50" s="161"/>
      <c r="V50" s="161"/>
      <c r="W50" s="161"/>
      <c r="X50" s="161"/>
      <c r="Y50" s="161"/>
      <c r="Z50" s="161"/>
    </row>
    <row r="51" spans="2:26" x14ac:dyDescent="0.25"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5"/>
      <c r="O51" s="235"/>
      <c r="P51" s="235"/>
      <c r="Q51" s="235"/>
      <c r="R51" s="177"/>
    </row>
    <row r="52" spans="2:26" x14ac:dyDescent="0.25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5"/>
      <c r="O52" s="235"/>
      <c r="P52" s="235"/>
      <c r="Q52" s="235"/>
      <c r="R52" s="177"/>
    </row>
    <row r="53" spans="2:26" x14ac:dyDescent="0.25"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5"/>
      <c r="O53" s="235"/>
      <c r="P53" s="235"/>
      <c r="Q53" s="235"/>
      <c r="R53" s="177"/>
    </row>
    <row r="54" spans="2:26" x14ac:dyDescent="0.25"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5"/>
      <c r="O54" s="235"/>
      <c r="P54" s="235"/>
      <c r="Q54" s="235"/>
      <c r="R54" s="177"/>
    </row>
    <row r="55" spans="2:26" x14ac:dyDescent="0.25"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5"/>
      <c r="O55" s="235"/>
      <c r="P55" s="235"/>
      <c r="Q55" s="235"/>
      <c r="R55" s="177"/>
    </row>
    <row r="56" spans="2:26" x14ac:dyDescent="0.25"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5"/>
      <c r="O56" s="235"/>
      <c r="P56" s="235"/>
      <c r="Q56" s="235"/>
      <c r="R56" s="177"/>
    </row>
    <row r="57" spans="2:26" x14ac:dyDescent="0.25"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5"/>
      <c r="O57" s="235"/>
      <c r="P57" s="235"/>
      <c r="Q57" s="235"/>
      <c r="R57" s="177"/>
    </row>
  </sheetData>
  <mergeCells count="1">
    <mergeCell ref="B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Z57"/>
  <sheetViews>
    <sheetView topLeftCell="E1" workbookViewId="0">
      <selection activeCell="F7" sqref="F7"/>
    </sheetView>
  </sheetViews>
  <sheetFormatPr baseColWidth="10" defaultColWidth="11.42578125" defaultRowHeight="12.75" x14ac:dyDescent="0.25"/>
  <cols>
    <col min="1" max="1" width="1" style="160" customWidth="1"/>
    <col min="2" max="2" width="9.7109375" style="159" customWidth="1"/>
    <col min="3" max="3" width="2.5703125" style="159" customWidth="1"/>
    <col min="4" max="4" width="4.5703125" style="159" customWidth="1"/>
    <col min="5" max="5" width="52.85546875" style="159" customWidth="1"/>
    <col min="6" max="12" width="16.140625" style="159" customWidth="1"/>
    <col min="13" max="13" width="24.85546875" style="159" customWidth="1"/>
    <col min="14" max="17" width="11.85546875" style="160" customWidth="1"/>
    <col min="18" max="26" width="11.42578125" style="161"/>
    <col min="27" max="16384" width="11.42578125" style="160"/>
  </cols>
  <sheetData>
    <row r="1" spans="2:25" ht="6.75" customHeight="1" thickBot="1" x14ac:dyDescent="0.3">
      <c r="B1" s="157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2:25" ht="22.9" customHeight="1" x14ac:dyDescent="0.25">
      <c r="B2" s="162" t="s">
        <v>141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</row>
    <row r="3" spans="2:25" ht="15" customHeight="1" x14ac:dyDescent="0.25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</row>
    <row r="4" spans="2:25" ht="64.5" customHeight="1" x14ac:dyDescent="0.25">
      <c r="B4" s="383" t="s">
        <v>137</v>
      </c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5"/>
      <c r="N4" s="168"/>
      <c r="P4" s="169"/>
      <c r="Q4" s="169"/>
      <c r="R4" s="170"/>
      <c r="S4" s="170"/>
      <c r="T4" s="170"/>
      <c r="U4" s="170"/>
    </row>
    <row r="5" spans="2:25" ht="10.5" customHeight="1" x14ac:dyDescent="0.25">
      <c r="B5" s="171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67"/>
      <c r="P5" s="169"/>
      <c r="Q5" s="169"/>
      <c r="R5" s="170"/>
      <c r="S5" s="170"/>
      <c r="T5" s="170"/>
      <c r="U5" s="170"/>
    </row>
    <row r="6" spans="2:25" ht="15" customHeight="1" x14ac:dyDescent="0.25">
      <c r="B6" s="173" t="s">
        <v>115</v>
      </c>
      <c r="C6" s="174"/>
      <c r="D6" s="175" t="s">
        <v>116</v>
      </c>
      <c r="E6" s="174" t="s">
        <v>138</v>
      </c>
      <c r="F6" s="174"/>
      <c r="G6" s="174"/>
      <c r="H6" s="174"/>
      <c r="I6" s="174"/>
      <c r="J6" s="174"/>
      <c r="K6" s="174"/>
      <c r="L6" s="174"/>
      <c r="M6" s="167"/>
      <c r="P6" s="169"/>
      <c r="Q6" s="169"/>
      <c r="R6" s="170"/>
      <c r="S6" s="170"/>
      <c r="T6" s="176"/>
      <c r="U6" s="176"/>
      <c r="V6" s="177"/>
      <c r="W6" s="177"/>
      <c r="X6" s="177"/>
      <c r="Y6" s="177"/>
    </row>
    <row r="7" spans="2:25" ht="15" customHeight="1" x14ac:dyDescent="0.25">
      <c r="B7" s="178" t="s">
        <v>117</v>
      </c>
      <c r="C7" s="179"/>
      <c r="D7" s="180" t="s">
        <v>116</v>
      </c>
      <c r="E7" s="181" t="s">
        <v>32</v>
      </c>
      <c r="F7" s="181"/>
      <c r="G7" s="181"/>
      <c r="H7" s="181"/>
      <c r="I7" s="181"/>
      <c r="J7" s="181"/>
      <c r="K7" s="181"/>
      <c r="L7" s="181"/>
      <c r="M7" s="182" t="e">
        <f>Fecha</f>
        <v>#REF!</v>
      </c>
      <c r="T7" s="177">
        <v>16910.97</v>
      </c>
      <c r="U7" s="177"/>
      <c r="V7" s="177"/>
      <c r="W7" s="177"/>
      <c r="X7" s="177"/>
      <c r="Y7" s="177"/>
    </row>
    <row r="8" spans="2:25" ht="15" customHeight="1" thickBot="1" x14ac:dyDescent="0.3">
      <c r="B8" s="183"/>
      <c r="C8" s="184"/>
      <c r="D8" s="185"/>
      <c r="E8" s="185"/>
      <c r="F8" s="185"/>
      <c r="G8" s="185"/>
      <c r="H8" s="185"/>
      <c r="I8" s="185"/>
      <c r="J8" s="185"/>
      <c r="K8" s="185"/>
      <c r="L8" s="185"/>
      <c r="M8" s="182" t="str">
        <f>tc</f>
        <v>T.C. (S//US$): 3,642</v>
      </c>
      <c r="T8" s="177"/>
      <c r="U8" s="177"/>
      <c r="V8" s="177"/>
      <c r="W8" s="177"/>
      <c r="X8" s="177"/>
      <c r="Y8" s="177"/>
    </row>
    <row r="9" spans="2:25" ht="27" customHeight="1" thickBot="1" x14ac:dyDescent="0.3">
      <c r="B9" s="186" t="s">
        <v>48</v>
      </c>
      <c r="C9" s="187" t="s">
        <v>118</v>
      </c>
      <c r="D9" s="188"/>
      <c r="E9" s="188"/>
      <c r="F9" s="403" t="s">
        <v>119</v>
      </c>
      <c r="G9" s="403" t="s">
        <v>120</v>
      </c>
      <c r="H9" s="403" t="s">
        <v>121</v>
      </c>
      <c r="I9" s="403" t="s">
        <v>122</v>
      </c>
      <c r="J9" s="403" t="s">
        <v>123</v>
      </c>
      <c r="K9" s="403" t="s">
        <v>124</v>
      </c>
      <c r="L9" s="403" t="s">
        <v>169</v>
      </c>
      <c r="M9" s="189" t="s">
        <v>125</v>
      </c>
      <c r="O9" s="169"/>
      <c r="P9" s="169"/>
      <c r="Q9" s="169"/>
      <c r="R9" s="170"/>
      <c r="S9" s="170"/>
      <c r="T9" s="176"/>
      <c r="U9" s="176"/>
      <c r="V9" s="177"/>
      <c r="W9" s="177"/>
      <c r="X9" s="177"/>
      <c r="Y9" s="177"/>
    </row>
    <row r="10" spans="2:25" ht="15" customHeight="1" x14ac:dyDescent="0.25">
      <c r="B10" s="190"/>
      <c r="C10" s="191"/>
      <c r="D10" s="192"/>
      <c r="E10" s="192"/>
      <c r="F10" s="192"/>
      <c r="G10" s="192"/>
      <c r="H10" s="192"/>
      <c r="I10" s="192"/>
      <c r="J10" s="192"/>
      <c r="K10" s="192"/>
      <c r="L10" s="192"/>
      <c r="M10" s="193"/>
      <c r="O10" s="169"/>
      <c r="P10" s="169"/>
      <c r="T10" s="177"/>
      <c r="U10" s="177"/>
      <c r="V10" s="177"/>
      <c r="W10" s="177"/>
      <c r="X10" s="177"/>
      <c r="Y10" s="177"/>
    </row>
    <row r="11" spans="2:25" ht="21.75" customHeight="1" x14ac:dyDescent="0.25">
      <c r="B11" s="194" t="s">
        <v>126</v>
      </c>
      <c r="C11" s="195"/>
      <c r="D11" s="195" t="s">
        <v>7</v>
      </c>
      <c r="E11" s="184"/>
      <c r="F11" s="196">
        <f>+SFD!E12</f>
        <v>0</v>
      </c>
      <c r="G11" s="196">
        <f>+SFD!F12</f>
        <v>0</v>
      </c>
      <c r="H11" s="196">
        <f>+SFD!G12</f>
        <v>3572.7200000000003</v>
      </c>
      <c r="I11" s="196">
        <f>+SFD!H12</f>
        <v>13038.125</v>
      </c>
      <c r="J11" s="196">
        <f>+SFD!I12</f>
        <v>38038.124999999993</v>
      </c>
      <c r="K11" s="196">
        <f>+SFD!J12</f>
        <v>177319.41999999998</v>
      </c>
      <c r="L11" s="196">
        <f>+SFD!K12</f>
        <v>0</v>
      </c>
      <c r="M11" s="197">
        <f>+SUM(F11:L11)</f>
        <v>231968.38999999998</v>
      </c>
      <c r="N11" s="198"/>
      <c r="O11" s="169"/>
      <c r="P11" s="375"/>
      <c r="Q11" s="169"/>
      <c r="R11" s="199"/>
      <c r="S11" s="199"/>
      <c r="T11" s="200"/>
      <c r="U11" s="177"/>
      <c r="V11" s="177"/>
      <c r="W11" s="177"/>
      <c r="X11" s="177"/>
      <c r="Y11" s="177"/>
    </row>
    <row r="12" spans="2:25" ht="21.75" customHeight="1" x14ac:dyDescent="0.25">
      <c r="B12" s="194" t="s">
        <v>127</v>
      </c>
      <c r="C12" s="201"/>
      <c r="D12" s="185" t="s">
        <v>128</v>
      </c>
      <c r="E12" s="185"/>
      <c r="F12" s="202">
        <f>+SFD!E32</f>
        <v>0</v>
      </c>
      <c r="G12" s="202">
        <f>+SFD!F32</f>
        <v>0</v>
      </c>
      <c r="H12" s="202">
        <f>+SFD!G32</f>
        <v>0</v>
      </c>
      <c r="I12" s="202">
        <f>+SFD!H32</f>
        <v>0</v>
      </c>
      <c r="J12" s="202">
        <f>+SFD!I32</f>
        <v>1489.12</v>
      </c>
      <c r="K12" s="202">
        <f>+SFD!J32</f>
        <v>14841.27</v>
      </c>
      <c r="L12" s="202">
        <f>+SFD!K32</f>
        <v>32908.39</v>
      </c>
      <c r="M12" s="197">
        <f>+SUM(F12:L12)</f>
        <v>49238.78</v>
      </c>
      <c r="N12" s="198"/>
      <c r="O12" s="170"/>
      <c r="P12" s="375"/>
      <c r="Q12" s="170"/>
      <c r="R12" s="199"/>
      <c r="S12" s="199"/>
      <c r="T12" s="200"/>
      <c r="U12" s="177"/>
      <c r="V12" s="177"/>
      <c r="W12" s="177"/>
      <c r="X12" s="177"/>
      <c r="Y12" s="177"/>
    </row>
    <row r="13" spans="2:25" ht="21.75" customHeight="1" thickBot="1" x14ac:dyDescent="0.3">
      <c r="B13" s="194" t="s">
        <v>129</v>
      </c>
      <c r="C13" s="201"/>
      <c r="D13" s="185" t="s">
        <v>130</v>
      </c>
      <c r="E13" s="185"/>
      <c r="F13" s="202">
        <f>+SFD!E22</f>
        <v>0</v>
      </c>
      <c r="G13" s="202">
        <f>+SFD!F22</f>
        <v>0</v>
      </c>
      <c r="H13" s="202">
        <f>+SFD!G22</f>
        <v>0</v>
      </c>
      <c r="I13" s="202">
        <f>+SFD!H22</f>
        <v>1051.4599999999998</v>
      </c>
      <c r="J13" s="202">
        <f>+SFD!I22</f>
        <v>1051.4599999999998</v>
      </c>
      <c r="K13" s="202">
        <f>+SFD!J22</f>
        <v>4454.22</v>
      </c>
      <c r="L13" s="202">
        <f>+SFD!K22</f>
        <v>0</v>
      </c>
      <c r="M13" s="197">
        <f>+SUM(F13:L13)</f>
        <v>6557.1399999999994</v>
      </c>
      <c r="N13" s="203"/>
      <c r="O13" s="170"/>
      <c r="P13" s="375"/>
      <c r="Q13" s="170"/>
      <c r="R13" s="199"/>
      <c r="S13" s="199"/>
      <c r="T13" s="200"/>
      <c r="U13" s="177"/>
      <c r="V13" s="177"/>
      <c r="W13" s="177"/>
      <c r="X13" s="177"/>
      <c r="Y13" s="177"/>
    </row>
    <row r="14" spans="2:25" ht="35.25" customHeight="1" thickBot="1" x14ac:dyDescent="0.3">
      <c r="B14" s="204" t="s">
        <v>131</v>
      </c>
      <c r="C14" s="205"/>
      <c r="D14" s="206" t="s">
        <v>132</v>
      </c>
      <c r="E14" s="206"/>
      <c r="F14" s="207">
        <f>SUM(F11:F13)</f>
        <v>0</v>
      </c>
      <c r="G14" s="207">
        <f t="shared" ref="G14:L14" si="0">SUM(G11:G13)</f>
        <v>0</v>
      </c>
      <c r="H14" s="207">
        <f t="shared" si="0"/>
        <v>3572.7200000000003</v>
      </c>
      <c r="I14" s="207">
        <f t="shared" si="0"/>
        <v>14089.584999999999</v>
      </c>
      <c r="J14" s="207">
        <f t="shared" ref="J14" si="1">SUM(J11:J13)</f>
        <v>40578.704999999994</v>
      </c>
      <c r="K14" s="207">
        <f t="shared" si="0"/>
        <v>196614.90999999997</v>
      </c>
      <c r="L14" s="207">
        <f t="shared" si="0"/>
        <v>32908.39</v>
      </c>
      <c r="M14" s="208">
        <f>SUM(M11:M13)</f>
        <v>287764.31</v>
      </c>
      <c r="N14" s="198"/>
      <c r="O14" s="176"/>
      <c r="P14" s="375"/>
      <c r="Q14" s="176"/>
      <c r="R14" s="199"/>
      <c r="S14" s="199"/>
      <c r="T14" s="200"/>
      <c r="U14" s="177"/>
      <c r="V14" s="177"/>
      <c r="W14" s="177"/>
      <c r="X14" s="177"/>
      <c r="Y14" s="177"/>
    </row>
    <row r="15" spans="2:25" ht="8.25" customHeight="1" x14ac:dyDescent="0.25">
      <c r="B15" s="194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197"/>
      <c r="N15" s="198"/>
      <c r="P15" s="375"/>
      <c r="Q15" s="176"/>
      <c r="R15" s="199"/>
      <c r="S15" s="199"/>
      <c r="T15" s="200"/>
      <c r="U15" s="177"/>
      <c r="V15" s="177"/>
      <c r="W15" s="177"/>
      <c r="X15" s="177"/>
      <c r="Y15" s="177"/>
    </row>
    <row r="16" spans="2:25" ht="21.75" customHeight="1" x14ac:dyDescent="0.25">
      <c r="B16" s="211" t="s">
        <v>133</v>
      </c>
      <c r="C16" s="191"/>
      <c r="D16" s="191"/>
      <c r="E16" s="212" t="s">
        <v>88</v>
      </c>
      <c r="F16" s="212">
        <f>ROUND(+F14*$N$16,2)</f>
        <v>0</v>
      </c>
      <c r="G16" s="212">
        <f t="shared" ref="G16:L16" si="2">ROUND(+G14*$N$16,2)</f>
        <v>0</v>
      </c>
      <c r="H16" s="212">
        <f t="shared" si="2"/>
        <v>361.56</v>
      </c>
      <c r="I16" s="212">
        <f t="shared" si="2"/>
        <v>1425.87</v>
      </c>
      <c r="J16" s="212">
        <f t="shared" ref="J16" si="3">ROUND(+J14*$N$16,2)</f>
        <v>4106.5600000000004</v>
      </c>
      <c r="K16" s="212">
        <f t="shared" si="2"/>
        <v>19897.43</v>
      </c>
      <c r="L16" s="212">
        <f t="shared" si="2"/>
        <v>3330.33</v>
      </c>
      <c r="M16" s="197">
        <f>+SUM(F16:L16)</f>
        <v>29121.75</v>
      </c>
      <c r="N16" s="213">
        <v>0.1012</v>
      </c>
      <c r="O16" s="198"/>
      <c r="P16" s="375"/>
      <c r="Q16" s="214"/>
      <c r="R16" s="199"/>
      <c r="S16" s="199"/>
      <c r="T16" s="200"/>
      <c r="U16" s="177"/>
      <c r="V16" s="177"/>
      <c r="W16" s="177"/>
      <c r="X16" s="177"/>
      <c r="Y16" s="177"/>
    </row>
    <row r="17" spans="2:26" ht="21.75" customHeight="1" thickBot="1" x14ac:dyDescent="0.3">
      <c r="B17" s="211" t="s">
        <v>134</v>
      </c>
      <c r="C17" s="191"/>
      <c r="D17" s="191"/>
      <c r="E17" s="212" t="s">
        <v>136</v>
      </c>
      <c r="F17" s="212">
        <f>ROUND(+F14*$N$17,2)</f>
        <v>0</v>
      </c>
      <c r="G17" s="212">
        <f t="shared" ref="G17:L17" si="4">ROUND(+G14*$N$17,2)</f>
        <v>0</v>
      </c>
      <c r="H17" s="212">
        <f t="shared" si="4"/>
        <v>107.18</v>
      </c>
      <c r="I17" s="212">
        <f t="shared" si="4"/>
        <v>422.69</v>
      </c>
      <c r="J17" s="212">
        <f t="shared" ref="J17" si="5">ROUND(+J14*$N$17,2)</f>
        <v>1217.3599999999999</v>
      </c>
      <c r="K17" s="212">
        <f t="shared" si="4"/>
        <v>5898.45</v>
      </c>
      <c r="L17" s="212">
        <f t="shared" si="4"/>
        <v>987.25</v>
      </c>
      <c r="M17" s="197">
        <f>+SUM(F17:L17)+0.01</f>
        <v>8632.94</v>
      </c>
      <c r="N17" s="215">
        <v>0.03</v>
      </c>
      <c r="O17" s="198"/>
      <c r="P17" s="375"/>
      <c r="Q17" s="214"/>
      <c r="R17" s="199"/>
      <c r="S17" s="199"/>
      <c r="T17" s="200"/>
      <c r="U17" s="177"/>
      <c r="V17" s="177"/>
      <c r="W17" s="177"/>
      <c r="X17" s="177"/>
      <c r="Y17" s="177"/>
    </row>
    <row r="18" spans="2:26" ht="13.5" customHeight="1" x14ac:dyDescent="0.25">
      <c r="B18" s="216"/>
      <c r="C18" s="217"/>
      <c r="D18" s="217"/>
      <c r="E18" s="218"/>
      <c r="F18" s="218"/>
      <c r="G18" s="218"/>
      <c r="H18" s="218"/>
      <c r="I18" s="218"/>
      <c r="J18" s="218"/>
      <c r="K18" s="218"/>
      <c r="L18" s="218"/>
      <c r="M18" s="219"/>
      <c r="N18" s="198"/>
      <c r="P18" s="375"/>
      <c r="Q18" s="214"/>
      <c r="R18" s="199"/>
      <c r="S18" s="199"/>
      <c r="T18" s="200"/>
      <c r="U18" s="177"/>
      <c r="V18" s="177"/>
      <c r="W18" s="177"/>
      <c r="X18" s="177"/>
      <c r="Y18" s="177"/>
    </row>
    <row r="19" spans="2:26" ht="21.75" customHeight="1" thickBot="1" x14ac:dyDescent="0.3">
      <c r="B19" s="220"/>
      <c r="C19" s="221"/>
      <c r="D19" s="222" t="s">
        <v>135</v>
      </c>
      <c r="E19" s="222"/>
      <c r="F19" s="223">
        <f>+F14+F16+F17</f>
        <v>0</v>
      </c>
      <c r="G19" s="223">
        <f t="shared" ref="G19:L19" si="6">+G14+G16+G17</f>
        <v>0</v>
      </c>
      <c r="H19" s="223">
        <f t="shared" si="6"/>
        <v>4041.46</v>
      </c>
      <c r="I19" s="223">
        <f t="shared" si="6"/>
        <v>15938.144999999999</v>
      </c>
      <c r="J19" s="223">
        <f t="shared" ref="J19" si="7">+J14+J16+J17</f>
        <v>45902.624999999993</v>
      </c>
      <c r="K19" s="223">
        <f t="shared" si="6"/>
        <v>222410.78999999998</v>
      </c>
      <c r="L19" s="223">
        <f t="shared" si="6"/>
        <v>37225.97</v>
      </c>
      <c r="M19" s="224">
        <f>+M14+M16+M17</f>
        <v>325519</v>
      </c>
      <c r="N19" s="198"/>
      <c r="O19" s="198"/>
      <c r="P19" s="375"/>
      <c r="Q19" s="214"/>
      <c r="R19" s="199"/>
      <c r="S19" s="199"/>
      <c r="T19" s="200"/>
      <c r="U19" s="177"/>
      <c r="V19" s="177"/>
      <c r="W19" s="177"/>
      <c r="X19" s="177"/>
      <c r="Y19" s="177"/>
    </row>
    <row r="20" spans="2:26" ht="11.25" customHeight="1" thickBot="1" x14ac:dyDescent="0.3">
      <c r="B20" s="225"/>
      <c r="C20" s="226"/>
      <c r="D20" s="221"/>
      <c r="E20" s="227"/>
      <c r="F20" s="227"/>
      <c r="G20" s="227"/>
      <c r="H20" s="227"/>
      <c r="I20" s="227"/>
      <c r="J20" s="227"/>
      <c r="K20" s="227"/>
      <c r="L20" s="227"/>
      <c r="M20" s="228"/>
      <c r="T20" s="177"/>
      <c r="U20" s="177"/>
      <c r="V20" s="177"/>
      <c r="W20" s="177"/>
      <c r="X20" s="177"/>
      <c r="Y20" s="177"/>
    </row>
    <row r="21" spans="2:26" ht="18.75" customHeight="1" x14ac:dyDescent="0.25">
      <c r="B21" s="229"/>
      <c r="C21" s="230"/>
      <c r="D21" s="230"/>
      <c r="E21" s="230"/>
      <c r="F21" s="405"/>
      <c r="G21" s="405"/>
      <c r="H21" s="405"/>
      <c r="I21" s="405"/>
      <c r="J21" s="405"/>
      <c r="K21" s="405"/>
      <c r="L21" s="405"/>
      <c r="T21" s="177"/>
      <c r="U21" s="177"/>
      <c r="V21" s="177"/>
      <c r="W21" s="177"/>
      <c r="X21" s="177"/>
      <c r="Y21" s="177"/>
    </row>
    <row r="22" spans="2:26" x14ac:dyDescent="0.25">
      <c r="M22" s="231">
        <v>318768.10000000003</v>
      </c>
      <c r="T22" s="177"/>
      <c r="U22" s="177"/>
      <c r="V22" s="177"/>
      <c r="W22" s="177"/>
      <c r="X22" s="177"/>
      <c r="Y22" s="177"/>
    </row>
    <row r="23" spans="2:26" s="232" customFormat="1" x14ac:dyDescent="0.25">
      <c r="F23" s="232">
        <v>30.52</v>
      </c>
      <c r="R23" s="161"/>
      <c r="S23" s="161"/>
      <c r="T23" s="177"/>
      <c r="U23" s="177"/>
      <c r="V23" s="177"/>
      <c r="W23" s="177"/>
      <c r="X23" s="177"/>
      <c r="Y23" s="177"/>
      <c r="Z23" s="161"/>
    </row>
    <row r="24" spans="2:26" s="232" customFormat="1" x14ac:dyDescent="0.25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177"/>
      <c r="S24" s="161"/>
      <c r="T24" s="177"/>
      <c r="U24" s="177"/>
      <c r="V24" s="177"/>
      <c r="W24" s="177"/>
      <c r="X24" s="177"/>
      <c r="Y24" s="177"/>
      <c r="Z24" s="161"/>
    </row>
    <row r="25" spans="2:26" s="232" customFormat="1" x14ac:dyDescent="0.25"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177"/>
      <c r="S25" s="161"/>
      <c r="T25" s="177"/>
      <c r="U25" s="177"/>
      <c r="V25" s="177"/>
      <c r="W25" s="177"/>
      <c r="X25" s="177"/>
      <c r="Y25" s="177"/>
      <c r="Z25" s="161"/>
    </row>
    <row r="26" spans="2:26" s="232" customFormat="1" x14ac:dyDescent="0.25"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177"/>
      <c r="S26" s="161"/>
      <c r="T26" s="177"/>
      <c r="U26" s="177"/>
      <c r="V26" s="177"/>
      <c r="W26" s="177"/>
      <c r="X26" s="177"/>
      <c r="Y26" s="177"/>
      <c r="Z26" s="161"/>
    </row>
    <row r="27" spans="2:26" s="232" customFormat="1" x14ac:dyDescent="0.25"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177"/>
      <c r="S27" s="161"/>
      <c r="T27" s="177"/>
      <c r="U27" s="177"/>
      <c r="V27" s="177"/>
      <c r="W27" s="177"/>
      <c r="X27" s="177"/>
      <c r="Y27" s="177"/>
      <c r="Z27" s="161"/>
    </row>
    <row r="28" spans="2:26" s="232" customFormat="1" x14ac:dyDescent="0.25"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177"/>
      <c r="S28" s="161"/>
      <c r="T28" s="177"/>
      <c r="U28" s="177"/>
      <c r="V28" s="177"/>
      <c r="W28" s="177"/>
      <c r="X28" s="177"/>
      <c r="Y28" s="177"/>
      <c r="Z28" s="161"/>
    </row>
    <row r="29" spans="2:26" s="232" customFormat="1" x14ac:dyDescent="0.25"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177"/>
      <c r="S29" s="161"/>
      <c r="T29" s="177"/>
      <c r="U29" s="177"/>
      <c r="V29" s="177"/>
      <c r="W29" s="177"/>
      <c r="X29" s="177"/>
      <c r="Y29" s="177"/>
      <c r="Z29" s="161"/>
    </row>
    <row r="30" spans="2:26" s="232" customFormat="1" x14ac:dyDescent="0.25"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177"/>
      <c r="S30" s="161"/>
      <c r="T30" s="177"/>
      <c r="U30" s="177"/>
      <c r="V30" s="177"/>
      <c r="W30" s="177"/>
      <c r="X30" s="177"/>
      <c r="Y30" s="177"/>
      <c r="Z30" s="161"/>
    </row>
    <row r="31" spans="2:26" s="232" customFormat="1" x14ac:dyDescent="0.25"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177"/>
      <c r="S31" s="161"/>
      <c r="T31" s="177"/>
      <c r="U31" s="177"/>
      <c r="V31" s="177"/>
      <c r="W31" s="177"/>
      <c r="X31" s="177"/>
      <c r="Y31" s="177"/>
      <c r="Z31" s="161"/>
    </row>
    <row r="32" spans="2:26" s="232" customFormat="1" x14ac:dyDescent="0.25"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177"/>
      <c r="S32" s="161"/>
      <c r="T32" s="177"/>
      <c r="U32" s="177"/>
      <c r="V32" s="177"/>
      <c r="W32" s="177"/>
      <c r="X32" s="177"/>
      <c r="Y32" s="177"/>
      <c r="Z32" s="161"/>
    </row>
    <row r="33" spans="2:26" s="232" customFormat="1" x14ac:dyDescent="0.25"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177"/>
      <c r="S33" s="161"/>
      <c r="T33" s="177"/>
      <c r="U33" s="177"/>
      <c r="V33" s="177"/>
      <c r="W33" s="177"/>
      <c r="X33" s="177"/>
      <c r="Y33" s="177"/>
      <c r="Z33" s="161"/>
    </row>
    <row r="34" spans="2:26" s="232" customFormat="1" x14ac:dyDescent="0.25"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177"/>
      <c r="S34" s="161"/>
      <c r="T34" s="161"/>
      <c r="U34" s="161"/>
      <c r="V34" s="161"/>
      <c r="W34" s="161"/>
      <c r="X34" s="161"/>
      <c r="Y34" s="161"/>
      <c r="Z34" s="161"/>
    </row>
    <row r="35" spans="2:26" s="232" customFormat="1" x14ac:dyDescent="0.25"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177"/>
      <c r="S35" s="161"/>
      <c r="T35" s="161"/>
      <c r="U35" s="161"/>
      <c r="V35" s="161"/>
      <c r="W35" s="161"/>
      <c r="X35" s="161"/>
      <c r="Y35" s="161"/>
      <c r="Z35" s="161"/>
    </row>
    <row r="36" spans="2:26" s="232" customFormat="1" x14ac:dyDescent="0.25"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177"/>
      <c r="S36" s="161"/>
      <c r="T36" s="161"/>
      <c r="U36" s="161"/>
      <c r="V36" s="161"/>
      <c r="W36" s="161"/>
      <c r="X36" s="161"/>
      <c r="Y36" s="161"/>
      <c r="Z36" s="161"/>
    </row>
    <row r="37" spans="2:26" s="232" customFormat="1" x14ac:dyDescent="0.25"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177"/>
      <c r="S37" s="161"/>
      <c r="T37" s="161"/>
      <c r="U37" s="161"/>
      <c r="V37" s="161"/>
      <c r="W37" s="161"/>
      <c r="X37" s="161"/>
      <c r="Y37" s="161"/>
      <c r="Z37" s="161"/>
    </row>
    <row r="38" spans="2:26" s="232" customFormat="1" x14ac:dyDescent="0.25"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177"/>
      <c r="S38" s="161"/>
      <c r="T38" s="161"/>
      <c r="U38" s="161"/>
      <c r="V38" s="161"/>
      <c r="W38" s="161"/>
      <c r="X38" s="161"/>
      <c r="Y38" s="161"/>
      <c r="Z38" s="161"/>
    </row>
    <row r="39" spans="2:26" s="232" customFormat="1" x14ac:dyDescent="0.25"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177"/>
      <c r="S39" s="161"/>
      <c r="T39" s="161"/>
      <c r="U39" s="161"/>
      <c r="V39" s="161"/>
      <c r="W39" s="161"/>
      <c r="X39" s="161"/>
      <c r="Y39" s="161"/>
      <c r="Z39" s="161"/>
    </row>
    <row r="40" spans="2:26" s="232" customFormat="1" x14ac:dyDescent="0.25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177"/>
      <c r="S40" s="161"/>
      <c r="T40" s="161"/>
      <c r="U40" s="161"/>
      <c r="V40" s="161"/>
      <c r="W40" s="161"/>
      <c r="X40" s="161"/>
      <c r="Y40" s="161"/>
      <c r="Z40" s="161"/>
    </row>
    <row r="41" spans="2:26" s="232" customFormat="1" x14ac:dyDescent="0.25"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177"/>
      <c r="S41" s="161"/>
      <c r="T41" s="161"/>
      <c r="U41" s="161"/>
      <c r="V41" s="161"/>
      <c r="W41" s="161"/>
      <c r="X41" s="161"/>
      <c r="Y41" s="161"/>
      <c r="Z41" s="161"/>
    </row>
    <row r="42" spans="2:26" s="232" customFormat="1" x14ac:dyDescent="0.25"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177"/>
      <c r="S42" s="161"/>
      <c r="T42" s="161"/>
      <c r="U42" s="161"/>
      <c r="V42" s="161"/>
      <c r="W42" s="161"/>
      <c r="X42" s="161"/>
      <c r="Y42" s="161"/>
      <c r="Z42" s="161"/>
    </row>
    <row r="43" spans="2:26" s="232" customFormat="1" x14ac:dyDescent="0.25"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177"/>
      <c r="S43" s="161"/>
      <c r="T43" s="161"/>
      <c r="U43" s="161"/>
      <c r="V43" s="161"/>
      <c r="W43" s="161"/>
      <c r="X43" s="161"/>
      <c r="Y43" s="161"/>
      <c r="Z43" s="161"/>
    </row>
    <row r="44" spans="2:26" s="232" customFormat="1" x14ac:dyDescent="0.25"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177"/>
      <c r="S44" s="161"/>
      <c r="T44" s="161"/>
      <c r="U44" s="161"/>
      <c r="V44" s="161"/>
      <c r="W44" s="161"/>
      <c r="X44" s="161"/>
      <c r="Y44" s="161"/>
      <c r="Z44" s="161"/>
    </row>
    <row r="45" spans="2:26" s="232" customFormat="1" x14ac:dyDescent="0.25"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177"/>
      <c r="S45" s="161"/>
      <c r="T45" s="161"/>
      <c r="U45" s="161"/>
      <c r="V45" s="161"/>
      <c r="W45" s="161"/>
      <c r="X45" s="161"/>
      <c r="Y45" s="161"/>
      <c r="Z45" s="161"/>
    </row>
    <row r="46" spans="2:26" s="232" customFormat="1" x14ac:dyDescent="0.25"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177"/>
      <c r="S46" s="161"/>
      <c r="T46" s="161"/>
      <c r="U46" s="161"/>
      <c r="V46" s="161"/>
      <c r="W46" s="161"/>
      <c r="X46" s="161"/>
      <c r="Y46" s="161"/>
      <c r="Z46" s="161"/>
    </row>
    <row r="47" spans="2:26" s="232" customFormat="1" x14ac:dyDescent="0.25"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177"/>
      <c r="S47" s="161"/>
      <c r="T47" s="161"/>
      <c r="U47" s="161"/>
      <c r="V47" s="161"/>
      <c r="W47" s="161"/>
      <c r="X47" s="161"/>
      <c r="Y47" s="161"/>
      <c r="Z47" s="161"/>
    </row>
    <row r="48" spans="2:26" s="232" customFormat="1" x14ac:dyDescent="0.25"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177"/>
      <c r="S48" s="161"/>
      <c r="T48" s="161"/>
      <c r="U48" s="161"/>
      <c r="V48" s="161"/>
      <c r="W48" s="161"/>
      <c r="X48" s="161"/>
      <c r="Y48" s="161"/>
      <c r="Z48" s="161"/>
    </row>
    <row r="49" spans="2:26" s="232" customFormat="1" x14ac:dyDescent="0.25"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177"/>
      <c r="S49" s="161"/>
      <c r="T49" s="161"/>
      <c r="U49" s="161"/>
      <c r="V49" s="161"/>
      <c r="W49" s="161"/>
      <c r="X49" s="161"/>
      <c r="Y49" s="161"/>
      <c r="Z49" s="161"/>
    </row>
    <row r="50" spans="2:26" s="232" customFormat="1" x14ac:dyDescent="0.25"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177"/>
      <c r="S50" s="161"/>
      <c r="T50" s="161"/>
      <c r="U50" s="161"/>
      <c r="V50" s="161"/>
      <c r="W50" s="161"/>
      <c r="X50" s="161"/>
      <c r="Y50" s="161"/>
      <c r="Z50" s="161"/>
    </row>
    <row r="51" spans="2:26" x14ac:dyDescent="0.25"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5"/>
      <c r="O51" s="235"/>
      <c r="P51" s="235"/>
      <c r="Q51" s="235"/>
      <c r="R51" s="177"/>
    </row>
    <row r="52" spans="2:26" x14ac:dyDescent="0.25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5"/>
      <c r="O52" s="235"/>
      <c r="P52" s="235"/>
      <c r="Q52" s="235"/>
      <c r="R52" s="177"/>
    </row>
    <row r="53" spans="2:26" x14ac:dyDescent="0.25"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5"/>
      <c r="O53" s="235"/>
      <c r="P53" s="235"/>
      <c r="Q53" s="235"/>
      <c r="R53" s="177"/>
    </row>
    <row r="54" spans="2:26" x14ac:dyDescent="0.25"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5"/>
      <c r="O54" s="235"/>
      <c r="P54" s="235"/>
      <c r="Q54" s="235"/>
      <c r="R54" s="177"/>
    </row>
    <row r="55" spans="2:26" x14ac:dyDescent="0.25"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5"/>
      <c r="O55" s="235"/>
      <c r="P55" s="235"/>
      <c r="Q55" s="235"/>
      <c r="R55" s="177"/>
    </row>
    <row r="56" spans="2:26" x14ac:dyDescent="0.25"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5"/>
      <c r="O56" s="235"/>
      <c r="P56" s="235"/>
      <c r="Q56" s="235"/>
      <c r="R56" s="177"/>
    </row>
    <row r="57" spans="2:26" x14ac:dyDescent="0.25"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5"/>
      <c r="O57" s="235"/>
      <c r="P57" s="235"/>
      <c r="Q57" s="235"/>
      <c r="R57" s="177"/>
    </row>
  </sheetData>
  <mergeCells count="1">
    <mergeCell ref="B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72"/>
  <sheetViews>
    <sheetView showZeros="0" view="pageBreakPreview" zoomScale="90" zoomScaleNormal="90" zoomScaleSheetLayoutView="90" workbookViewId="0">
      <pane xSplit="3" ySplit="10" topLeftCell="G39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10" defaultColWidth="54.140625" defaultRowHeight="15" x14ac:dyDescent="0.25"/>
  <cols>
    <col min="1" max="1" width="2.140625" customWidth="1"/>
    <col min="2" max="2" width="15.5703125" style="1" customWidth="1"/>
    <col min="3" max="3" width="63.42578125" customWidth="1"/>
    <col min="4" max="4" width="1.28515625" style="23" customWidth="1"/>
    <col min="5" max="11" width="14" style="1" customWidth="1"/>
    <col min="12" max="12" width="1.28515625" style="54" customWidth="1"/>
    <col min="13" max="13" width="15.7109375" style="1" customWidth="1"/>
    <col min="14" max="14" width="13.7109375" style="1" customWidth="1"/>
    <col min="15" max="15" width="15.7109375" customWidth="1"/>
    <col min="16" max="21" width="14.28515625" customWidth="1"/>
    <col min="22" max="22" width="14" customWidth="1"/>
    <col min="23" max="24" width="9.42578125" customWidth="1"/>
    <col min="25" max="25" width="10.28515625" customWidth="1"/>
    <col min="26" max="52" width="6.85546875" customWidth="1"/>
  </cols>
  <sheetData>
    <row r="1" spans="2:23" s="2" customFormat="1" ht="19.5" customHeight="1" x14ac:dyDescent="0.25">
      <c r="B1" s="390" t="s">
        <v>50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"/>
    </row>
    <row r="2" spans="2:23" s="2" customFormat="1" ht="15.75" customHeight="1" x14ac:dyDescent="0.25">
      <c r="B2" s="59"/>
      <c r="C2" s="60"/>
      <c r="D2" s="61"/>
      <c r="E2" s="62"/>
      <c r="F2" s="62"/>
      <c r="G2" s="62"/>
      <c r="H2" s="62"/>
      <c r="I2" s="62"/>
      <c r="J2" s="62"/>
      <c r="K2" s="62"/>
      <c r="L2" s="63"/>
      <c r="M2" s="62"/>
      <c r="N2" s="3"/>
    </row>
    <row r="3" spans="2:23" s="2" customFormat="1" ht="18.75" customHeight="1" x14ac:dyDescent="0.25">
      <c r="B3" s="112" t="s">
        <v>51</v>
      </c>
      <c r="C3" s="113" t="s">
        <v>68</v>
      </c>
      <c r="D3" s="61"/>
      <c r="E3" s="62"/>
      <c r="F3" s="62"/>
      <c r="G3" s="62"/>
      <c r="H3" s="62"/>
      <c r="I3" s="62"/>
      <c r="J3" s="62"/>
      <c r="K3" s="62"/>
      <c r="L3" s="63"/>
      <c r="M3" s="62"/>
      <c r="N3" s="3"/>
    </row>
    <row r="4" spans="2:23" s="2" customFormat="1" ht="18.75" customHeight="1" x14ac:dyDescent="0.25">
      <c r="B4" s="112" t="s">
        <v>55</v>
      </c>
      <c r="C4" s="113" t="s">
        <v>56</v>
      </c>
      <c r="D4" s="61"/>
      <c r="E4" s="62"/>
      <c r="F4" s="62"/>
      <c r="G4" s="62"/>
      <c r="H4" s="62"/>
      <c r="I4" s="62"/>
      <c r="J4" s="62"/>
      <c r="K4" s="62"/>
      <c r="L4" s="63"/>
      <c r="M4" s="62"/>
      <c r="N4" s="3"/>
    </row>
    <row r="5" spans="2:23" s="2" customFormat="1" ht="18.75" customHeight="1" x14ac:dyDescent="0.25">
      <c r="B5" s="112" t="s">
        <v>52</v>
      </c>
      <c r="C5" s="113" t="s">
        <v>69</v>
      </c>
      <c r="D5" s="61"/>
      <c r="E5" s="62"/>
      <c r="F5" s="62"/>
      <c r="G5" s="62"/>
      <c r="H5" s="62"/>
      <c r="I5" s="62"/>
      <c r="J5" s="62"/>
      <c r="K5" s="62"/>
      <c r="L5" s="63"/>
      <c r="M5" s="62"/>
      <c r="N5" s="3"/>
    </row>
    <row r="6" spans="2:23" s="2" customFormat="1" ht="18.75" customHeight="1" x14ac:dyDescent="0.25">
      <c r="B6" s="112" t="s">
        <v>53</v>
      </c>
      <c r="C6" s="113" t="s">
        <v>427</v>
      </c>
      <c r="D6" s="61"/>
      <c r="E6" s="62"/>
      <c r="F6" s="62"/>
      <c r="G6" s="62"/>
      <c r="H6" s="372"/>
      <c r="I6" s="372"/>
      <c r="J6" s="372"/>
      <c r="K6" s="62"/>
      <c r="L6" s="63"/>
      <c r="M6" s="62"/>
      <c r="N6" s="3"/>
    </row>
    <row r="7" spans="2:23" s="2" customFormat="1" ht="18.75" customHeight="1" x14ac:dyDescent="0.25">
      <c r="B7" s="112" t="s">
        <v>54</v>
      </c>
      <c r="C7" s="113" t="s">
        <v>165</v>
      </c>
      <c r="D7" s="61"/>
      <c r="E7" s="62"/>
      <c r="F7" s="62"/>
      <c r="G7" s="62"/>
      <c r="H7" s="62"/>
      <c r="I7" s="62"/>
      <c r="J7" s="62"/>
      <c r="K7" s="62"/>
      <c r="L7" s="63"/>
      <c r="M7" s="62"/>
      <c r="N7" s="3"/>
    </row>
    <row r="8" spans="2:23" s="2" customFormat="1" ht="15.75" customHeight="1" x14ac:dyDescent="0.25">
      <c r="B8" s="3"/>
      <c r="D8" s="22"/>
      <c r="E8" s="3"/>
      <c r="F8" s="7"/>
      <c r="G8" s="7"/>
      <c r="H8" s="7"/>
      <c r="I8" s="7"/>
      <c r="J8" s="7"/>
      <c r="K8" s="7"/>
      <c r="L8" s="50"/>
      <c r="M8" s="3"/>
      <c r="N8" s="3"/>
    </row>
    <row r="9" spans="2:23" s="14" customFormat="1" ht="20.25" customHeight="1" x14ac:dyDescent="0.25">
      <c r="B9" s="388" t="s">
        <v>48</v>
      </c>
      <c r="C9" s="388" t="s">
        <v>49</v>
      </c>
      <c r="D9" s="26"/>
      <c r="E9" s="145" t="s">
        <v>42</v>
      </c>
      <c r="F9" s="145" t="s">
        <v>43</v>
      </c>
      <c r="G9" s="145" t="s">
        <v>44</v>
      </c>
      <c r="H9" s="145" t="s">
        <v>45</v>
      </c>
      <c r="I9" s="145" t="s">
        <v>46</v>
      </c>
      <c r="J9" s="145" t="s">
        <v>47</v>
      </c>
      <c r="K9" s="145" t="s">
        <v>173</v>
      </c>
      <c r="L9" s="50"/>
      <c r="M9" s="386" t="s">
        <v>34</v>
      </c>
      <c r="N9" s="27"/>
      <c r="O9" s="28"/>
    </row>
    <row r="10" spans="2:23" s="14" customFormat="1" ht="20.25" customHeight="1" x14ac:dyDescent="0.25">
      <c r="B10" s="389"/>
      <c r="C10" s="389"/>
      <c r="D10" s="26"/>
      <c r="E10" s="145" t="s">
        <v>119</v>
      </c>
      <c r="F10" s="145" t="s">
        <v>120</v>
      </c>
      <c r="G10" s="145" t="s">
        <v>121</v>
      </c>
      <c r="H10" s="145" t="s">
        <v>122</v>
      </c>
      <c r="I10" s="145" t="s">
        <v>123</v>
      </c>
      <c r="J10" s="145" t="s">
        <v>124</v>
      </c>
      <c r="K10" s="145" t="s">
        <v>169</v>
      </c>
      <c r="L10" s="50"/>
      <c r="M10" s="387"/>
      <c r="N10" s="29"/>
      <c r="P10" s="30"/>
      <c r="Q10" s="30"/>
      <c r="R10" s="30"/>
      <c r="S10" s="30"/>
      <c r="T10" s="30"/>
      <c r="U10" s="30"/>
      <c r="V10" s="30"/>
      <c r="W10" s="30"/>
    </row>
    <row r="11" spans="2:23" s="2" customFormat="1" ht="20.25" customHeight="1" x14ac:dyDescent="0.25">
      <c r="B11" s="107"/>
      <c r="C11" s="108" t="s">
        <v>0</v>
      </c>
      <c r="D11" s="109"/>
      <c r="E11" s="110"/>
      <c r="F11" s="110"/>
      <c r="G11" s="110"/>
      <c r="H11" s="110"/>
      <c r="I11" s="110"/>
      <c r="J11" s="110"/>
      <c r="K11" s="110"/>
      <c r="L11" s="111"/>
      <c r="M11" s="110"/>
      <c r="N11" s="6"/>
      <c r="P11" s="29"/>
      <c r="Q11" s="29"/>
      <c r="R11" s="29"/>
      <c r="S11" s="29"/>
      <c r="T11" s="29"/>
      <c r="U11" s="29"/>
      <c r="V11" s="29"/>
      <c r="W11" s="29"/>
    </row>
    <row r="12" spans="2:23" s="14" customFormat="1" ht="20.25" customHeight="1" x14ac:dyDescent="0.25">
      <c r="B12" s="107"/>
      <c r="C12" s="108" t="s">
        <v>7</v>
      </c>
      <c r="D12" s="109"/>
      <c r="E12" s="110">
        <f>SUM(E13:E25)</f>
        <v>4113.3100000000004</v>
      </c>
      <c r="F12" s="110">
        <f t="shared" ref="F12:K12" si="0">SUM(F13:F25)</f>
        <v>28952.002000000004</v>
      </c>
      <c r="G12" s="110">
        <f t="shared" si="0"/>
        <v>109978.38800000001</v>
      </c>
      <c r="H12" s="110">
        <f t="shared" si="0"/>
        <v>264989.59000000008</v>
      </c>
      <c r="I12" s="110">
        <f t="shared" ref="I12" si="1">SUM(I13:I25)</f>
        <v>275696.90000000002</v>
      </c>
      <c r="J12" s="110">
        <f t="shared" si="0"/>
        <v>0</v>
      </c>
      <c r="K12" s="110">
        <f t="shared" si="0"/>
        <v>0</v>
      </c>
      <c r="L12" s="111"/>
      <c r="M12" s="110">
        <f t="shared" ref="M12:M51" si="2">SUM(E12:K12)</f>
        <v>683730.19000000018</v>
      </c>
      <c r="N12" s="27">
        <v>683730.19000000006</v>
      </c>
      <c r="O12" s="35">
        <f t="shared" ref="O12" si="3">+M12-N12</f>
        <v>0</v>
      </c>
    </row>
    <row r="13" spans="2:23" s="2" customFormat="1" ht="20.25" customHeight="1" x14ac:dyDescent="0.25">
      <c r="B13" s="90">
        <v>1</v>
      </c>
      <c r="C13" s="42" t="s">
        <v>70</v>
      </c>
      <c r="D13" s="40"/>
      <c r="E13" s="43">
        <v>4113.3100000000004</v>
      </c>
      <c r="F13" s="43">
        <v>20266.842000000001</v>
      </c>
      <c r="G13" s="43">
        <v>52668.428</v>
      </c>
      <c r="H13" s="43">
        <v>107654.43</v>
      </c>
      <c r="I13" s="43"/>
      <c r="J13" s="43"/>
      <c r="K13" s="43">
        <v>0</v>
      </c>
      <c r="L13" s="52"/>
      <c r="M13" s="44">
        <f t="shared" si="2"/>
        <v>184703.01</v>
      </c>
      <c r="N13" s="6">
        <v>184703.01</v>
      </c>
      <c r="O13" s="35">
        <f>+N13-M13</f>
        <v>0</v>
      </c>
    </row>
    <row r="14" spans="2:23" s="2" customFormat="1" ht="20.25" customHeight="1" x14ac:dyDescent="0.25">
      <c r="B14" s="90">
        <f>+B13+1</f>
        <v>2</v>
      </c>
      <c r="C14" s="39" t="s">
        <v>164</v>
      </c>
      <c r="D14" s="40"/>
      <c r="E14" s="18">
        <v>0</v>
      </c>
      <c r="F14" s="18">
        <v>0</v>
      </c>
      <c r="G14" s="18">
        <v>2910.69</v>
      </c>
      <c r="H14" s="18">
        <v>34198.54</v>
      </c>
      <c r="I14" s="18"/>
      <c r="J14" s="18"/>
      <c r="K14" s="18">
        <v>0</v>
      </c>
      <c r="L14" s="52"/>
      <c r="M14" s="41">
        <f t="shared" si="2"/>
        <v>37109.230000000003</v>
      </c>
      <c r="N14" s="6">
        <v>37109.229999999996</v>
      </c>
      <c r="O14" s="35">
        <f t="shared" ref="O14:O25" si="4">+N14-M14</f>
        <v>0</v>
      </c>
    </row>
    <row r="15" spans="2:23" s="2" customFormat="1" ht="20.25" customHeight="1" x14ac:dyDescent="0.25">
      <c r="B15" s="90">
        <f t="shared" ref="B15:B25" si="5">+B14+1</f>
        <v>3</v>
      </c>
      <c r="C15" s="39" t="s">
        <v>71</v>
      </c>
      <c r="D15" s="40"/>
      <c r="E15" s="18">
        <v>0</v>
      </c>
      <c r="F15" s="18">
        <v>1048.1500000000001</v>
      </c>
      <c r="G15" s="18">
        <v>13306.69</v>
      </c>
      <c r="H15" s="18">
        <v>21164.36</v>
      </c>
      <c r="I15" s="18"/>
      <c r="J15" s="18"/>
      <c r="K15" s="18">
        <v>0</v>
      </c>
      <c r="L15" s="52"/>
      <c r="M15" s="41">
        <f t="shared" si="2"/>
        <v>35519.199999999997</v>
      </c>
      <c r="N15" s="6">
        <v>35519.199999999997</v>
      </c>
      <c r="O15" s="35">
        <f t="shared" si="4"/>
        <v>0</v>
      </c>
    </row>
    <row r="16" spans="2:23" s="2" customFormat="1" ht="20.25" customHeight="1" x14ac:dyDescent="0.25">
      <c r="B16" s="90">
        <f t="shared" si="5"/>
        <v>4</v>
      </c>
      <c r="C16" s="39" t="s">
        <v>8</v>
      </c>
      <c r="D16" s="40"/>
      <c r="E16" s="18">
        <v>0</v>
      </c>
      <c r="F16" s="18"/>
      <c r="G16" s="18">
        <v>1873.58</v>
      </c>
      <c r="H16" s="18">
        <v>5762.89</v>
      </c>
      <c r="I16" s="18">
        <v>59423.92</v>
      </c>
      <c r="J16" s="18"/>
      <c r="K16" s="18">
        <v>0</v>
      </c>
      <c r="L16" s="52"/>
      <c r="M16" s="41">
        <f t="shared" si="2"/>
        <v>67060.39</v>
      </c>
      <c r="N16" s="6">
        <v>67060.39</v>
      </c>
      <c r="O16" s="35">
        <f t="shared" si="4"/>
        <v>0</v>
      </c>
    </row>
    <row r="17" spans="2:15" s="2" customFormat="1" ht="20.25" customHeight="1" x14ac:dyDescent="0.25">
      <c r="B17" s="90">
        <f t="shared" si="5"/>
        <v>5</v>
      </c>
      <c r="C17" s="39" t="s">
        <v>9</v>
      </c>
      <c r="D17" s="40"/>
      <c r="E17" s="18">
        <v>0</v>
      </c>
      <c r="F17" s="18"/>
      <c r="G17" s="18">
        <v>2439.1799999999998</v>
      </c>
      <c r="H17" s="18">
        <v>7561.47</v>
      </c>
      <c r="I17" s="18">
        <v>16720.210000000003</v>
      </c>
      <c r="J17" s="18"/>
      <c r="K17" s="18">
        <v>0</v>
      </c>
      <c r="L17" s="52"/>
      <c r="M17" s="41">
        <f t="shared" si="2"/>
        <v>26720.86</v>
      </c>
      <c r="N17" s="6">
        <v>26720.86</v>
      </c>
      <c r="O17" s="35">
        <f t="shared" si="4"/>
        <v>0</v>
      </c>
    </row>
    <row r="18" spans="2:15" s="2" customFormat="1" ht="20.25" customHeight="1" x14ac:dyDescent="0.25">
      <c r="B18" s="90">
        <f t="shared" si="5"/>
        <v>6</v>
      </c>
      <c r="C18" s="39" t="s">
        <v>14</v>
      </c>
      <c r="D18" s="40"/>
      <c r="E18" s="18">
        <v>0</v>
      </c>
      <c r="F18" s="18"/>
      <c r="G18" s="18">
        <v>4396.45</v>
      </c>
      <c r="H18" s="18">
        <v>12689.86</v>
      </c>
      <c r="I18" s="18">
        <v>102935.43</v>
      </c>
      <c r="J18" s="18"/>
      <c r="K18" s="18">
        <v>0</v>
      </c>
      <c r="L18" s="52"/>
      <c r="M18" s="41">
        <f t="shared" si="2"/>
        <v>120021.73999999999</v>
      </c>
      <c r="N18" s="6">
        <v>120021.74</v>
      </c>
      <c r="O18" s="35">
        <f t="shared" si="4"/>
        <v>0</v>
      </c>
    </row>
    <row r="19" spans="2:15" s="2" customFormat="1" ht="20.25" customHeight="1" x14ac:dyDescent="0.25">
      <c r="B19" s="90">
        <f t="shared" si="5"/>
        <v>7</v>
      </c>
      <c r="C19" s="39" t="s">
        <v>10</v>
      </c>
      <c r="D19" s="40"/>
      <c r="E19" s="18">
        <v>0</v>
      </c>
      <c r="F19" s="18">
        <v>1760.3</v>
      </c>
      <c r="G19" s="18">
        <v>3344.57</v>
      </c>
      <c r="H19" s="18">
        <v>8566.11</v>
      </c>
      <c r="I19" s="18"/>
      <c r="J19" s="18"/>
      <c r="K19" s="18">
        <v>0</v>
      </c>
      <c r="L19" s="52"/>
      <c r="M19" s="41">
        <f t="shared" si="2"/>
        <v>13670.98</v>
      </c>
      <c r="N19" s="6">
        <v>13670.98</v>
      </c>
      <c r="O19" s="35">
        <f t="shared" si="4"/>
        <v>0</v>
      </c>
    </row>
    <row r="20" spans="2:15" s="2" customFormat="1" ht="20.25" customHeight="1" x14ac:dyDescent="0.25">
      <c r="B20" s="90">
        <f t="shared" si="5"/>
        <v>8</v>
      </c>
      <c r="C20" s="39" t="s">
        <v>72</v>
      </c>
      <c r="D20" s="40"/>
      <c r="E20" s="18">
        <v>0</v>
      </c>
      <c r="F20" s="18">
        <v>1520.79</v>
      </c>
      <c r="G20" s="18">
        <v>12527.36</v>
      </c>
      <c r="H20" s="18">
        <v>26436.97</v>
      </c>
      <c r="I20" s="18"/>
      <c r="J20" s="18"/>
      <c r="K20" s="18">
        <v>0</v>
      </c>
      <c r="L20" s="52"/>
      <c r="M20" s="41">
        <f t="shared" si="2"/>
        <v>40485.120000000003</v>
      </c>
      <c r="N20" s="6">
        <v>40485.120000000003</v>
      </c>
      <c r="O20" s="35">
        <f t="shared" si="4"/>
        <v>0</v>
      </c>
    </row>
    <row r="21" spans="2:15" s="2" customFormat="1" ht="20.25" customHeight="1" x14ac:dyDescent="0.25">
      <c r="B21" s="90">
        <f t="shared" si="5"/>
        <v>9</v>
      </c>
      <c r="C21" s="39" t="s">
        <v>73</v>
      </c>
      <c r="D21" s="40"/>
      <c r="E21" s="18">
        <v>0</v>
      </c>
      <c r="F21" s="18">
        <v>1429.38</v>
      </c>
      <c r="G21" s="18">
        <v>4892.25</v>
      </c>
      <c r="H21" s="18">
        <v>8826.91</v>
      </c>
      <c r="I21" s="18"/>
      <c r="J21" s="18"/>
      <c r="K21" s="18">
        <v>0</v>
      </c>
      <c r="L21" s="52"/>
      <c r="M21" s="41">
        <f t="shared" si="2"/>
        <v>15148.54</v>
      </c>
      <c r="N21" s="6">
        <v>15148.54</v>
      </c>
      <c r="O21" s="35">
        <f t="shared" si="4"/>
        <v>0</v>
      </c>
    </row>
    <row r="22" spans="2:15" s="2" customFormat="1" ht="20.25" customHeight="1" x14ac:dyDescent="0.25">
      <c r="B22" s="90">
        <f t="shared" si="5"/>
        <v>10</v>
      </c>
      <c r="C22" s="39" t="s">
        <v>11</v>
      </c>
      <c r="D22" s="40"/>
      <c r="E22" s="18">
        <v>0</v>
      </c>
      <c r="F22" s="18">
        <v>1070.81</v>
      </c>
      <c r="G22" s="18">
        <v>7303.7</v>
      </c>
      <c r="H22" s="18">
        <v>23210.73</v>
      </c>
      <c r="I22" s="18"/>
      <c r="J22" s="18"/>
      <c r="K22" s="18">
        <v>0</v>
      </c>
      <c r="L22" s="52"/>
      <c r="M22" s="41">
        <f t="shared" si="2"/>
        <v>31585.239999999998</v>
      </c>
      <c r="N22" s="6">
        <v>31585.24</v>
      </c>
      <c r="O22" s="35">
        <f t="shared" si="4"/>
        <v>0</v>
      </c>
    </row>
    <row r="23" spans="2:15" s="2" customFormat="1" ht="20.25" customHeight="1" x14ac:dyDescent="0.25">
      <c r="B23" s="90">
        <f t="shared" si="5"/>
        <v>11</v>
      </c>
      <c r="C23" s="39" t="s">
        <v>12</v>
      </c>
      <c r="D23" s="40"/>
      <c r="E23" s="18">
        <v>0</v>
      </c>
      <c r="F23" s="18">
        <v>1855.73</v>
      </c>
      <c r="G23" s="18">
        <v>3735.66</v>
      </c>
      <c r="H23" s="18">
        <v>5845.85</v>
      </c>
      <c r="I23" s="18"/>
      <c r="J23" s="18"/>
      <c r="K23" s="18">
        <v>0</v>
      </c>
      <c r="L23" s="52"/>
      <c r="M23" s="41">
        <f t="shared" si="2"/>
        <v>11437.24</v>
      </c>
      <c r="N23" s="6">
        <v>11437.240000000002</v>
      </c>
      <c r="O23" s="35">
        <f t="shared" si="4"/>
        <v>0</v>
      </c>
    </row>
    <row r="24" spans="2:15" s="2" customFormat="1" ht="20.25" customHeight="1" x14ac:dyDescent="0.25">
      <c r="B24" s="90">
        <f t="shared" si="5"/>
        <v>12</v>
      </c>
      <c r="C24" s="39" t="s">
        <v>15</v>
      </c>
      <c r="D24" s="40"/>
      <c r="E24" s="18">
        <v>0</v>
      </c>
      <c r="F24" s="18"/>
      <c r="G24" s="18">
        <v>376.67</v>
      </c>
      <c r="H24" s="18">
        <v>1289.46</v>
      </c>
      <c r="I24" s="18">
        <v>12079.53</v>
      </c>
      <c r="J24" s="18"/>
      <c r="K24" s="18">
        <v>0</v>
      </c>
      <c r="L24" s="52"/>
      <c r="M24" s="41">
        <f t="shared" si="2"/>
        <v>13745.66</v>
      </c>
      <c r="N24" s="6">
        <v>13745.66</v>
      </c>
      <c r="O24" s="35">
        <f t="shared" si="4"/>
        <v>0</v>
      </c>
    </row>
    <row r="25" spans="2:15" s="2" customFormat="1" ht="20.25" customHeight="1" x14ac:dyDescent="0.25">
      <c r="B25" s="90">
        <f t="shared" si="5"/>
        <v>13</v>
      </c>
      <c r="C25" s="94" t="s">
        <v>74</v>
      </c>
      <c r="D25" s="40"/>
      <c r="E25" s="18">
        <v>0</v>
      </c>
      <c r="F25" s="18"/>
      <c r="G25" s="18">
        <v>203.16</v>
      </c>
      <c r="H25" s="18">
        <v>1782.01</v>
      </c>
      <c r="I25" s="18">
        <v>84537.81</v>
      </c>
      <c r="J25" s="18"/>
      <c r="K25" s="18">
        <v>0</v>
      </c>
      <c r="L25" s="52"/>
      <c r="M25" s="41">
        <f t="shared" si="2"/>
        <v>86522.98</v>
      </c>
      <c r="N25" s="6">
        <v>86522.98</v>
      </c>
      <c r="O25" s="35">
        <f t="shared" si="4"/>
        <v>0</v>
      </c>
    </row>
    <row r="26" spans="2:15" s="2" customFormat="1" ht="20.25" customHeight="1" x14ac:dyDescent="0.25">
      <c r="B26" s="107"/>
      <c r="C26" s="108" t="s">
        <v>13</v>
      </c>
      <c r="D26" s="109"/>
      <c r="E26" s="110">
        <f>SUM(E27:E39)</f>
        <v>2695.4900000000025</v>
      </c>
      <c r="F26" s="110">
        <f t="shared" ref="F26" si="6">SUM(F27:F39)</f>
        <v>6669.55</v>
      </c>
      <c r="G26" s="110">
        <f t="shared" ref="G26" si="7">SUM(G27:G39)</f>
        <v>13976.09</v>
      </c>
      <c r="H26" s="110">
        <f t="shared" ref="H26" si="8">SUM(H27:H39)</f>
        <v>26323.719999999998</v>
      </c>
      <c r="I26" s="110">
        <f t="shared" ref="I26:J26" si="9">SUM(I27:I39)</f>
        <v>9607.5800000000017</v>
      </c>
      <c r="J26" s="110">
        <f t="shared" si="9"/>
        <v>0</v>
      </c>
      <c r="K26" s="110">
        <f t="shared" ref="K26" si="10">SUM(K27:K39)</f>
        <v>0</v>
      </c>
      <c r="L26" s="111"/>
      <c r="M26" s="110">
        <f t="shared" si="2"/>
        <v>59272.430000000008</v>
      </c>
      <c r="N26" s="37">
        <f>SUM(N27:N39)</f>
        <v>59272.43</v>
      </c>
      <c r="O26" s="35">
        <f t="shared" ref="O26:O60" si="11">+M26-N26</f>
        <v>0</v>
      </c>
    </row>
    <row r="27" spans="2:15" s="38" customFormat="1" ht="20.25" customHeight="1" x14ac:dyDescent="0.25">
      <c r="B27" s="90">
        <v>1</v>
      </c>
      <c r="C27" s="95" t="s">
        <v>70</v>
      </c>
      <c r="D27" s="92"/>
      <c r="E27" s="41">
        <v>2695.4900000000025</v>
      </c>
      <c r="F27" s="41">
        <v>5132.75</v>
      </c>
      <c r="G27" s="41">
        <v>8470.5</v>
      </c>
      <c r="H27" s="41">
        <v>13728.62</v>
      </c>
      <c r="I27" s="41">
        <v>0</v>
      </c>
      <c r="J27" s="41">
        <v>0</v>
      </c>
      <c r="K27" s="41">
        <v>0</v>
      </c>
      <c r="L27" s="93"/>
      <c r="M27" s="41">
        <f t="shared" si="2"/>
        <v>30027.360000000001</v>
      </c>
      <c r="N27" s="37">
        <v>30027.360000000001</v>
      </c>
      <c r="O27" s="35">
        <f t="shared" si="11"/>
        <v>0</v>
      </c>
    </row>
    <row r="28" spans="2:15" s="38" customFormat="1" ht="20.25" customHeight="1" x14ac:dyDescent="0.25">
      <c r="B28" s="90">
        <f>+B27+1</f>
        <v>2</v>
      </c>
      <c r="C28" s="91" t="s">
        <v>164</v>
      </c>
      <c r="D28" s="92"/>
      <c r="E28" s="41">
        <v>0</v>
      </c>
      <c r="F28" s="41">
        <v>0</v>
      </c>
      <c r="G28" s="41">
        <v>587.69000000000005</v>
      </c>
      <c r="H28" s="41">
        <v>891.96</v>
      </c>
      <c r="I28" s="41">
        <v>0</v>
      </c>
      <c r="J28" s="41">
        <v>0</v>
      </c>
      <c r="K28" s="41">
        <v>0</v>
      </c>
      <c r="L28" s="93"/>
      <c r="M28" s="41">
        <f t="shared" si="2"/>
        <v>1479.65</v>
      </c>
      <c r="N28" s="37">
        <v>1479.65</v>
      </c>
      <c r="O28" s="35">
        <f t="shared" si="11"/>
        <v>0</v>
      </c>
    </row>
    <row r="29" spans="2:15" s="38" customFormat="1" ht="20.25" customHeight="1" x14ac:dyDescent="0.25">
      <c r="B29" s="90">
        <f t="shared" ref="B29:B39" si="12">+B28+1</f>
        <v>3</v>
      </c>
      <c r="C29" s="91" t="s">
        <v>71</v>
      </c>
      <c r="D29" s="92"/>
      <c r="E29" s="41">
        <v>0</v>
      </c>
      <c r="F29" s="41">
        <v>454.51</v>
      </c>
      <c r="G29" s="41">
        <v>1115.7</v>
      </c>
      <c r="H29" s="41">
        <v>3020.19</v>
      </c>
      <c r="I29" s="41"/>
      <c r="J29" s="41"/>
      <c r="K29" s="41">
        <v>0</v>
      </c>
      <c r="L29" s="93"/>
      <c r="M29" s="41">
        <f t="shared" si="2"/>
        <v>4590.3999999999996</v>
      </c>
      <c r="N29" s="37">
        <v>4590.3999999999996</v>
      </c>
      <c r="O29" s="35">
        <f t="shared" si="11"/>
        <v>0</v>
      </c>
    </row>
    <row r="30" spans="2:15" s="38" customFormat="1" ht="20.25" customHeight="1" x14ac:dyDescent="0.25">
      <c r="B30" s="90">
        <f t="shared" si="12"/>
        <v>4</v>
      </c>
      <c r="C30" s="91" t="s">
        <v>8</v>
      </c>
      <c r="D30" s="92"/>
      <c r="E30" s="41">
        <v>0</v>
      </c>
      <c r="F30" s="41"/>
      <c r="G30" s="41">
        <v>136</v>
      </c>
      <c r="H30" s="41">
        <v>221.59</v>
      </c>
      <c r="I30" s="41">
        <v>320.37</v>
      </c>
      <c r="J30" s="41"/>
      <c r="K30" s="41">
        <v>0</v>
      </c>
      <c r="L30" s="93"/>
      <c r="M30" s="41">
        <f t="shared" si="2"/>
        <v>677.96</v>
      </c>
      <c r="N30" s="37">
        <v>677.96</v>
      </c>
      <c r="O30" s="35">
        <f t="shared" si="11"/>
        <v>0</v>
      </c>
    </row>
    <row r="31" spans="2:15" s="38" customFormat="1" ht="20.25" customHeight="1" x14ac:dyDescent="0.25">
      <c r="B31" s="90">
        <f t="shared" si="12"/>
        <v>5</v>
      </c>
      <c r="C31" s="91" t="s">
        <v>9</v>
      </c>
      <c r="D31" s="92"/>
      <c r="E31" s="41">
        <v>0</v>
      </c>
      <c r="F31" s="41">
        <v>0</v>
      </c>
      <c r="G31" s="41">
        <v>141.21</v>
      </c>
      <c r="H31" s="41">
        <v>550.89</v>
      </c>
      <c r="I31" s="41">
        <v>954.96</v>
      </c>
      <c r="J31" s="41"/>
      <c r="K31" s="41">
        <v>0</v>
      </c>
      <c r="L31" s="93"/>
      <c r="M31" s="41">
        <f t="shared" si="2"/>
        <v>1647.06</v>
      </c>
      <c r="N31" s="37">
        <v>1647.06</v>
      </c>
      <c r="O31" s="35">
        <f t="shared" si="11"/>
        <v>0</v>
      </c>
    </row>
    <row r="32" spans="2:15" s="38" customFormat="1" ht="20.25" customHeight="1" x14ac:dyDescent="0.25">
      <c r="B32" s="90">
        <f t="shared" si="12"/>
        <v>6</v>
      </c>
      <c r="C32" s="91" t="s">
        <v>14</v>
      </c>
      <c r="D32" s="92"/>
      <c r="E32" s="41">
        <v>0</v>
      </c>
      <c r="F32" s="41"/>
      <c r="G32" s="41">
        <v>690.23</v>
      </c>
      <c r="H32" s="41">
        <v>911.12</v>
      </c>
      <c r="I32" s="41">
        <v>2865.51</v>
      </c>
      <c r="J32" s="41"/>
      <c r="K32" s="41"/>
      <c r="L32" s="93"/>
      <c r="M32" s="41">
        <f t="shared" si="2"/>
        <v>4466.8600000000006</v>
      </c>
      <c r="N32" s="37">
        <v>4466.8599999999997</v>
      </c>
      <c r="O32" s="35">
        <f t="shared" si="11"/>
        <v>0</v>
      </c>
    </row>
    <row r="33" spans="2:25" s="38" customFormat="1" ht="20.25" customHeight="1" x14ac:dyDescent="0.25">
      <c r="B33" s="90">
        <f t="shared" si="12"/>
        <v>7</v>
      </c>
      <c r="C33" s="91" t="s">
        <v>10</v>
      </c>
      <c r="D33" s="92"/>
      <c r="E33" s="41">
        <v>0</v>
      </c>
      <c r="F33" s="41"/>
      <c r="G33" s="41">
        <v>325.95999999999998</v>
      </c>
      <c r="H33" s="41">
        <v>616.35</v>
      </c>
      <c r="I33" s="41">
        <v>0</v>
      </c>
      <c r="J33" s="41">
        <v>0</v>
      </c>
      <c r="K33" s="41">
        <v>0</v>
      </c>
      <c r="L33" s="93"/>
      <c r="M33" s="41">
        <f t="shared" si="2"/>
        <v>942.31</v>
      </c>
      <c r="N33" s="37">
        <v>942.31000000000017</v>
      </c>
      <c r="O33" s="35">
        <f t="shared" si="11"/>
        <v>0</v>
      </c>
    </row>
    <row r="34" spans="2:25" s="38" customFormat="1" ht="20.25" customHeight="1" x14ac:dyDescent="0.25">
      <c r="B34" s="90">
        <f t="shared" si="12"/>
        <v>8</v>
      </c>
      <c r="C34" s="91" t="s">
        <v>72</v>
      </c>
      <c r="D34" s="92"/>
      <c r="E34" s="41">
        <v>0</v>
      </c>
      <c r="F34" s="41">
        <v>411.05</v>
      </c>
      <c r="G34" s="41">
        <v>781</v>
      </c>
      <c r="H34" s="41">
        <v>1464.7900000000004</v>
      </c>
      <c r="I34" s="41"/>
      <c r="J34" s="41"/>
      <c r="K34" s="41">
        <v>0</v>
      </c>
      <c r="L34" s="93"/>
      <c r="M34" s="41">
        <f t="shared" si="2"/>
        <v>2656.84</v>
      </c>
      <c r="N34" s="37">
        <v>2656.84</v>
      </c>
      <c r="O34" s="35">
        <f t="shared" si="11"/>
        <v>0</v>
      </c>
    </row>
    <row r="35" spans="2:25" s="38" customFormat="1" ht="20.25" customHeight="1" x14ac:dyDescent="0.25">
      <c r="B35" s="90">
        <f t="shared" si="12"/>
        <v>9</v>
      </c>
      <c r="C35" s="91" t="s">
        <v>73</v>
      </c>
      <c r="D35" s="92"/>
      <c r="E35" s="41">
        <v>0</v>
      </c>
      <c r="F35" s="41">
        <v>72.040000000000006</v>
      </c>
      <c r="G35" s="41">
        <v>203.31</v>
      </c>
      <c r="H35" s="41">
        <v>266</v>
      </c>
      <c r="I35" s="41">
        <v>0</v>
      </c>
      <c r="J35" s="41">
        <v>0</v>
      </c>
      <c r="K35" s="41">
        <v>0</v>
      </c>
      <c r="L35" s="93"/>
      <c r="M35" s="41">
        <f t="shared" si="2"/>
        <v>541.35</v>
      </c>
      <c r="N35" s="37">
        <v>541.35</v>
      </c>
      <c r="O35" s="35">
        <f t="shared" si="11"/>
        <v>0</v>
      </c>
    </row>
    <row r="36" spans="2:25" s="38" customFormat="1" ht="20.25" customHeight="1" x14ac:dyDescent="0.25">
      <c r="B36" s="90">
        <f t="shared" si="12"/>
        <v>10</v>
      </c>
      <c r="C36" s="91" t="s">
        <v>11</v>
      </c>
      <c r="D36" s="92"/>
      <c r="E36" s="41">
        <v>0</v>
      </c>
      <c r="F36" s="41">
        <v>509.49</v>
      </c>
      <c r="G36" s="41">
        <v>968.02</v>
      </c>
      <c r="H36" s="41">
        <v>2222.63</v>
      </c>
      <c r="I36" s="41"/>
      <c r="J36" s="41"/>
      <c r="K36" s="41">
        <v>0</v>
      </c>
      <c r="L36" s="93"/>
      <c r="M36" s="41">
        <f t="shared" si="2"/>
        <v>3700.1400000000003</v>
      </c>
      <c r="N36" s="37">
        <v>3700.1400000000003</v>
      </c>
      <c r="O36" s="35">
        <f t="shared" si="11"/>
        <v>0</v>
      </c>
    </row>
    <row r="37" spans="2:25" s="38" customFormat="1" ht="20.25" customHeight="1" x14ac:dyDescent="0.25">
      <c r="B37" s="90">
        <f t="shared" si="12"/>
        <v>11</v>
      </c>
      <c r="C37" s="91" t="s">
        <v>12</v>
      </c>
      <c r="D37" s="92"/>
      <c r="E37" s="41">
        <v>0</v>
      </c>
      <c r="F37" s="41">
        <v>89.71</v>
      </c>
      <c r="G37" s="41">
        <v>278.69</v>
      </c>
      <c r="H37" s="41">
        <v>754.73</v>
      </c>
      <c r="I37" s="41">
        <v>0</v>
      </c>
      <c r="J37" s="41">
        <v>0</v>
      </c>
      <c r="K37" s="41">
        <v>0</v>
      </c>
      <c r="L37" s="93"/>
      <c r="M37" s="41">
        <f t="shared" si="2"/>
        <v>1123.1300000000001</v>
      </c>
      <c r="N37" s="37">
        <v>1123.1300000000001</v>
      </c>
      <c r="O37" s="35">
        <f t="shared" si="11"/>
        <v>0</v>
      </c>
    </row>
    <row r="38" spans="2:25" s="38" customFormat="1" ht="20.25" customHeight="1" x14ac:dyDescent="0.25">
      <c r="B38" s="90">
        <f t="shared" si="12"/>
        <v>12</v>
      </c>
      <c r="C38" s="91" t="s">
        <v>15</v>
      </c>
      <c r="D38" s="92"/>
      <c r="E38" s="41">
        <v>0</v>
      </c>
      <c r="F38" s="41"/>
      <c r="G38" s="41">
        <v>29.93</v>
      </c>
      <c r="H38" s="41">
        <v>88.91</v>
      </c>
      <c r="I38" s="41">
        <v>97.77</v>
      </c>
      <c r="J38" s="41"/>
      <c r="K38" s="41"/>
      <c r="L38" s="93"/>
      <c r="M38" s="41">
        <f t="shared" si="2"/>
        <v>216.61</v>
      </c>
      <c r="N38" s="37">
        <v>216.61</v>
      </c>
      <c r="O38" s="35">
        <f t="shared" si="11"/>
        <v>0</v>
      </c>
    </row>
    <row r="39" spans="2:25" s="38" customFormat="1" ht="20.25" customHeight="1" x14ac:dyDescent="0.25">
      <c r="B39" s="90">
        <f t="shared" si="12"/>
        <v>13</v>
      </c>
      <c r="C39" s="91" t="s">
        <v>74</v>
      </c>
      <c r="D39" s="92"/>
      <c r="E39" s="41">
        <v>0</v>
      </c>
      <c r="F39" s="41">
        <v>0</v>
      </c>
      <c r="G39" s="41">
        <v>247.85</v>
      </c>
      <c r="H39" s="41">
        <v>1585.94</v>
      </c>
      <c r="I39" s="41">
        <v>5368.97</v>
      </c>
      <c r="J39" s="41"/>
      <c r="K39" s="41">
        <v>0</v>
      </c>
      <c r="L39" s="93"/>
      <c r="M39" s="41">
        <f t="shared" si="2"/>
        <v>7202.76</v>
      </c>
      <c r="N39" s="37">
        <v>7202.76</v>
      </c>
      <c r="O39" s="35">
        <f t="shared" si="11"/>
        <v>0</v>
      </c>
    </row>
    <row r="40" spans="2:25" s="2" customFormat="1" ht="20.25" customHeight="1" x14ac:dyDescent="0.25">
      <c r="B40" s="107"/>
      <c r="C40" s="108" t="s">
        <v>113</v>
      </c>
      <c r="D40" s="109"/>
      <c r="E40" s="110">
        <f>+E41+E50+E51+E55+E56+E57+E58+E59+E60</f>
        <v>2571.44</v>
      </c>
      <c r="F40" s="110">
        <f>+F41+F50+F51+F55+F56+F57+F58+F59+F60</f>
        <v>11099.67</v>
      </c>
      <c r="G40" s="110">
        <f t="shared" ref="G40:K40" si="13">+G41+G50+G51+G55+G56+G57+G58+G59+G60</f>
        <v>27108.310000000005</v>
      </c>
      <c r="H40" s="110">
        <f t="shared" si="13"/>
        <v>42690.11</v>
      </c>
      <c r="I40" s="110">
        <f t="shared" ref="I40" si="14">+I41+I50+I51+I55+I56+I57+I58+I59+I60</f>
        <v>123493.33000000002</v>
      </c>
      <c r="J40" s="110">
        <f t="shared" si="13"/>
        <v>85491.83</v>
      </c>
      <c r="K40" s="110">
        <f t="shared" si="13"/>
        <v>260308.04000000004</v>
      </c>
      <c r="L40" s="111"/>
      <c r="M40" s="110">
        <f t="shared" si="2"/>
        <v>552762.73</v>
      </c>
      <c r="N40" s="6">
        <v>552762.73</v>
      </c>
      <c r="O40" s="35">
        <f t="shared" si="11"/>
        <v>0</v>
      </c>
    </row>
    <row r="41" spans="2:25" s="38" customFormat="1" ht="20.25" customHeight="1" x14ac:dyDescent="0.25">
      <c r="B41" s="100">
        <v>1</v>
      </c>
      <c r="C41" s="101" t="s">
        <v>1</v>
      </c>
      <c r="D41" s="45"/>
      <c r="E41" s="102">
        <f t="shared" ref="E41:K41" si="15">SUM(E42:E49)</f>
        <v>1703.1</v>
      </c>
      <c r="F41" s="102">
        <f>SUM(F42:F49)</f>
        <v>0</v>
      </c>
      <c r="G41" s="102">
        <f t="shared" si="15"/>
        <v>8726.3700000000008</v>
      </c>
      <c r="H41" s="102">
        <f t="shared" si="15"/>
        <v>5317.65</v>
      </c>
      <c r="I41" s="102">
        <f t="shared" ref="I41" si="16">SUM(I42:I49)</f>
        <v>6197.380000000001</v>
      </c>
      <c r="J41" s="102">
        <f t="shared" si="15"/>
        <v>8370.31</v>
      </c>
      <c r="K41" s="102">
        <f t="shared" si="15"/>
        <v>10253.67</v>
      </c>
      <c r="L41" s="53"/>
      <c r="M41" s="102">
        <f t="shared" si="2"/>
        <v>40568.479999999996</v>
      </c>
      <c r="N41" s="37">
        <v>40568.479999999996</v>
      </c>
      <c r="O41" s="35">
        <f t="shared" si="11"/>
        <v>0</v>
      </c>
    </row>
    <row r="42" spans="2:25" s="2" customFormat="1" ht="20.25" customHeight="1" x14ac:dyDescent="0.25">
      <c r="B42" s="99">
        <v>1.01</v>
      </c>
      <c r="C42" s="42" t="s">
        <v>2</v>
      </c>
      <c r="D42" s="40"/>
      <c r="E42" s="43">
        <v>0</v>
      </c>
      <c r="F42" s="43"/>
      <c r="G42" s="6">
        <v>5182.5200000000004</v>
      </c>
      <c r="H42" s="43">
        <v>0</v>
      </c>
      <c r="I42" s="43">
        <v>0</v>
      </c>
      <c r="J42" s="43">
        <v>0</v>
      </c>
      <c r="K42" s="43">
        <v>0</v>
      </c>
      <c r="L42" s="52"/>
      <c r="M42" s="44">
        <f t="shared" si="2"/>
        <v>5182.5200000000004</v>
      </c>
      <c r="N42" s="6">
        <v>5182.5200000000004</v>
      </c>
      <c r="O42" s="35">
        <f t="shared" si="11"/>
        <v>0</v>
      </c>
    </row>
    <row r="43" spans="2:25" s="2" customFormat="1" ht="30.75" customHeight="1" x14ac:dyDescent="0.25">
      <c r="B43" s="98">
        <v>1.02</v>
      </c>
      <c r="C43" s="144" t="s">
        <v>3</v>
      </c>
      <c r="D43" s="40"/>
      <c r="E43" s="18">
        <v>0</v>
      </c>
      <c r="F43" s="18"/>
      <c r="G43" s="18">
        <v>961.37</v>
      </c>
      <c r="H43" s="18">
        <v>1044</v>
      </c>
      <c r="I43" s="18">
        <v>1361.21</v>
      </c>
      <c r="J43" s="18">
        <v>1661</v>
      </c>
      <c r="K43" s="18">
        <v>2042.8</v>
      </c>
      <c r="L43" s="52"/>
      <c r="M43" s="41">
        <f t="shared" si="2"/>
        <v>7070.38</v>
      </c>
      <c r="N43" s="6">
        <v>7070.38</v>
      </c>
      <c r="O43" s="35">
        <f t="shared" si="11"/>
        <v>0</v>
      </c>
      <c r="P43" s="6"/>
      <c r="W43" s="6"/>
      <c r="X43" s="6"/>
      <c r="Y43" s="5"/>
    </row>
    <row r="44" spans="2:25" s="2" customFormat="1" ht="20.25" customHeight="1" x14ac:dyDescent="0.25">
      <c r="B44" s="98">
        <v>1.03</v>
      </c>
      <c r="C44" s="39" t="s">
        <v>75</v>
      </c>
      <c r="D44" s="40"/>
      <c r="E44" s="18"/>
      <c r="F44" s="18"/>
      <c r="G44" s="18">
        <v>624.75</v>
      </c>
      <c r="H44" s="18">
        <v>790.76</v>
      </c>
      <c r="I44" s="18">
        <v>923.76</v>
      </c>
      <c r="J44" s="18">
        <v>1093.76</v>
      </c>
      <c r="K44" s="18">
        <v>1520.79</v>
      </c>
      <c r="L44" s="52"/>
      <c r="M44" s="41">
        <f t="shared" si="2"/>
        <v>4953.82</v>
      </c>
      <c r="N44" s="6">
        <v>4953.82</v>
      </c>
      <c r="O44" s="35">
        <f t="shared" si="11"/>
        <v>0</v>
      </c>
      <c r="W44" s="6"/>
      <c r="X44" s="6"/>
      <c r="Y44" s="5"/>
    </row>
    <row r="45" spans="2:25" s="2" customFormat="1" ht="20.25" customHeight="1" x14ac:dyDescent="0.25">
      <c r="B45" s="98">
        <v>1.04</v>
      </c>
      <c r="C45" s="39" t="s">
        <v>4</v>
      </c>
      <c r="D45" s="40"/>
      <c r="E45" s="18">
        <v>0</v>
      </c>
      <c r="F45" s="18"/>
      <c r="G45" s="18">
        <v>559.95000000000005</v>
      </c>
      <c r="H45" s="18">
        <v>985.86</v>
      </c>
      <c r="I45" s="18">
        <v>1172.06</v>
      </c>
      <c r="J45" s="18">
        <v>1227.96</v>
      </c>
      <c r="K45" s="18">
        <v>1483.47</v>
      </c>
      <c r="L45" s="52"/>
      <c r="M45" s="41">
        <f t="shared" si="2"/>
        <v>5429.3</v>
      </c>
      <c r="N45" s="6">
        <v>5429.3</v>
      </c>
      <c r="O45" s="35">
        <f t="shared" si="11"/>
        <v>0</v>
      </c>
      <c r="P45" s="5"/>
      <c r="Q45" s="5"/>
      <c r="R45" s="5"/>
      <c r="S45" s="5"/>
      <c r="T45" s="5"/>
      <c r="U45" s="5"/>
      <c r="V45" s="5"/>
      <c r="X45" s="6"/>
      <c r="Y45" s="5"/>
    </row>
    <row r="46" spans="2:25" s="2" customFormat="1" ht="29.25" customHeight="1" x14ac:dyDescent="0.25">
      <c r="B46" s="98">
        <v>1.05</v>
      </c>
      <c r="C46" s="144" t="s">
        <v>76</v>
      </c>
      <c r="D46" s="40"/>
      <c r="E46" s="18">
        <v>0</v>
      </c>
      <c r="F46" s="18"/>
      <c r="G46" s="18">
        <v>192.85</v>
      </c>
      <c r="H46" s="18">
        <v>262.58999999999997</v>
      </c>
      <c r="I46" s="18">
        <v>399.56</v>
      </c>
      <c r="J46" s="18">
        <v>492.65</v>
      </c>
      <c r="K46" s="18">
        <v>600.15</v>
      </c>
      <c r="L46" s="52"/>
      <c r="M46" s="41">
        <f t="shared" si="2"/>
        <v>1947.8000000000002</v>
      </c>
      <c r="N46" s="6">
        <v>1947.8</v>
      </c>
      <c r="O46" s="35">
        <f t="shared" si="11"/>
        <v>0</v>
      </c>
      <c r="Q46" s="14"/>
      <c r="R46" s="14"/>
      <c r="S46" s="14"/>
      <c r="T46" s="14"/>
      <c r="U46" s="14"/>
      <c r="V46" s="14"/>
      <c r="W46" s="5"/>
    </row>
    <row r="47" spans="2:25" s="2" customFormat="1" ht="20.25" customHeight="1" x14ac:dyDescent="0.25">
      <c r="B47" s="98">
        <v>1.06</v>
      </c>
      <c r="C47" s="39" t="s">
        <v>5</v>
      </c>
      <c r="D47" s="40"/>
      <c r="E47" s="18">
        <v>1703.1</v>
      </c>
      <c r="F47" s="18"/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52"/>
      <c r="M47" s="41">
        <f t="shared" si="2"/>
        <v>1703.1</v>
      </c>
      <c r="N47" s="6">
        <v>1703.1</v>
      </c>
      <c r="O47" s="35">
        <f t="shared" si="11"/>
        <v>0</v>
      </c>
      <c r="W47" s="5"/>
      <c r="X47" s="5"/>
    </row>
    <row r="48" spans="2:25" s="2" customFormat="1" ht="20.25" customHeight="1" x14ac:dyDescent="0.25">
      <c r="B48" s="98">
        <v>1.07</v>
      </c>
      <c r="C48" s="39" t="s">
        <v>6</v>
      </c>
      <c r="D48" s="40"/>
      <c r="E48" s="18">
        <v>0</v>
      </c>
      <c r="F48" s="18"/>
      <c r="G48" s="18">
        <v>510.53</v>
      </c>
      <c r="H48" s="18">
        <v>548.63</v>
      </c>
      <c r="I48" s="18">
        <v>555.85</v>
      </c>
      <c r="J48" s="18">
        <v>0</v>
      </c>
      <c r="K48" s="18">
        <v>0</v>
      </c>
      <c r="L48" s="52"/>
      <c r="M48" s="41">
        <f t="shared" si="2"/>
        <v>1615.0099999999998</v>
      </c>
      <c r="N48" s="6">
        <v>1615.01</v>
      </c>
      <c r="O48" s="35">
        <f t="shared" si="11"/>
        <v>0</v>
      </c>
      <c r="W48" s="5"/>
      <c r="X48" s="5"/>
    </row>
    <row r="49" spans="2:35" s="2" customFormat="1" ht="45.75" customHeight="1" x14ac:dyDescent="0.25">
      <c r="B49" s="98">
        <v>1.08</v>
      </c>
      <c r="C49" s="144" t="s">
        <v>77</v>
      </c>
      <c r="D49" s="40"/>
      <c r="E49" s="18">
        <v>0</v>
      </c>
      <c r="F49" s="18"/>
      <c r="G49" s="18">
        <v>694.4</v>
      </c>
      <c r="H49" s="18">
        <v>1685.81</v>
      </c>
      <c r="I49" s="18">
        <v>1784.94</v>
      </c>
      <c r="J49" s="18">
        <v>3894.94</v>
      </c>
      <c r="K49" s="18">
        <v>4606.46</v>
      </c>
      <c r="L49" s="52"/>
      <c r="M49" s="41">
        <f t="shared" si="2"/>
        <v>12666.55</v>
      </c>
      <c r="N49" s="6">
        <v>12666.55</v>
      </c>
      <c r="O49" s="35">
        <f t="shared" si="11"/>
        <v>0</v>
      </c>
      <c r="X49" s="5"/>
    </row>
    <row r="50" spans="2:35" s="2" customFormat="1" ht="20.25" customHeight="1" x14ac:dyDescent="0.25">
      <c r="B50" s="90">
        <v>2</v>
      </c>
      <c r="C50" s="91" t="s">
        <v>82</v>
      </c>
      <c r="D50" s="36"/>
      <c r="E50" s="41">
        <v>868.34</v>
      </c>
      <c r="F50" s="41">
        <v>5398.84</v>
      </c>
      <c r="G50" s="41">
        <v>12605.11</v>
      </c>
      <c r="H50" s="41">
        <v>20691.84</v>
      </c>
      <c r="I50" s="41">
        <v>44687.08</v>
      </c>
      <c r="J50" s="41"/>
      <c r="K50" s="41"/>
      <c r="L50" s="53"/>
      <c r="M50" s="41">
        <f t="shared" si="2"/>
        <v>84251.21</v>
      </c>
      <c r="N50" s="37">
        <v>84251.210000000021</v>
      </c>
      <c r="O50" s="35">
        <f t="shared" si="11"/>
        <v>0</v>
      </c>
      <c r="W50" s="14"/>
    </row>
    <row r="51" spans="2:35" s="14" customFormat="1" ht="20.25" customHeight="1" x14ac:dyDescent="0.25">
      <c r="B51" s="87">
        <v>3</v>
      </c>
      <c r="C51" s="88" t="s">
        <v>78</v>
      </c>
      <c r="D51" s="36"/>
      <c r="E51" s="89">
        <f>SUM(E52:E54)</f>
        <v>0</v>
      </c>
      <c r="F51" s="89">
        <f t="shared" ref="F51:K51" si="17">SUM(F52:F54)</f>
        <v>5700.83</v>
      </c>
      <c r="G51" s="89">
        <f t="shared" si="17"/>
        <v>5776.83</v>
      </c>
      <c r="H51" s="89">
        <f t="shared" si="17"/>
        <v>14118.59</v>
      </c>
      <c r="I51" s="89">
        <f t="shared" ref="I51" si="18">SUM(I52:I54)</f>
        <v>65338.7</v>
      </c>
      <c r="J51" s="89">
        <f t="shared" si="17"/>
        <v>0</v>
      </c>
      <c r="K51" s="89">
        <f t="shared" si="17"/>
        <v>0</v>
      </c>
      <c r="L51" s="53"/>
      <c r="M51" s="89">
        <f t="shared" si="2"/>
        <v>90934.95</v>
      </c>
      <c r="N51" s="37">
        <v>90934.95</v>
      </c>
      <c r="O51" s="35">
        <f t="shared" si="11"/>
        <v>0</v>
      </c>
      <c r="Q51" s="2"/>
      <c r="R51" s="2"/>
      <c r="S51" s="2"/>
      <c r="T51" s="2"/>
      <c r="U51" s="2"/>
      <c r="V51" s="2"/>
      <c r="W51" s="2"/>
    </row>
    <row r="52" spans="2:35" s="2" customFormat="1" ht="20.25" customHeight="1" x14ac:dyDescent="0.25">
      <c r="B52" s="90"/>
      <c r="C52" s="91" t="s">
        <v>79</v>
      </c>
      <c r="D52" s="36"/>
      <c r="E52" s="41">
        <v>0</v>
      </c>
      <c r="F52" s="41">
        <v>2524.87</v>
      </c>
      <c r="G52" s="41">
        <v>2594.87</v>
      </c>
      <c r="H52" s="41">
        <v>3278.9</v>
      </c>
      <c r="I52" s="41">
        <v>6390.14</v>
      </c>
      <c r="J52" s="41">
        <v>0</v>
      </c>
      <c r="K52" s="41">
        <v>0</v>
      </c>
      <c r="L52" s="53"/>
      <c r="M52" s="41"/>
      <c r="N52" s="37"/>
      <c r="O52" s="35"/>
    </row>
    <row r="53" spans="2:35" s="2" customFormat="1" ht="20.25" customHeight="1" x14ac:dyDescent="0.25">
      <c r="B53" s="90"/>
      <c r="C53" s="91" t="s">
        <v>80</v>
      </c>
      <c r="D53" s="36"/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53"/>
      <c r="M53" s="46"/>
      <c r="N53" s="37"/>
      <c r="O53" s="35">
        <f t="shared" si="11"/>
        <v>0</v>
      </c>
    </row>
    <row r="54" spans="2:35" s="2" customFormat="1" ht="20.25" customHeight="1" x14ac:dyDescent="0.25">
      <c r="B54" s="90"/>
      <c r="C54" s="91" t="s">
        <v>81</v>
      </c>
      <c r="D54" s="36"/>
      <c r="E54" s="41">
        <v>0</v>
      </c>
      <c r="F54" s="41">
        <v>3175.96</v>
      </c>
      <c r="G54" s="41">
        <v>3181.96</v>
      </c>
      <c r="H54" s="41">
        <v>10839.69</v>
      </c>
      <c r="I54" s="41">
        <v>58948.56</v>
      </c>
      <c r="J54" s="41">
        <v>0</v>
      </c>
      <c r="K54" s="41">
        <v>0</v>
      </c>
      <c r="L54" s="53"/>
      <c r="M54" s="46"/>
      <c r="N54" s="37"/>
      <c r="O54" s="35">
        <f t="shared" si="11"/>
        <v>0</v>
      </c>
    </row>
    <row r="55" spans="2:35" s="2" customFormat="1" ht="20.25" customHeight="1" x14ac:dyDescent="0.25">
      <c r="B55" s="90">
        <v>4</v>
      </c>
      <c r="C55" s="91" t="s">
        <v>17</v>
      </c>
      <c r="D55" s="36"/>
      <c r="E55" s="41">
        <v>0</v>
      </c>
      <c r="F55" s="41">
        <v>0</v>
      </c>
      <c r="G55" s="41">
        <v>0</v>
      </c>
      <c r="H55" s="41">
        <v>1186.22</v>
      </c>
      <c r="I55" s="41">
        <v>2705.57</v>
      </c>
      <c r="J55" s="41">
        <v>20035.57</v>
      </c>
      <c r="K55" s="41">
        <v>0</v>
      </c>
      <c r="L55" s="53"/>
      <c r="M55" s="41">
        <f t="shared" ref="M55:M60" si="19">SUM(E55:K55)</f>
        <v>23927.360000000001</v>
      </c>
      <c r="N55" s="37">
        <v>23927.360000000001</v>
      </c>
      <c r="O55" s="35">
        <f t="shared" si="11"/>
        <v>0</v>
      </c>
    </row>
    <row r="56" spans="2:35" s="2" customFormat="1" ht="20.25" customHeight="1" x14ac:dyDescent="0.25">
      <c r="B56" s="90">
        <v>5</v>
      </c>
      <c r="C56" s="91" t="s">
        <v>29</v>
      </c>
      <c r="D56" s="36"/>
      <c r="E56" s="41">
        <v>0</v>
      </c>
      <c r="F56" s="41">
        <v>0</v>
      </c>
      <c r="G56" s="41">
        <v>0</v>
      </c>
      <c r="H56" s="41">
        <v>1375.81</v>
      </c>
      <c r="I56" s="41">
        <v>2606.1</v>
      </c>
      <c r="J56" s="41">
        <v>18056.099999999999</v>
      </c>
      <c r="K56" s="41">
        <v>0</v>
      </c>
      <c r="L56" s="53"/>
      <c r="M56" s="41">
        <f t="shared" si="19"/>
        <v>22038.01</v>
      </c>
      <c r="N56" s="37">
        <v>22038.010000000002</v>
      </c>
      <c r="O56" s="35">
        <f t="shared" si="11"/>
        <v>0</v>
      </c>
    </row>
    <row r="57" spans="2:35" s="2" customFormat="1" ht="20.25" customHeight="1" x14ac:dyDescent="0.25">
      <c r="B57" s="90">
        <v>6</v>
      </c>
      <c r="C57" s="91" t="s">
        <v>18</v>
      </c>
      <c r="D57" s="36"/>
      <c r="E57" s="41">
        <v>0</v>
      </c>
      <c r="F57" s="41">
        <v>0</v>
      </c>
      <c r="G57" s="41">
        <v>0</v>
      </c>
      <c r="H57" s="41">
        <v>0</v>
      </c>
      <c r="I57" s="41">
        <v>1958.5</v>
      </c>
      <c r="J57" s="41">
        <v>20108.900000000001</v>
      </c>
      <c r="K57" s="41">
        <v>52187.22</v>
      </c>
      <c r="L57" s="53"/>
      <c r="M57" s="41">
        <f t="shared" si="19"/>
        <v>74254.62</v>
      </c>
      <c r="N57" s="37">
        <v>74254.62</v>
      </c>
      <c r="O57" s="35">
        <f t="shared" si="11"/>
        <v>0</v>
      </c>
    </row>
    <row r="58" spans="2:35" s="2" customFormat="1" ht="20.25" customHeight="1" x14ac:dyDescent="0.25">
      <c r="B58" s="90">
        <v>7</v>
      </c>
      <c r="C58" s="91" t="s">
        <v>83</v>
      </c>
      <c r="D58" s="36"/>
      <c r="E58" s="41">
        <v>0</v>
      </c>
      <c r="F58" s="41">
        <v>0</v>
      </c>
      <c r="G58" s="41">
        <v>0</v>
      </c>
      <c r="H58" s="41">
        <v>0</v>
      </c>
      <c r="I58" s="41"/>
      <c r="J58" s="41">
        <v>5958.25</v>
      </c>
      <c r="K58" s="41">
        <v>149255.44</v>
      </c>
      <c r="L58" s="53"/>
      <c r="M58" s="41">
        <f t="shared" si="19"/>
        <v>155213.69</v>
      </c>
      <c r="N58" s="37">
        <v>155213.69</v>
      </c>
      <c r="O58" s="35">
        <f t="shared" si="11"/>
        <v>0</v>
      </c>
    </row>
    <row r="59" spans="2:35" s="2" customFormat="1" ht="20.25" customHeight="1" x14ac:dyDescent="0.25">
      <c r="B59" s="90">
        <v>8</v>
      </c>
      <c r="C59" s="91" t="s">
        <v>31</v>
      </c>
      <c r="D59" s="36"/>
      <c r="E59" s="41">
        <v>0</v>
      </c>
      <c r="F59" s="41">
        <v>0</v>
      </c>
      <c r="G59" s="41">
        <v>0</v>
      </c>
      <c r="H59" s="41">
        <v>0</v>
      </c>
      <c r="I59" s="41"/>
      <c r="J59" s="41">
        <v>12962.7</v>
      </c>
      <c r="K59" s="41">
        <v>35782.129999999997</v>
      </c>
      <c r="L59" s="53"/>
      <c r="M59" s="41">
        <f t="shared" si="19"/>
        <v>48744.83</v>
      </c>
      <c r="N59" s="37">
        <v>48744.829999999994</v>
      </c>
      <c r="O59" s="35">
        <f t="shared" si="11"/>
        <v>0</v>
      </c>
    </row>
    <row r="60" spans="2:35" s="2" customFormat="1" ht="20.25" customHeight="1" x14ac:dyDescent="0.25">
      <c r="B60" s="96">
        <v>8</v>
      </c>
      <c r="C60" s="97" t="s">
        <v>84</v>
      </c>
      <c r="D60" s="36"/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12829.580000000002</v>
      </c>
      <c r="L60" s="53"/>
      <c r="M60" s="47">
        <f t="shared" si="19"/>
        <v>12829.580000000002</v>
      </c>
      <c r="N60" s="37">
        <v>12829.580000000002</v>
      </c>
      <c r="O60" s="35">
        <f t="shared" si="11"/>
        <v>0</v>
      </c>
    </row>
    <row r="61" spans="2:35" ht="9" customHeight="1" x14ac:dyDescent="0.25">
      <c r="E61" s="4"/>
      <c r="F61" s="4"/>
      <c r="G61" s="4"/>
      <c r="H61" s="4"/>
      <c r="I61" s="4"/>
      <c r="J61" s="4"/>
      <c r="K61" s="4"/>
      <c r="L61" s="56"/>
      <c r="M61" s="4"/>
      <c r="N61" s="4"/>
    </row>
    <row r="62" spans="2:35" s="2" customFormat="1" ht="21.75" customHeight="1" x14ac:dyDescent="0.25">
      <c r="B62" s="31"/>
      <c r="C62" s="13" t="s">
        <v>33</v>
      </c>
      <c r="D62" s="24"/>
      <c r="E62" s="11">
        <f>+E12+E26+E40</f>
        <v>9380.2400000000034</v>
      </c>
      <c r="F62" s="11">
        <f t="shared" ref="F62:J62" si="20">+F12+F26+F40</f>
        <v>46721.222000000002</v>
      </c>
      <c r="G62" s="11">
        <f t="shared" si="20"/>
        <v>151062.788</v>
      </c>
      <c r="H62" s="11">
        <f t="shared" si="20"/>
        <v>334003.42000000004</v>
      </c>
      <c r="I62" s="11">
        <f t="shared" ref="I62" si="21">+I12+I26+I40</f>
        <v>408797.81000000006</v>
      </c>
      <c r="J62" s="11">
        <f t="shared" si="20"/>
        <v>85491.83</v>
      </c>
      <c r="K62" s="11">
        <f>+K12+K26+K40</f>
        <v>260308.04000000004</v>
      </c>
      <c r="L62" s="55"/>
      <c r="M62" s="11">
        <f>+M12+M26+M40</f>
        <v>1295765.3500000001</v>
      </c>
      <c r="N62" s="17">
        <v>1295765.3499999999</v>
      </c>
      <c r="O62" s="35">
        <f t="shared" ref="O62:O65" si="22">+M62-N62</f>
        <v>0</v>
      </c>
      <c r="P62" s="5"/>
    </row>
    <row r="63" spans="2:35" s="2" customFormat="1" ht="21.75" customHeight="1" x14ac:dyDescent="0.25">
      <c r="B63" s="125">
        <v>0.1012</v>
      </c>
      <c r="C63" s="12" t="s">
        <v>88</v>
      </c>
      <c r="D63" s="25"/>
      <c r="E63" s="8">
        <f>ROUND($B$63*E62,2)</f>
        <v>949.28</v>
      </c>
      <c r="F63" s="8">
        <f t="shared" ref="F63:M63" si="23">ROUND($B$63*F62,2)</f>
        <v>4728.1899999999996</v>
      </c>
      <c r="G63" s="8">
        <f t="shared" si="23"/>
        <v>15287.55</v>
      </c>
      <c r="H63" s="8">
        <f t="shared" si="23"/>
        <v>33801.15</v>
      </c>
      <c r="I63" s="8">
        <f t="shared" ref="I63" si="24">ROUND($B$63*I62,2)</f>
        <v>41370.339999999997</v>
      </c>
      <c r="J63" s="8">
        <f t="shared" si="23"/>
        <v>8651.77</v>
      </c>
      <c r="K63" s="8">
        <f t="shared" si="23"/>
        <v>26343.17</v>
      </c>
      <c r="L63" s="19"/>
      <c r="M63" s="8">
        <f t="shared" si="23"/>
        <v>131131.45000000001</v>
      </c>
      <c r="N63" s="5">
        <v>131131.45000000001</v>
      </c>
      <c r="O63" s="35">
        <f t="shared" si="22"/>
        <v>0</v>
      </c>
      <c r="P63" s="5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10"/>
      <c r="AF63" s="10"/>
      <c r="AG63" s="10"/>
      <c r="AH63" s="10"/>
      <c r="AI63" s="10"/>
    </row>
    <row r="64" spans="2:35" s="2" customFormat="1" ht="21.75" customHeight="1" x14ac:dyDescent="0.25">
      <c r="B64" s="125">
        <v>0.03</v>
      </c>
      <c r="C64" s="12" t="s">
        <v>89</v>
      </c>
      <c r="D64" s="25"/>
      <c r="E64" s="8">
        <f>ROUND($B$64*E62,2)</f>
        <v>281.41000000000003</v>
      </c>
      <c r="F64" s="8">
        <f t="shared" ref="F64:K64" si="25">ROUND($B$64*F62,2)</f>
        <v>1401.64</v>
      </c>
      <c r="G64" s="8">
        <f t="shared" si="25"/>
        <v>4531.88</v>
      </c>
      <c r="H64" s="8">
        <f t="shared" si="25"/>
        <v>10020.1</v>
      </c>
      <c r="I64" s="8">
        <f t="shared" ref="I64" si="26">ROUND($B$64*I62,2)</f>
        <v>12263.93</v>
      </c>
      <c r="J64" s="8">
        <f t="shared" si="25"/>
        <v>2564.75</v>
      </c>
      <c r="K64" s="8">
        <f t="shared" si="25"/>
        <v>7809.24</v>
      </c>
      <c r="L64" s="19"/>
      <c r="M64" s="8">
        <f t="shared" ref="M64" si="27">ROUND($B$64*M62,2)</f>
        <v>38872.959999999999</v>
      </c>
      <c r="N64" s="5">
        <v>38872.959999999999</v>
      </c>
      <c r="O64" s="35">
        <f t="shared" si="22"/>
        <v>0</v>
      </c>
      <c r="P64" s="5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10"/>
      <c r="AG64" s="10"/>
      <c r="AH64" s="10"/>
      <c r="AI64" s="10"/>
    </row>
    <row r="65" spans="2:35" s="14" customFormat="1" ht="21.75" customHeight="1" x14ac:dyDescent="0.25">
      <c r="B65" s="126"/>
      <c r="C65" s="13" t="s">
        <v>37</v>
      </c>
      <c r="D65" s="24"/>
      <c r="E65" s="11">
        <f>SUM(E62:E64)</f>
        <v>10610.930000000004</v>
      </c>
      <c r="F65" s="11">
        <f>SUM(F62:F64)</f>
        <v>52851.052000000003</v>
      </c>
      <c r="G65" s="11">
        <f t="shared" ref="G65:K65" si="28">SUM(G62:G64)</f>
        <v>170882.21799999999</v>
      </c>
      <c r="H65" s="11">
        <f t="shared" si="28"/>
        <v>377824.67000000004</v>
      </c>
      <c r="I65" s="11">
        <f t="shared" ref="I65" si="29">SUM(I62:I64)</f>
        <v>462432.08</v>
      </c>
      <c r="J65" s="11">
        <f t="shared" si="28"/>
        <v>96708.35</v>
      </c>
      <c r="K65" s="11">
        <f t="shared" si="28"/>
        <v>294460.45</v>
      </c>
      <c r="L65" s="55"/>
      <c r="M65" s="11">
        <f>SUM(M62:M64)</f>
        <v>1465769.76</v>
      </c>
      <c r="N65" s="28">
        <v>1465769.7599999998</v>
      </c>
      <c r="O65" s="35">
        <f t="shared" si="22"/>
        <v>0</v>
      </c>
      <c r="P65" s="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6"/>
      <c r="AF65" s="16"/>
      <c r="AG65" s="16"/>
      <c r="AH65" s="16"/>
      <c r="AI65" s="16"/>
    </row>
    <row r="66" spans="2:35" s="2" customFormat="1" ht="21.75" customHeight="1" x14ac:dyDescent="0.25">
      <c r="B66" s="125">
        <v>0.18</v>
      </c>
      <c r="C66" s="12" t="s">
        <v>90</v>
      </c>
      <c r="D66" s="25"/>
      <c r="E66" s="8">
        <f>ROUND($B$66*E65,2)</f>
        <v>1909.97</v>
      </c>
      <c r="F66" s="8">
        <f t="shared" ref="F66:M66" si="30">ROUND($B$66*F65,2)</f>
        <v>9513.19</v>
      </c>
      <c r="G66" s="8">
        <f t="shared" si="30"/>
        <v>30758.799999999999</v>
      </c>
      <c r="H66" s="8">
        <f t="shared" si="30"/>
        <v>68008.44</v>
      </c>
      <c r="I66" s="8">
        <f t="shared" ref="I66" si="31">ROUND($B$66*I65,2)</f>
        <v>83237.77</v>
      </c>
      <c r="J66" s="8">
        <f t="shared" si="30"/>
        <v>17407.5</v>
      </c>
      <c r="K66" s="8">
        <f t="shared" si="30"/>
        <v>53002.879999999997</v>
      </c>
      <c r="L66" s="19"/>
      <c r="M66" s="8">
        <f t="shared" si="30"/>
        <v>263838.56</v>
      </c>
      <c r="N66" s="5"/>
      <c r="O66" s="35"/>
      <c r="P66" s="5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10"/>
      <c r="AG66" s="10"/>
      <c r="AH66" s="10"/>
      <c r="AI66" s="10"/>
    </row>
    <row r="67" spans="2:35" s="2" customFormat="1" ht="21.75" customHeight="1" x14ac:dyDescent="0.25">
      <c r="B67" s="126"/>
      <c r="C67" s="13" t="s">
        <v>39</v>
      </c>
      <c r="D67" s="24"/>
      <c r="E67" s="11">
        <f t="shared" ref="E67:F67" si="32">+E66+E65</f>
        <v>12520.900000000003</v>
      </c>
      <c r="F67" s="11">
        <f>+F66+F65+0.01</f>
        <v>62364.252000000008</v>
      </c>
      <c r="G67" s="11">
        <f t="shared" ref="G67:K67" si="33">+G66+G65</f>
        <v>201641.01799999998</v>
      </c>
      <c r="H67" s="11">
        <f>+H66+H65+0.01</f>
        <v>445833.12000000005</v>
      </c>
      <c r="I67" s="11">
        <f t="shared" ref="I67" si="34">+I66+I65</f>
        <v>545669.85</v>
      </c>
      <c r="J67" s="11">
        <f t="shared" si="33"/>
        <v>114115.85</v>
      </c>
      <c r="K67" s="11">
        <f t="shared" si="33"/>
        <v>347463.33</v>
      </c>
      <c r="L67" s="55"/>
      <c r="M67" s="11">
        <f>+M66+M65</f>
        <v>1729608.32</v>
      </c>
      <c r="N67" s="5"/>
      <c r="O67" s="35"/>
      <c r="P67" s="5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10"/>
      <c r="AG67" s="10"/>
      <c r="AH67" s="10"/>
      <c r="AI67" s="10"/>
    </row>
    <row r="68" spans="2:35" ht="8.25" customHeight="1" x14ac:dyDescent="0.25">
      <c r="E68" s="4"/>
      <c r="F68" s="4"/>
      <c r="G68" s="4"/>
      <c r="H68" s="4"/>
      <c r="I68" s="4"/>
      <c r="J68" s="4"/>
      <c r="K68" s="4"/>
      <c r="L68" s="56"/>
      <c r="M68" s="4"/>
      <c r="N68"/>
    </row>
    <row r="69" spans="2:35" s="14" customFormat="1" ht="21.75" customHeight="1" x14ac:dyDescent="0.25">
      <c r="B69" s="419"/>
      <c r="C69" s="13" t="s">
        <v>40</v>
      </c>
      <c r="D69" s="24"/>
      <c r="E69" s="11">
        <f>+E67</f>
        <v>12520.900000000003</v>
      </c>
      <c r="F69" s="11">
        <f>+F67+E69</f>
        <v>74885.152000000016</v>
      </c>
      <c r="G69" s="11">
        <f t="shared" ref="G69:K69" si="35">+G67+F69</f>
        <v>276526.17</v>
      </c>
      <c r="H69" s="11">
        <f t="shared" ref="H69" si="36">+H67+G69</f>
        <v>722359.29</v>
      </c>
      <c r="I69" s="11">
        <f t="shared" ref="I69" si="37">+I67+H69</f>
        <v>1268029.1400000001</v>
      </c>
      <c r="J69" s="11">
        <f t="shared" ref="J69" si="38">+J67+I69</f>
        <v>1382144.9900000002</v>
      </c>
      <c r="K69" s="11">
        <f t="shared" ref="K69" si="39">+K67+J69</f>
        <v>1729608.3200000003</v>
      </c>
      <c r="L69" s="418"/>
      <c r="M69" s="29"/>
      <c r="N69" s="29"/>
    </row>
    <row r="70" spans="2:35" s="2" customFormat="1" ht="21.75" customHeight="1" x14ac:dyDescent="0.25">
      <c r="B70" s="21"/>
      <c r="C70" s="13" t="s">
        <v>41</v>
      </c>
      <c r="D70" s="24"/>
      <c r="E70" s="20">
        <f t="shared" ref="E70:K70" si="40">+E69/$M$67</f>
        <v>7.2391534286791607E-3</v>
      </c>
      <c r="F70" s="20">
        <f t="shared" si="40"/>
        <v>4.3296017447464648E-2</v>
      </c>
      <c r="G70" s="20">
        <f t="shared" si="40"/>
        <v>0.15987791386202396</v>
      </c>
      <c r="H70" s="20">
        <f t="shared" si="40"/>
        <v>0.41764327891299691</v>
      </c>
      <c r="I70" s="20">
        <f t="shared" ref="I70" si="41">+I69/$M$67</f>
        <v>0.73313080501370398</v>
      </c>
      <c r="J70" s="20">
        <f t="shared" si="40"/>
        <v>0.79910866178072049</v>
      </c>
      <c r="K70" s="20">
        <f t="shared" si="40"/>
        <v>1.0000000000000002</v>
      </c>
      <c r="L70" s="49"/>
      <c r="M70" s="3"/>
      <c r="N70" s="3"/>
    </row>
    <row r="71" spans="2:35" x14ac:dyDescent="0.25">
      <c r="E71" s="4"/>
      <c r="F71" s="4"/>
      <c r="G71" s="4"/>
      <c r="H71" s="4"/>
      <c r="I71" s="4"/>
      <c r="J71" s="4"/>
      <c r="K71" s="4"/>
      <c r="L71" s="56"/>
      <c r="M71" s="4"/>
      <c r="N71" s="4"/>
    </row>
    <row r="72" spans="2:35" x14ac:dyDescent="0.25">
      <c r="E72" s="4"/>
      <c r="F72" s="4"/>
      <c r="G72" s="4"/>
      <c r="H72" s="4"/>
      <c r="I72" s="4"/>
      <c r="J72" s="4"/>
      <c r="K72" s="4"/>
      <c r="L72" s="56"/>
      <c r="M72" s="4"/>
      <c r="N72" s="4"/>
    </row>
  </sheetData>
  <mergeCells count="4">
    <mergeCell ref="M9:M10"/>
    <mergeCell ref="C9:C10"/>
    <mergeCell ref="B9:B10"/>
    <mergeCell ref="B1:M1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65" orientation="landscape" r:id="rId1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67"/>
  <sheetViews>
    <sheetView showZeros="0" view="pageBreakPreview" zoomScale="90" zoomScaleNormal="90" zoomScaleSheetLayoutView="90" workbookViewId="0">
      <pane xSplit="3" ySplit="10" topLeftCell="G35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baseColWidth="10" defaultColWidth="54.140625" defaultRowHeight="15" x14ac:dyDescent="0.25"/>
  <cols>
    <col min="1" max="1" width="1.7109375" customWidth="1"/>
    <col min="2" max="2" width="13.28515625" style="1" customWidth="1"/>
    <col min="3" max="3" width="76.85546875" customWidth="1"/>
    <col min="4" max="4" width="0.85546875" customWidth="1"/>
    <col min="5" max="11" width="14.28515625" style="1" customWidth="1"/>
    <col min="12" max="12" width="0.85546875" style="54" customWidth="1"/>
    <col min="13" max="13" width="15.5703125" style="1" customWidth="1"/>
    <col min="14" max="14" width="13.7109375" style="1" customWidth="1"/>
    <col min="15" max="15" width="13.140625" style="1" customWidth="1"/>
    <col min="16" max="16" width="10" customWidth="1"/>
    <col min="17" max="23" width="12.7109375" style="1" customWidth="1"/>
    <col min="24" max="39" width="6.85546875" customWidth="1"/>
  </cols>
  <sheetData>
    <row r="1" spans="2:23" ht="18.75" customHeight="1" x14ac:dyDescent="0.25">
      <c r="B1" s="378" t="str">
        <f>+LP!B1</f>
        <v>CALENDARIO VALORIZADO DE AVANCE DE OBRA</v>
      </c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</row>
    <row r="2" spans="2:23" ht="18.75" customHeight="1" x14ac:dyDescent="0.3">
      <c r="B2" s="66">
        <f>+LP!B2</f>
        <v>0</v>
      </c>
      <c r="C2" s="66"/>
      <c r="D2" s="66"/>
      <c r="E2" s="67"/>
      <c r="F2" s="67"/>
      <c r="G2" s="67"/>
      <c r="H2" s="67"/>
      <c r="I2" s="67"/>
      <c r="J2" s="67"/>
      <c r="K2" s="67"/>
      <c r="L2" s="68"/>
      <c r="M2" s="67"/>
    </row>
    <row r="3" spans="2:23" s="2" customFormat="1" ht="24.75" customHeight="1" x14ac:dyDescent="0.25">
      <c r="B3" s="65" t="str">
        <f>+LP!B3</f>
        <v>PROYECTO</v>
      </c>
      <c r="C3" s="65" t="str">
        <f>+LP!C3</f>
        <v>: “AMPLIACIÓN DEL SERVICIO DE ENERGÍA ELÉCTRICA EN LA PROVINCIA DEL SANTA Y EN EL DISTRITO DE PAMPAROMAS – DEPARTAMENTO DE ANCASH”</v>
      </c>
      <c r="D3" s="65"/>
      <c r="E3" s="65"/>
      <c r="F3" s="65"/>
      <c r="G3" s="65"/>
      <c r="H3" s="69"/>
      <c r="I3" s="376"/>
      <c r="J3" s="69"/>
      <c r="K3" s="69"/>
      <c r="L3" s="70"/>
      <c r="M3" s="69"/>
      <c r="N3" s="3"/>
      <c r="O3" s="3"/>
      <c r="Q3" s="3"/>
      <c r="R3" s="3"/>
      <c r="S3" s="3"/>
      <c r="T3" s="3"/>
      <c r="U3" s="3"/>
      <c r="V3" s="3"/>
      <c r="W3" s="3"/>
    </row>
    <row r="4" spans="2:23" s="2" customFormat="1" ht="24.75" customHeight="1" x14ac:dyDescent="0.25">
      <c r="B4" s="65" t="str">
        <f>+LP!B4</f>
        <v>SECCION</v>
      </c>
      <c r="C4" s="65" t="s">
        <v>57</v>
      </c>
      <c r="D4" s="65"/>
      <c r="E4" s="65"/>
      <c r="F4" s="65"/>
      <c r="G4" s="65"/>
      <c r="H4" s="69"/>
      <c r="I4" s="376"/>
      <c r="J4" s="69"/>
      <c r="K4" s="69"/>
      <c r="L4" s="70"/>
      <c r="M4" s="69"/>
      <c r="N4" s="3"/>
      <c r="O4" s="3"/>
      <c r="Q4" s="3"/>
      <c r="R4" s="3"/>
      <c r="S4" s="3"/>
      <c r="T4" s="3"/>
      <c r="U4" s="3"/>
      <c r="V4" s="3"/>
      <c r="W4" s="3"/>
    </row>
    <row r="5" spans="2:23" s="2" customFormat="1" ht="24.75" customHeight="1" x14ac:dyDescent="0.25">
      <c r="B5" s="65" t="str">
        <f>+LP!B5</f>
        <v>EJECUTOR</v>
      </c>
      <c r="C5" s="65" t="str">
        <f>+LP!C5</f>
        <v>: CONSORCIO PACIFICO</v>
      </c>
      <c r="D5" s="65"/>
      <c r="E5" s="65"/>
      <c r="F5" s="65"/>
      <c r="G5" s="65"/>
      <c r="H5" s="69"/>
      <c r="I5" s="376"/>
      <c r="J5" s="69"/>
      <c r="K5" s="69"/>
      <c r="L5" s="70"/>
      <c r="M5" s="69"/>
      <c r="N5" s="3"/>
      <c r="O5" s="3"/>
      <c r="Q5" s="3"/>
      <c r="R5" s="3"/>
      <c r="S5" s="3"/>
      <c r="T5" s="3"/>
      <c r="U5" s="3"/>
      <c r="V5" s="3"/>
      <c r="W5" s="3"/>
    </row>
    <row r="6" spans="2:23" s="2" customFormat="1" ht="24.75" customHeight="1" x14ac:dyDescent="0.25">
      <c r="B6" s="65" t="str">
        <f>+LP!B6</f>
        <v>PLAZO</v>
      </c>
      <c r="C6" s="65" t="str">
        <f>+LP!C6</f>
        <v>: 210 DIAS CALENDARIOS</v>
      </c>
      <c r="D6" s="65"/>
      <c r="E6" s="65"/>
      <c r="F6" s="65"/>
      <c r="G6" s="65"/>
      <c r="H6" s="69"/>
      <c r="I6" s="376"/>
      <c r="J6" s="69"/>
      <c r="K6" s="69"/>
      <c r="L6" s="70"/>
      <c r="M6" s="69"/>
      <c r="N6" s="3"/>
      <c r="O6" s="3"/>
      <c r="Q6" s="3"/>
      <c r="R6" s="3"/>
      <c r="S6" s="3"/>
      <c r="T6" s="3"/>
      <c r="U6" s="3"/>
      <c r="V6" s="3"/>
      <c r="W6" s="3"/>
    </row>
    <row r="7" spans="2:23" s="2" customFormat="1" ht="24.75" customHeight="1" x14ac:dyDescent="0.25">
      <c r="B7" s="65" t="str">
        <f>+LP!B7</f>
        <v>MONTO</v>
      </c>
      <c r="C7" s="65" t="s">
        <v>166</v>
      </c>
      <c r="D7" s="65"/>
      <c r="E7" s="65"/>
      <c r="F7" s="65"/>
      <c r="G7" s="65"/>
      <c r="H7" s="69"/>
      <c r="I7" s="376"/>
      <c r="J7" s="69"/>
      <c r="K7" s="69"/>
      <c r="L7" s="70"/>
      <c r="M7" s="69"/>
      <c r="N7" s="3"/>
      <c r="O7" s="3"/>
      <c r="Q7" s="3"/>
      <c r="R7" s="3"/>
      <c r="S7" s="3"/>
      <c r="T7" s="3"/>
      <c r="U7" s="3"/>
      <c r="V7" s="3"/>
      <c r="W7" s="3"/>
    </row>
    <row r="8" spans="2:23" s="2" customFormat="1" ht="14.25" customHeight="1" x14ac:dyDescent="0.25">
      <c r="B8">
        <f>+LP!B8</f>
        <v>0</v>
      </c>
      <c r="E8" s="3"/>
      <c r="F8" s="7"/>
      <c r="G8" s="7"/>
      <c r="H8" s="7"/>
      <c r="I8" s="7"/>
      <c r="L8" s="50"/>
      <c r="M8" s="3"/>
      <c r="N8" s="3"/>
      <c r="O8" s="3"/>
      <c r="Q8" s="3"/>
      <c r="R8" s="3"/>
      <c r="S8" s="3"/>
      <c r="T8" s="3"/>
      <c r="U8" s="3"/>
      <c r="V8" s="3"/>
      <c r="W8" s="3"/>
    </row>
    <row r="9" spans="2:23" s="2" customFormat="1" ht="24" customHeight="1" x14ac:dyDescent="0.25">
      <c r="B9" s="388" t="s">
        <v>48</v>
      </c>
      <c r="C9" s="388" t="s">
        <v>49</v>
      </c>
      <c r="D9" s="26"/>
      <c r="E9" s="145" t="s">
        <v>42</v>
      </c>
      <c r="F9" s="145" t="s">
        <v>43</v>
      </c>
      <c r="G9" s="145" t="s">
        <v>44</v>
      </c>
      <c r="H9" s="145" t="s">
        <v>45</v>
      </c>
      <c r="I9" s="145" t="s">
        <v>46</v>
      </c>
      <c r="J9" s="145" t="s">
        <v>47</v>
      </c>
      <c r="K9" s="145" t="s">
        <v>173</v>
      </c>
      <c r="L9" s="51"/>
      <c r="M9" s="386" t="s">
        <v>34</v>
      </c>
      <c r="N9" s="6"/>
      <c r="O9" s="6"/>
      <c r="Q9" s="3"/>
      <c r="R9" s="3"/>
      <c r="S9" s="3"/>
      <c r="T9" s="3"/>
      <c r="U9" s="3"/>
      <c r="V9" s="3"/>
      <c r="W9" s="3"/>
    </row>
    <row r="10" spans="2:23" s="2" customFormat="1" ht="24" customHeight="1" x14ac:dyDescent="0.25">
      <c r="B10" s="391"/>
      <c r="C10" s="391"/>
      <c r="D10" s="26"/>
      <c r="E10" s="145" t="s">
        <v>119</v>
      </c>
      <c r="F10" s="145" t="s">
        <v>120</v>
      </c>
      <c r="G10" s="145" t="s">
        <v>121</v>
      </c>
      <c r="H10" s="145" t="s">
        <v>122</v>
      </c>
      <c r="I10" s="145" t="s">
        <v>123</v>
      </c>
      <c r="J10" s="145" t="s">
        <v>124</v>
      </c>
      <c r="K10" s="145" t="s">
        <v>169</v>
      </c>
      <c r="L10" s="51"/>
      <c r="M10" s="392"/>
      <c r="N10" s="3"/>
      <c r="O10" s="3"/>
      <c r="Q10" s="3">
        <v>1</v>
      </c>
      <c r="R10" s="3">
        <v>2</v>
      </c>
      <c r="S10" s="3">
        <v>3</v>
      </c>
      <c r="T10" s="3">
        <v>4</v>
      </c>
      <c r="U10" s="3">
        <v>5</v>
      </c>
      <c r="V10" s="3">
        <v>6</v>
      </c>
      <c r="W10" s="3">
        <v>7</v>
      </c>
    </row>
    <row r="11" spans="2:23" s="2" customFormat="1" ht="21" customHeight="1" x14ac:dyDescent="0.25">
      <c r="B11" s="127"/>
      <c r="C11" s="103" t="s">
        <v>19</v>
      </c>
      <c r="D11" s="92"/>
      <c r="E11" s="128"/>
      <c r="F11" s="128"/>
      <c r="G11" s="128"/>
      <c r="H11" s="128"/>
      <c r="I11" s="128"/>
      <c r="J11" s="128"/>
      <c r="K11" s="128"/>
      <c r="L11" s="93"/>
      <c r="M11" s="128">
        <f t="shared" ref="M11:M54" si="0">SUM(E11:K11)</f>
        <v>0</v>
      </c>
      <c r="N11" s="6"/>
      <c r="O11" s="37">
        <f t="shared" ref="O11:O54" si="1">+M11-N11</f>
        <v>0</v>
      </c>
      <c r="Q11" s="3"/>
      <c r="R11" s="3"/>
      <c r="S11" s="3"/>
      <c r="T11" s="3"/>
      <c r="U11" s="3"/>
      <c r="V11" s="3"/>
      <c r="W11" s="3"/>
    </row>
    <row r="12" spans="2:23" s="14" customFormat="1" ht="21" customHeight="1" x14ac:dyDescent="0.25">
      <c r="B12" s="129"/>
      <c r="C12" s="103" t="s">
        <v>20</v>
      </c>
      <c r="D12" s="104"/>
      <c r="E12" s="105">
        <f>SUM(E13:E27)</f>
        <v>582.28</v>
      </c>
      <c r="F12" s="105">
        <f t="shared" ref="F12:K12" si="2">SUM(F13:F27)</f>
        <v>6535.4000000000005</v>
      </c>
      <c r="G12" s="105">
        <f t="shared" si="2"/>
        <v>29031.640000000003</v>
      </c>
      <c r="H12" s="105">
        <f t="shared" si="2"/>
        <v>75295.259999999995</v>
      </c>
      <c r="I12" s="105">
        <f t="shared" ref="I12" si="3">SUM(I13:I27)</f>
        <v>111761.01</v>
      </c>
      <c r="J12" s="105">
        <f t="shared" si="2"/>
        <v>0</v>
      </c>
      <c r="K12" s="105">
        <f t="shared" si="2"/>
        <v>0</v>
      </c>
      <c r="L12" s="106"/>
      <c r="M12" s="105">
        <f t="shared" si="0"/>
        <v>223205.59</v>
      </c>
      <c r="N12" s="27">
        <v>223205.59</v>
      </c>
      <c r="O12" s="37">
        <f t="shared" si="1"/>
        <v>0</v>
      </c>
      <c r="Q12" s="29"/>
      <c r="R12" s="29"/>
      <c r="S12" s="29"/>
      <c r="T12" s="29"/>
      <c r="U12" s="29"/>
      <c r="V12" s="29"/>
      <c r="W12" s="29"/>
    </row>
    <row r="13" spans="2:23" s="2" customFormat="1" ht="21" customHeight="1" x14ac:dyDescent="0.25">
      <c r="B13" s="44">
        <v>1</v>
      </c>
      <c r="C13" s="95" t="s">
        <v>70</v>
      </c>
      <c r="D13" s="92"/>
      <c r="E13" s="44">
        <v>582.28</v>
      </c>
      <c r="F13" s="44">
        <v>3899.46</v>
      </c>
      <c r="G13" s="44">
        <v>12897.84</v>
      </c>
      <c r="H13" s="44">
        <v>24310.68</v>
      </c>
      <c r="I13" s="44"/>
      <c r="J13" s="44"/>
      <c r="K13" s="44">
        <v>0</v>
      </c>
      <c r="L13" s="93"/>
      <c r="M13" s="44">
        <f t="shared" si="0"/>
        <v>41690.26</v>
      </c>
      <c r="N13" s="37">
        <v>41690.26</v>
      </c>
      <c r="O13" s="37">
        <f t="shared" si="1"/>
        <v>0</v>
      </c>
      <c r="Q13" s="3" t="s">
        <v>175</v>
      </c>
      <c r="R13" s="3" t="s">
        <v>176</v>
      </c>
      <c r="S13" s="3" t="s">
        <v>176</v>
      </c>
      <c r="T13" s="3" t="s">
        <v>177</v>
      </c>
      <c r="U13" s="3"/>
      <c r="V13" s="3"/>
      <c r="W13" s="3"/>
    </row>
    <row r="14" spans="2:23" s="2" customFormat="1" ht="21" customHeight="1" x14ac:dyDescent="0.25">
      <c r="B14" s="41">
        <v>2</v>
      </c>
      <c r="C14" s="91" t="s">
        <v>164</v>
      </c>
      <c r="D14" s="92"/>
      <c r="E14" s="41">
        <v>0</v>
      </c>
      <c r="F14" s="41">
        <v>0</v>
      </c>
      <c r="G14" s="41">
        <v>1196.2</v>
      </c>
      <c r="H14" s="41">
        <v>12506.25</v>
      </c>
      <c r="I14" s="41"/>
      <c r="J14" s="41"/>
      <c r="K14" s="41">
        <v>0</v>
      </c>
      <c r="L14" s="93"/>
      <c r="M14" s="41">
        <f t="shared" si="0"/>
        <v>13702.45</v>
      </c>
      <c r="N14" s="37">
        <v>13702.45</v>
      </c>
      <c r="O14" s="37">
        <f t="shared" si="1"/>
        <v>0</v>
      </c>
      <c r="Q14" s="3"/>
      <c r="R14" s="3"/>
      <c r="S14" s="3" t="s">
        <v>178</v>
      </c>
      <c r="T14" s="3" t="s">
        <v>179</v>
      </c>
      <c r="U14" s="3"/>
      <c r="V14" s="3"/>
      <c r="W14" s="3"/>
    </row>
    <row r="15" spans="2:23" s="2" customFormat="1" ht="21" customHeight="1" x14ac:dyDescent="0.25">
      <c r="B15" s="41">
        <v>3</v>
      </c>
      <c r="C15" s="91" t="s">
        <v>71</v>
      </c>
      <c r="D15" s="92"/>
      <c r="E15" s="41">
        <v>0</v>
      </c>
      <c r="F15" s="41"/>
      <c r="G15" s="41">
        <v>1788.86</v>
      </c>
      <c r="H15" s="41">
        <v>7240.64</v>
      </c>
      <c r="I15" s="41"/>
      <c r="J15" s="41"/>
      <c r="K15" s="41">
        <v>0</v>
      </c>
      <c r="L15" s="93"/>
      <c r="M15" s="41">
        <f t="shared" si="0"/>
        <v>9029.5</v>
      </c>
      <c r="N15" s="37">
        <v>9029.5</v>
      </c>
      <c r="O15" s="37">
        <f t="shared" si="1"/>
        <v>0</v>
      </c>
      <c r="Q15" s="3"/>
      <c r="R15" s="3" t="s">
        <v>180</v>
      </c>
      <c r="S15" s="3" t="s">
        <v>181</v>
      </c>
      <c r="T15" s="3"/>
      <c r="U15" s="3"/>
      <c r="V15" s="3"/>
      <c r="W15" s="3"/>
    </row>
    <row r="16" spans="2:23" s="2" customFormat="1" ht="21" customHeight="1" x14ac:dyDescent="0.25">
      <c r="B16" s="41">
        <v>4</v>
      </c>
      <c r="C16" s="91" t="s">
        <v>8</v>
      </c>
      <c r="D16" s="92"/>
      <c r="E16" s="41">
        <v>0</v>
      </c>
      <c r="F16" s="41"/>
      <c r="G16" s="41">
        <v>1394.85</v>
      </c>
      <c r="H16" s="41">
        <v>2224.62</v>
      </c>
      <c r="I16" s="41">
        <v>9780.8799999999992</v>
      </c>
      <c r="J16" s="41"/>
      <c r="K16" s="41">
        <v>0</v>
      </c>
      <c r="L16" s="93"/>
      <c r="M16" s="41">
        <f t="shared" si="0"/>
        <v>13400.349999999999</v>
      </c>
      <c r="N16" s="37">
        <v>13400.35</v>
      </c>
      <c r="O16" s="37">
        <f t="shared" si="1"/>
        <v>0</v>
      </c>
      <c r="Q16" s="3"/>
      <c r="R16" s="3"/>
      <c r="S16" s="3" t="s">
        <v>182</v>
      </c>
      <c r="T16" s="3" t="s">
        <v>183</v>
      </c>
      <c r="U16" s="3" t="s">
        <v>184</v>
      </c>
      <c r="V16" s="3"/>
      <c r="W16" s="3"/>
    </row>
    <row r="17" spans="2:23" s="2" customFormat="1" ht="21" customHeight="1" x14ac:dyDescent="0.25">
      <c r="B17" s="41">
        <v>5</v>
      </c>
      <c r="C17" s="91" t="s">
        <v>9</v>
      </c>
      <c r="D17" s="92"/>
      <c r="E17" s="41">
        <v>0</v>
      </c>
      <c r="F17" s="41"/>
      <c r="G17" s="41">
        <v>251.79</v>
      </c>
      <c r="H17" s="41">
        <v>780.48</v>
      </c>
      <c r="I17" s="41">
        <v>1139.3900000000001</v>
      </c>
      <c r="J17" s="41"/>
      <c r="K17" s="41">
        <v>0</v>
      </c>
      <c r="L17" s="93"/>
      <c r="M17" s="41">
        <f t="shared" si="0"/>
        <v>2171.66</v>
      </c>
      <c r="N17" s="37">
        <v>2171.66</v>
      </c>
      <c r="O17" s="37">
        <f t="shared" si="1"/>
        <v>0</v>
      </c>
      <c r="Q17" s="3"/>
      <c r="R17" s="3"/>
      <c r="S17" s="3" t="s">
        <v>185</v>
      </c>
      <c r="T17" s="3" t="s">
        <v>186</v>
      </c>
      <c r="U17" s="3" t="s">
        <v>187</v>
      </c>
      <c r="V17" s="3"/>
      <c r="W17" s="3"/>
    </row>
    <row r="18" spans="2:23" s="2" customFormat="1" ht="21" customHeight="1" x14ac:dyDescent="0.25">
      <c r="B18" s="41">
        <v>6</v>
      </c>
      <c r="C18" s="91" t="s">
        <v>14</v>
      </c>
      <c r="D18" s="92"/>
      <c r="E18" s="41">
        <v>0</v>
      </c>
      <c r="F18" s="41"/>
      <c r="G18" s="41">
        <v>632.96</v>
      </c>
      <c r="H18" s="41">
        <v>1763.75</v>
      </c>
      <c r="I18" s="41">
        <v>6577.43</v>
      </c>
      <c r="J18" s="41"/>
      <c r="K18" s="41">
        <v>0</v>
      </c>
      <c r="L18" s="93"/>
      <c r="M18" s="41">
        <f t="shared" si="0"/>
        <v>8974.14</v>
      </c>
      <c r="N18" s="37">
        <v>8974.14</v>
      </c>
      <c r="O18" s="37">
        <f t="shared" si="1"/>
        <v>0</v>
      </c>
      <c r="Q18" s="3"/>
      <c r="R18" s="3"/>
      <c r="S18" s="3" t="s">
        <v>188</v>
      </c>
      <c r="T18" s="3" t="s">
        <v>189</v>
      </c>
      <c r="U18" s="3" t="s">
        <v>190</v>
      </c>
      <c r="V18" s="3"/>
      <c r="W18" s="3"/>
    </row>
    <row r="19" spans="2:23" s="2" customFormat="1" ht="21" customHeight="1" x14ac:dyDescent="0.25">
      <c r="B19" s="41">
        <v>7</v>
      </c>
      <c r="C19" s="91" t="s">
        <v>10</v>
      </c>
      <c r="D19" s="92"/>
      <c r="E19" s="41">
        <v>0</v>
      </c>
      <c r="F19" s="41">
        <v>230.25</v>
      </c>
      <c r="G19" s="41">
        <v>513.58000000000004</v>
      </c>
      <c r="H19" s="41">
        <v>973.12</v>
      </c>
      <c r="I19" s="41"/>
      <c r="J19" s="41">
        <v>0</v>
      </c>
      <c r="K19" s="41">
        <v>0</v>
      </c>
      <c r="L19" s="93"/>
      <c r="M19" s="41">
        <f t="shared" si="0"/>
        <v>1716.95</v>
      </c>
      <c r="N19" s="37">
        <v>1716.95</v>
      </c>
      <c r="O19" s="37">
        <f t="shared" si="1"/>
        <v>0</v>
      </c>
      <c r="Q19" s="3"/>
      <c r="R19" s="3" t="s">
        <v>191</v>
      </c>
      <c r="S19" s="3" t="s">
        <v>192</v>
      </c>
      <c r="T19" s="3" t="s">
        <v>193</v>
      </c>
      <c r="U19" s="3"/>
      <c r="V19" s="3"/>
      <c r="W19" s="3"/>
    </row>
    <row r="20" spans="2:23" s="2" customFormat="1" ht="21" customHeight="1" x14ac:dyDescent="0.25">
      <c r="B20" s="41">
        <v>8</v>
      </c>
      <c r="C20" s="91" t="s">
        <v>72</v>
      </c>
      <c r="D20" s="92"/>
      <c r="E20" s="41">
        <v>0</v>
      </c>
      <c r="F20" s="41">
        <v>861.1</v>
      </c>
      <c r="G20" s="41">
        <v>1436</v>
      </c>
      <c r="H20" s="41">
        <v>3226.1</v>
      </c>
      <c r="I20" s="41"/>
      <c r="J20" s="41">
        <v>0</v>
      </c>
      <c r="K20" s="41">
        <v>0</v>
      </c>
      <c r="L20" s="93"/>
      <c r="M20" s="41">
        <f t="shared" si="0"/>
        <v>5523.2</v>
      </c>
      <c r="N20" s="37">
        <v>5523.2</v>
      </c>
      <c r="O20" s="37">
        <f t="shared" si="1"/>
        <v>0</v>
      </c>
      <c r="Q20" s="3"/>
      <c r="R20" s="3" t="s">
        <v>194</v>
      </c>
      <c r="S20" s="3" t="s">
        <v>195</v>
      </c>
      <c r="T20" s="3" t="s">
        <v>196</v>
      </c>
      <c r="U20" s="3"/>
      <c r="V20" s="3"/>
      <c r="W20" s="3"/>
    </row>
    <row r="21" spans="2:23" s="2" customFormat="1" ht="21" customHeight="1" x14ac:dyDescent="0.25">
      <c r="B21" s="41">
        <v>9</v>
      </c>
      <c r="C21" s="91" t="s">
        <v>73</v>
      </c>
      <c r="D21" s="92"/>
      <c r="E21" s="41">
        <v>0</v>
      </c>
      <c r="F21" s="41">
        <v>915.54</v>
      </c>
      <c r="G21" s="41">
        <v>1223.99</v>
      </c>
      <c r="H21" s="41">
        <v>1595.95</v>
      </c>
      <c r="I21" s="41"/>
      <c r="J21" s="41"/>
      <c r="K21" s="41">
        <v>0</v>
      </c>
      <c r="L21" s="93"/>
      <c r="M21" s="41">
        <f t="shared" si="0"/>
        <v>3735.4799999999996</v>
      </c>
      <c r="N21" s="37">
        <v>3735.48</v>
      </c>
      <c r="O21" s="37">
        <f t="shared" si="1"/>
        <v>0</v>
      </c>
      <c r="Q21" s="3"/>
      <c r="R21" s="3" t="s">
        <v>197</v>
      </c>
      <c r="S21" s="3" t="s">
        <v>198</v>
      </c>
      <c r="T21" s="3" t="s">
        <v>199</v>
      </c>
      <c r="U21" s="3"/>
      <c r="V21" s="3"/>
      <c r="W21" s="3"/>
    </row>
    <row r="22" spans="2:23" s="2" customFormat="1" ht="21" customHeight="1" x14ac:dyDescent="0.25">
      <c r="B22" s="41">
        <v>10</v>
      </c>
      <c r="C22" s="91" t="s">
        <v>11</v>
      </c>
      <c r="D22" s="92"/>
      <c r="E22" s="41">
        <v>0</v>
      </c>
      <c r="F22" s="41">
        <v>362.76</v>
      </c>
      <c r="G22" s="41">
        <v>2635.26</v>
      </c>
      <c r="H22" s="41">
        <v>3002.29</v>
      </c>
      <c r="I22" s="41"/>
      <c r="J22" s="41">
        <v>0</v>
      </c>
      <c r="K22" s="41">
        <v>0</v>
      </c>
      <c r="L22" s="93"/>
      <c r="M22" s="41">
        <f t="shared" si="0"/>
        <v>6000.31</v>
      </c>
      <c r="N22" s="37">
        <v>6000.3099999999995</v>
      </c>
      <c r="O22" s="37">
        <f t="shared" si="1"/>
        <v>0</v>
      </c>
      <c r="Q22" s="3"/>
      <c r="R22" s="3" t="s">
        <v>200</v>
      </c>
      <c r="S22" s="3" t="s">
        <v>201</v>
      </c>
      <c r="T22" s="3" t="s">
        <v>202</v>
      </c>
      <c r="U22" s="3"/>
      <c r="V22" s="3"/>
      <c r="W22" s="3"/>
    </row>
    <row r="23" spans="2:23" s="2" customFormat="1" ht="21" customHeight="1" x14ac:dyDescent="0.25">
      <c r="B23" s="41">
        <v>11</v>
      </c>
      <c r="C23" s="91" t="s">
        <v>12</v>
      </c>
      <c r="D23" s="92"/>
      <c r="E23" s="41">
        <v>0</v>
      </c>
      <c r="F23" s="41">
        <v>266.29000000000002</v>
      </c>
      <c r="G23" s="41">
        <v>2652.55</v>
      </c>
      <c r="H23" s="41">
        <v>9240.2000000000007</v>
      </c>
      <c r="I23" s="41"/>
      <c r="J23" s="41">
        <v>0</v>
      </c>
      <c r="K23" s="41">
        <v>0</v>
      </c>
      <c r="L23" s="93"/>
      <c r="M23" s="41">
        <f t="shared" si="0"/>
        <v>12159.04</v>
      </c>
      <c r="N23" s="37">
        <v>12159.04</v>
      </c>
      <c r="O23" s="37">
        <f t="shared" si="1"/>
        <v>0</v>
      </c>
      <c r="Q23" s="3"/>
      <c r="R23" s="3" t="s">
        <v>203</v>
      </c>
      <c r="S23" s="3" t="s">
        <v>204</v>
      </c>
      <c r="T23" s="3" t="s">
        <v>205</v>
      </c>
      <c r="U23" s="3"/>
      <c r="V23" s="3"/>
      <c r="W23" s="3"/>
    </row>
    <row r="24" spans="2:23" s="2" customFormat="1" ht="21" customHeight="1" x14ac:dyDescent="0.25">
      <c r="B24" s="41">
        <v>12</v>
      </c>
      <c r="C24" s="91" t="s">
        <v>15</v>
      </c>
      <c r="D24" s="92"/>
      <c r="E24" s="41">
        <v>0</v>
      </c>
      <c r="F24" s="41"/>
      <c r="G24" s="41">
        <v>736.34</v>
      </c>
      <c r="H24" s="41">
        <v>2382.1999999999998</v>
      </c>
      <c r="I24" s="41">
        <v>11177.72</v>
      </c>
      <c r="J24" s="41"/>
      <c r="K24" s="41">
        <v>0</v>
      </c>
      <c r="L24" s="93"/>
      <c r="M24" s="41">
        <f t="shared" si="0"/>
        <v>14296.259999999998</v>
      </c>
      <c r="N24" s="37">
        <v>14296.26</v>
      </c>
      <c r="O24" s="37">
        <f t="shared" si="1"/>
        <v>0</v>
      </c>
      <c r="Q24" s="3"/>
      <c r="R24" s="3"/>
      <c r="S24" s="3" t="s">
        <v>206</v>
      </c>
      <c r="T24" s="3" t="s">
        <v>207</v>
      </c>
      <c r="U24" s="3" t="s">
        <v>208</v>
      </c>
      <c r="V24" s="3"/>
      <c r="W24" s="3"/>
    </row>
    <row r="25" spans="2:23" s="2" customFormat="1" ht="21" customHeight="1" x14ac:dyDescent="0.25">
      <c r="B25" s="41">
        <v>13</v>
      </c>
      <c r="C25" s="91" t="s">
        <v>21</v>
      </c>
      <c r="D25" s="92"/>
      <c r="E25" s="41">
        <v>0</v>
      </c>
      <c r="F25" s="41"/>
      <c r="G25" s="41">
        <v>537.9</v>
      </c>
      <c r="H25" s="41">
        <v>2678.7</v>
      </c>
      <c r="I25" s="41">
        <v>54575.48</v>
      </c>
      <c r="J25" s="41"/>
      <c r="K25" s="41">
        <v>0</v>
      </c>
      <c r="L25" s="93"/>
      <c r="M25" s="41">
        <f t="shared" si="0"/>
        <v>57792.08</v>
      </c>
      <c r="N25" s="37">
        <v>57792.08</v>
      </c>
      <c r="O25" s="37">
        <f t="shared" si="1"/>
        <v>0</v>
      </c>
      <c r="Q25" s="3"/>
      <c r="R25" s="3"/>
      <c r="S25" s="3" t="s">
        <v>209</v>
      </c>
      <c r="T25" s="3" t="s">
        <v>210</v>
      </c>
      <c r="U25" s="3" t="s">
        <v>211</v>
      </c>
      <c r="V25" s="3"/>
      <c r="W25" s="3"/>
    </row>
    <row r="26" spans="2:23" s="2" customFormat="1" ht="21" customHeight="1" x14ac:dyDescent="0.25">
      <c r="B26" s="41">
        <v>14</v>
      </c>
      <c r="C26" s="91" t="s">
        <v>22</v>
      </c>
      <c r="D26" s="92"/>
      <c r="E26" s="41">
        <v>0</v>
      </c>
      <c r="F26" s="41"/>
      <c r="G26" s="41">
        <v>552.32000000000005</v>
      </c>
      <c r="H26" s="41">
        <v>2454.5</v>
      </c>
      <c r="I26" s="41">
        <v>26739.87</v>
      </c>
      <c r="J26" s="41"/>
      <c r="K26" s="41">
        <v>0</v>
      </c>
      <c r="L26" s="93"/>
      <c r="M26" s="41">
        <f t="shared" si="0"/>
        <v>29746.69</v>
      </c>
      <c r="N26" s="37">
        <v>29746.690000000002</v>
      </c>
      <c r="O26" s="37">
        <f t="shared" si="1"/>
        <v>0</v>
      </c>
      <c r="Q26" s="3"/>
      <c r="R26" s="3"/>
      <c r="S26" s="3" t="s">
        <v>212</v>
      </c>
      <c r="T26" s="3" t="s">
        <v>213</v>
      </c>
      <c r="U26" s="3" t="s">
        <v>214</v>
      </c>
      <c r="V26" s="3"/>
      <c r="W26" s="3"/>
    </row>
    <row r="27" spans="2:23" s="2" customFormat="1" ht="21" customHeight="1" x14ac:dyDescent="0.25">
      <c r="B27" s="41">
        <v>15</v>
      </c>
      <c r="C27" s="91" t="s">
        <v>23</v>
      </c>
      <c r="D27" s="92"/>
      <c r="E27" s="41">
        <v>0</v>
      </c>
      <c r="F27" s="41"/>
      <c r="G27" s="41">
        <v>581.20000000000005</v>
      </c>
      <c r="H27" s="41">
        <v>915.78</v>
      </c>
      <c r="I27" s="41">
        <v>1770.24</v>
      </c>
      <c r="J27" s="41"/>
      <c r="K27" s="41"/>
      <c r="L27" s="93"/>
      <c r="M27" s="41">
        <f t="shared" si="0"/>
        <v>3267.2200000000003</v>
      </c>
      <c r="N27" s="37">
        <v>3267.2200000000003</v>
      </c>
      <c r="O27" s="37">
        <f t="shared" si="1"/>
        <v>0</v>
      </c>
      <c r="Q27" s="3"/>
      <c r="R27" s="3"/>
      <c r="S27" s="3" t="s">
        <v>215</v>
      </c>
      <c r="T27" s="3" t="s">
        <v>216</v>
      </c>
      <c r="U27" s="3" t="s">
        <v>217</v>
      </c>
      <c r="V27" s="3"/>
      <c r="W27" s="3"/>
    </row>
    <row r="28" spans="2:23" s="2" customFormat="1" ht="21" customHeight="1" x14ac:dyDescent="0.25">
      <c r="B28" s="129"/>
      <c r="C28" s="103" t="s">
        <v>13</v>
      </c>
      <c r="D28" s="104"/>
      <c r="E28" s="105">
        <f>SUM(E29:E43)</f>
        <v>778.71</v>
      </c>
      <c r="F28" s="105">
        <f t="shared" ref="F28" si="4">SUM(F29:F43)</f>
        <v>1693.29</v>
      </c>
      <c r="G28" s="105">
        <f t="shared" ref="G28" si="5">SUM(G29:G43)</f>
        <v>4051.7000000000007</v>
      </c>
      <c r="H28" s="105">
        <f t="shared" ref="H28:I28" si="6">SUM(H29:H43)</f>
        <v>7449.59</v>
      </c>
      <c r="I28" s="105">
        <f t="shared" si="6"/>
        <v>5141.9700000000012</v>
      </c>
      <c r="J28" s="105">
        <f t="shared" ref="J28" si="7">SUM(J29:J43)</f>
        <v>0</v>
      </c>
      <c r="K28" s="105">
        <f t="shared" ref="K28" si="8">SUM(K29:K43)</f>
        <v>0</v>
      </c>
      <c r="L28" s="106"/>
      <c r="M28" s="105">
        <f t="shared" si="0"/>
        <v>19115.260000000002</v>
      </c>
      <c r="N28" s="6">
        <v>19115.259999999998</v>
      </c>
      <c r="O28" s="37">
        <f t="shared" si="1"/>
        <v>0</v>
      </c>
      <c r="Q28" s="3"/>
      <c r="R28" s="3"/>
      <c r="S28" s="3"/>
      <c r="T28" s="3"/>
      <c r="U28" s="3"/>
      <c r="V28" s="3"/>
      <c r="W28" s="3"/>
    </row>
    <row r="29" spans="2:23" s="38" customFormat="1" ht="21" customHeight="1" x14ac:dyDescent="0.25">
      <c r="B29" s="44">
        <v>1</v>
      </c>
      <c r="C29" s="95" t="s">
        <v>70</v>
      </c>
      <c r="D29" s="92"/>
      <c r="E29" s="41">
        <v>778.71</v>
      </c>
      <c r="F29" s="41">
        <v>1113.6600000000001</v>
      </c>
      <c r="G29" s="41">
        <v>1957.81</v>
      </c>
      <c r="H29" s="41">
        <v>2979.82</v>
      </c>
      <c r="I29" s="41"/>
      <c r="J29" s="41"/>
      <c r="K29" s="41">
        <v>0</v>
      </c>
      <c r="L29" s="93"/>
      <c r="M29" s="41">
        <f t="shared" si="0"/>
        <v>6830</v>
      </c>
      <c r="N29" s="37">
        <v>6830</v>
      </c>
      <c r="O29" s="37">
        <f t="shared" si="1"/>
        <v>0</v>
      </c>
      <c r="Q29" s="400" t="s">
        <v>218</v>
      </c>
      <c r="R29" s="400" t="s">
        <v>219</v>
      </c>
      <c r="S29" s="400" t="s">
        <v>219</v>
      </c>
      <c r="T29" s="400" t="s">
        <v>220</v>
      </c>
      <c r="U29" s="400"/>
      <c r="V29" s="400"/>
      <c r="W29" s="400"/>
    </row>
    <row r="30" spans="2:23" s="38" customFormat="1" ht="21" customHeight="1" x14ac:dyDescent="0.25">
      <c r="B30" s="41">
        <v>2</v>
      </c>
      <c r="C30" s="91" t="s">
        <v>164</v>
      </c>
      <c r="D30" s="92"/>
      <c r="E30" s="41">
        <v>0</v>
      </c>
      <c r="F30" s="41">
        <v>0</v>
      </c>
      <c r="G30" s="41">
        <v>229.25</v>
      </c>
      <c r="H30" s="41">
        <v>296.42</v>
      </c>
      <c r="I30" s="41"/>
      <c r="J30" s="41">
        <v>0</v>
      </c>
      <c r="K30" s="41">
        <v>0</v>
      </c>
      <c r="L30" s="93"/>
      <c r="M30" s="41">
        <f t="shared" si="0"/>
        <v>525.67000000000007</v>
      </c>
      <c r="N30" s="37">
        <v>525.66999999999996</v>
      </c>
      <c r="O30" s="37">
        <f t="shared" si="1"/>
        <v>0</v>
      </c>
      <c r="Q30" s="400"/>
      <c r="R30" s="400"/>
      <c r="S30" s="400" t="s">
        <v>221</v>
      </c>
      <c r="T30" s="400" t="s">
        <v>221</v>
      </c>
      <c r="U30" s="400"/>
      <c r="V30" s="400"/>
      <c r="W30" s="400"/>
    </row>
    <row r="31" spans="2:23" s="38" customFormat="1" ht="21" customHeight="1" x14ac:dyDescent="0.25">
      <c r="B31" s="41">
        <v>3</v>
      </c>
      <c r="C31" s="91" t="s">
        <v>71</v>
      </c>
      <c r="D31" s="92"/>
      <c r="E31" s="41">
        <v>0</v>
      </c>
      <c r="F31" s="41">
        <v>208.09</v>
      </c>
      <c r="G31" s="41">
        <v>407.38</v>
      </c>
      <c r="H31" s="41">
        <v>1145.08</v>
      </c>
      <c r="I31" s="41"/>
      <c r="J31" s="41"/>
      <c r="K31" s="41">
        <v>0</v>
      </c>
      <c r="L31" s="93"/>
      <c r="M31" s="41">
        <f t="shared" si="0"/>
        <v>1760.55</v>
      </c>
      <c r="N31" s="37">
        <v>1760.55</v>
      </c>
      <c r="O31" s="37">
        <f t="shared" si="1"/>
        <v>0</v>
      </c>
      <c r="Q31" s="400"/>
      <c r="R31" s="400" t="s">
        <v>222</v>
      </c>
      <c r="S31" s="400" t="s">
        <v>223</v>
      </c>
      <c r="T31" s="400" t="s">
        <v>224</v>
      </c>
      <c r="U31" s="400"/>
      <c r="V31" s="400"/>
      <c r="W31" s="400"/>
    </row>
    <row r="32" spans="2:23" s="38" customFormat="1" ht="21" customHeight="1" x14ac:dyDescent="0.25">
      <c r="B32" s="41">
        <v>4</v>
      </c>
      <c r="C32" s="91" t="s">
        <v>8</v>
      </c>
      <c r="D32" s="92"/>
      <c r="E32" s="41">
        <v>0</v>
      </c>
      <c r="F32" s="41"/>
      <c r="G32" s="41">
        <v>30.32</v>
      </c>
      <c r="H32" s="41">
        <v>87.62</v>
      </c>
      <c r="I32" s="41">
        <v>128.29</v>
      </c>
      <c r="J32" s="41"/>
      <c r="K32" s="41">
        <v>0</v>
      </c>
      <c r="L32" s="93"/>
      <c r="M32" s="41">
        <f t="shared" si="0"/>
        <v>246.23</v>
      </c>
      <c r="N32" s="37">
        <v>246.23</v>
      </c>
      <c r="O32" s="37">
        <f t="shared" si="1"/>
        <v>0</v>
      </c>
      <c r="Q32" s="400"/>
      <c r="R32" s="400"/>
      <c r="S32" s="400" t="s">
        <v>225</v>
      </c>
      <c r="T32" s="400" t="s">
        <v>226</v>
      </c>
      <c r="U32" s="400" t="s">
        <v>227</v>
      </c>
      <c r="V32" s="400"/>
      <c r="W32" s="400"/>
    </row>
    <row r="33" spans="2:23" s="38" customFormat="1" ht="21" customHeight="1" x14ac:dyDescent="0.25">
      <c r="B33" s="41">
        <v>5</v>
      </c>
      <c r="C33" s="91" t="s">
        <v>9</v>
      </c>
      <c r="D33" s="92"/>
      <c r="E33" s="41">
        <v>0</v>
      </c>
      <c r="F33" s="41"/>
      <c r="G33" s="41">
        <v>0</v>
      </c>
      <c r="H33" s="41">
        <v>39.950000000000003</v>
      </c>
      <c r="I33" s="41">
        <v>93.91</v>
      </c>
      <c r="J33" s="41"/>
      <c r="K33" s="41">
        <v>0</v>
      </c>
      <c r="L33" s="93"/>
      <c r="M33" s="41">
        <f t="shared" si="0"/>
        <v>133.86000000000001</v>
      </c>
      <c r="N33" s="37">
        <v>133.85999999999999</v>
      </c>
      <c r="O33" s="37">
        <f t="shared" si="1"/>
        <v>0</v>
      </c>
      <c r="Q33" s="400"/>
      <c r="R33" s="400"/>
      <c r="S33" s="400"/>
      <c r="T33" s="400" t="s">
        <v>228</v>
      </c>
      <c r="U33" s="400" t="s">
        <v>229</v>
      </c>
      <c r="V33" s="400"/>
      <c r="W33" s="400"/>
    </row>
    <row r="34" spans="2:23" s="38" customFormat="1" ht="21" customHeight="1" x14ac:dyDescent="0.25">
      <c r="B34" s="41">
        <v>6</v>
      </c>
      <c r="C34" s="91" t="s">
        <v>14</v>
      </c>
      <c r="D34" s="92"/>
      <c r="E34" s="41">
        <v>0</v>
      </c>
      <c r="F34" s="41"/>
      <c r="G34" s="41">
        <v>58.9</v>
      </c>
      <c r="H34" s="41">
        <v>92.86</v>
      </c>
      <c r="I34" s="41">
        <v>181.5</v>
      </c>
      <c r="J34" s="41"/>
      <c r="K34" s="41">
        <v>0</v>
      </c>
      <c r="L34" s="93"/>
      <c r="M34" s="41">
        <f t="shared" si="0"/>
        <v>333.26</v>
      </c>
      <c r="N34" s="37">
        <v>333.26</v>
      </c>
      <c r="O34" s="37">
        <f t="shared" si="1"/>
        <v>0</v>
      </c>
      <c r="Q34" s="400"/>
      <c r="R34" s="400"/>
      <c r="S34" s="400" t="s">
        <v>230</v>
      </c>
      <c r="T34" s="400" t="s">
        <v>231</v>
      </c>
      <c r="U34" s="400" t="s">
        <v>232</v>
      </c>
      <c r="V34" s="400"/>
      <c r="W34" s="400"/>
    </row>
    <row r="35" spans="2:23" s="38" customFormat="1" ht="21" customHeight="1" x14ac:dyDescent="0.25">
      <c r="B35" s="41">
        <v>7</v>
      </c>
      <c r="C35" s="91" t="s">
        <v>10</v>
      </c>
      <c r="D35" s="92"/>
      <c r="E35" s="41">
        <v>0</v>
      </c>
      <c r="F35" s="41">
        <v>0</v>
      </c>
      <c r="G35" s="41">
        <v>58.92</v>
      </c>
      <c r="H35" s="41">
        <v>104.29</v>
      </c>
      <c r="I35" s="41"/>
      <c r="J35" s="41"/>
      <c r="K35" s="41">
        <v>0</v>
      </c>
      <c r="L35" s="93"/>
      <c r="M35" s="41">
        <f t="shared" si="0"/>
        <v>163.21</v>
      </c>
      <c r="N35" s="37">
        <v>163.21</v>
      </c>
      <c r="O35" s="37">
        <f t="shared" si="1"/>
        <v>0</v>
      </c>
      <c r="Q35" s="400"/>
      <c r="R35" s="400"/>
      <c r="S35" s="400" t="s">
        <v>233</v>
      </c>
      <c r="T35" s="400" t="s">
        <v>234</v>
      </c>
      <c r="U35" s="400"/>
      <c r="V35" s="400"/>
      <c r="W35" s="400"/>
    </row>
    <row r="36" spans="2:23" s="38" customFormat="1" ht="21" customHeight="1" x14ac:dyDescent="0.25">
      <c r="B36" s="41">
        <v>8</v>
      </c>
      <c r="C36" s="91" t="s">
        <v>72</v>
      </c>
      <c r="D36" s="92"/>
      <c r="E36" s="41">
        <v>0</v>
      </c>
      <c r="F36" s="41">
        <v>50.45</v>
      </c>
      <c r="G36" s="41">
        <v>100.86</v>
      </c>
      <c r="H36" s="41">
        <v>211.15</v>
      </c>
      <c r="I36" s="41"/>
      <c r="J36" s="41"/>
      <c r="K36" s="41">
        <v>0</v>
      </c>
      <c r="L36" s="93"/>
      <c r="M36" s="41">
        <f t="shared" si="0"/>
        <v>362.46000000000004</v>
      </c>
      <c r="N36" s="37">
        <v>362.46</v>
      </c>
      <c r="O36" s="37">
        <f t="shared" si="1"/>
        <v>0</v>
      </c>
      <c r="Q36" s="400"/>
      <c r="R36" s="400" t="s">
        <v>235</v>
      </c>
      <c r="S36" s="400" t="s">
        <v>236</v>
      </c>
      <c r="T36" s="400" t="s">
        <v>237</v>
      </c>
      <c r="U36" s="400"/>
      <c r="V36" s="400"/>
      <c r="W36" s="400"/>
    </row>
    <row r="37" spans="2:23" s="38" customFormat="1" ht="21" customHeight="1" x14ac:dyDescent="0.25">
      <c r="B37" s="41">
        <v>9</v>
      </c>
      <c r="C37" s="91" t="s">
        <v>73</v>
      </c>
      <c r="D37" s="92"/>
      <c r="E37" s="41">
        <v>0</v>
      </c>
      <c r="F37" s="41">
        <v>22.07</v>
      </c>
      <c r="G37" s="41">
        <v>38</v>
      </c>
      <c r="H37" s="41">
        <v>79</v>
      </c>
      <c r="I37" s="41"/>
      <c r="J37" s="41"/>
      <c r="K37" s="41">
        <v>0</v>
      </c>
      <c r="L37" s="93"/>
      <c r="M37" s="41">
        <f t="shared" si="0"/>
        <v>139.07</v>
      </c>
      <c r="N37" s="37">
        <v>139.07</v>
      </c>
      <c r="O37" s="37">
        <f t="shared" si="1"/>
        <v>0</v>
      </c>
      <c r="Q37" s="400"/>
      <c r="R37" s="400" t="s">
        <v>238</v>
      </c>
      <c r="S37" s="400" t="s">
        <v>239</v>
      </c>
      <c r="T37" s="400" t="s">
        <v>240</v>
      </c>
      <c r="U37" s="400"/>
      <c r="V37" s="400"/>
      <c r="W37" s="400"/>
    </row>
    <row r="38" spans="2:23" s="38" customFormat="1" ht="21" customHeight="1" x14ac:dyDescent="0.25">
      <c r="B38" s="41">
        <v>10</v>
      </c>
      <c r="C38" s="91" t="s">
        <v>11</v>
      </c>
      <c r="D38" s="92"/>
      <c r="E38" s="41">
        <v>0</v>
      </c>
      <c r="F38" s="41">
        <v>73.5</v>
      </c>
      <c r="G38" s="41">
        <v>242.04</v>
      </c>
      <c r="H38" s="41">
        <v>359.1</v>
      </c>
      <c r="I38" s="41"/>
      <c r="J38" s="41"/>
      <c r="K38" s="41">
        <v>0</v>
      </c>
      <c r="L38" s="93"/>
      <c r="M38" s="41">
        <f t="shared" si="0"/>
        <v>674.64</v>
      </c>
      <c r="N38" s="37">
        <v>674.64</v>
      </c>
      <c r="O38" s="37">
        <f t="shared" si="1"/>
        <v>0</v>
      </c>
      <c r="Q38" s="400"/>
      <c r="R38" s="400" t="s">
        <v>241</v>
      </c>
      <c r="S38" s="400" t="s">
        <v>242</v>
      </c>
      <c r="T38" s="400" t="s">
        <v>243</v>
      </c>
      <c r="U38" s="400"/>
      <c r="V38" s="400"/>
      <c r="W38" s="400"/>
    </row>
    <row r="39" spans="2:23" s="38" customFormat="1" ht="21" customHeight="1" x14ac:dyDescent="0.25">
      <c r="B39" s="41">
        <v>11</v>
      </c>
      <c r="C39" s="91" t="s">
        <v>12</v>
      </c>
      <c r="D39" s="92"/>
      <c r="E39" s="41">
        <v>0</v>
      </c>
      <c r="F39" s="41">
        <v>225.52</v>
      </c>
      <c r="G39" s="41">
        <v>928.22</v>
      </c>
      <c r="H39" s="41">
        <v>1695.34</v>
      </c>
      <c r="I39" s="41"/>
      <c r="J39" s="41"/>
      <c r="K39" s="41">
        <v>0</v>
      </c>
      <c r="L39" s="93"/>
      <c r="M39" s="41">
        <f t="shared" si="0"/>
        <v>2849.08</v>
      </c>
      <c r="N39" s="37">
        <v>2849.08</v>
      </c>
      <c r="O39" s="37">
        <f t="shared" si="1"/>
        <v>0</v>
      </c>
      <c r="Q39" s="400"/>
      <c r="R39" s="400" t="s">
        <v>244</v>
      </c>
      <c r="S39" s="400" t="s">
        <v>245</v>
      </c>
      <c r="T39" s="400" t="s">
        <v>246</v>
      </c>
      <c r="U39" s="400"/>
      <c r="V39" s="400"/>
      <c r="W39" s="400"/>
    </row>
    <row r="40" spans="2:23" s="38" customFormat="1" ht="21" customHeight="1" x14ac:dyDescent="0.25">
      <c r="B40" s="41">
        <v>12</v>
      </c>
      <c r="C40" s="91" t="s">
        <v>15</v>
      </c>
      <c r="D40" s="92"/>
      <c r="E40" s="41">
        <v>0</v>
      </c>
      <c r="F40" s="41"/>
      <c r="G40" s="41"/>
      <c r="H40" s="41">
        <v>100</v>
      </c>
      <c r="I40" s="41">
        <v>158.94</v>
      </c>
      <c r="J40" s="41"/>
      <c r="K40" s="41">
        <v>0</v>
      </c>
      <c r="L40" s="93"/>
      <c r="M40" s="41">
        <f t="shared" si="0"/>
        <v>258.94</v>
      </c>
      <c r="N40" s="37">
        <v>258.94</v>
      </c>
      <c r="O40" s="37">
        <f t="shared" si="1"/>
        <v>0</v>
      </c>
      <c r="Q40" s="400"/>
      <c r="R40" s="400"/>
      <c r="S40" s="400"/>
      <c r="T40" s="400" t="s">
        <v>247</v>
      </c>
      <c r="U40" s="400" t="s">
        <v>248</v>
      </c>
      <c r="V40" s="400"/>
      <c r="W40" s="400"/>
    </row>
    <row r="41" spans="2:23" s="38" customFormat="1" ht="21" customHeight="1" x14ac:dyDescent="0.25">
      <c r="B41" s="41">
        <v>13</v>
      </c>
      <c r="C41" s="91" t="s">
        <v>21</v>
      </c>
      <c r="D41" s="92"/>
      <c r="E41" s="41">
        <v>0</v>
      </c>
      <c r="F41" s="41">
        <v>0</v>
      </c>
      <c r="G41" s="41">
        <v>0</v>
      </c>
      <c r="H41" s="41">
        <v>223.27</v>
      </c>
      <c r="I41" s="41">
        <v>3947.05</v>
      </c>
      <c r="J41" s="41"/>
      <c r="K41" s="41">
        <v>0</v>
      </c>
      <c r="L41" s="93"/>
      <c r="M41" s="41">
        <f t="shared" si="0"/>
        <v>4170.3200000000006</v>
      </c>
      <c r="N41" s="37">
        <v>4170.3200000000006</v>
      </c>
      <c r="O41" s="37">
        <f t="shared" si="1"/>
        <v>0</v>
      </c>
      <c r="Q41" s="400"/>
      <c r="R41" s="400"/>
      <c r="S41" s="400"/>
      <c r="T41" s="400" t="s">
        <v>249</v>
      </c>
      <c r="U41" s="400" t="s">
        <v>250</v>
      </c>
      <c r="V41" s="400"/>
      <c r="W41" s="400"/>
    </row>
    <row r="42" spans="2:23" s="38" customFormat="1" ht="21" customHeight="1" x14ac:dyDescent="0.25">
      <c r="B42" s="41">
        <v>14</v>
      </c>
      <c r="C42" s="91" t="s">
        <v>22</v>
      </c>
      <c r="D42" s="92"/>
      <c r="E42" s="41">
        <v>0</v>
      </c>
      <c r="F42" s="41">
        <v>0</v>
      </c>
      <c r="G42" s="41">
        <v>0</v>
      </c>
      <c r="H42" s="41">
        <v>32.18</v>
      </c>
      <c r="I42" s="41">
        <v>574.14</v>
      </c>
      <c r="J42" s="41"/>
      <c r="K42" s="41">
        <v>0</v>
      </c>
      <c r="L42" s="93"/>
      <c r="M42" s="41">
        <f t="shared" si="0"/>
        <v>606.31999999999994</v>
      </c>
      <c r="N42" s="37">
        <v>606.31999999999994</v>
      </c>
      <c r="O42" s="37">
        <f t="shared" si="1"/>
        <v>0</v>
      </c>
      <c r="Q42" s="400"/>
      <c r="R42" s="400"/>
      <c r="S42" s="400"/>
      <c r="T42" s="400" t="s">
        <v>251</v>
      </c>
      <c r="U42" s="400" t="s">
        <v>252</v>
      </c>
      <c r="V42" s="400"/>
      <c r="W42" s="400"/>
    </row>
    <row r="43" spans="2:23" s="38" customFormat="1" ht="21" customHeight="1" x14ac:dyDescent="0.25">
      <c r="B43" s="41">
        <v>15</v>
      </c>
      <c r="C43" s="91" t="s">
        <v>23</v>
      </c>
      <c r="D43" s="92"/>
      <c r="E43" s="41">
        <v>0</v>
      </c>
      <c r="F43" s="41">
        <v>0</v>
      </c>
      <c r="G43" s="41">
        <v>0</v>
      </c>
      <c r="H43" s="41">
        <v>3.51</v>
      </c>
      <c r="I43" s="41">
        <v>58.14</v>
      </c>
      <c r="J43" s="41"/>
      <c r="K43" s="41">
        <v>0</v>
      </c>
      <c r="L43" s="93"/>
      <c r="M43" s="41">
        <f t="shared" si="0"/>
        <v>61.65</v>
      </c>
      <c r="N43" s="37">
        <v>61.65</v>
      </c>
      <c r="O43" s="37">
        <f t="shared" si="1"/>
        <v>0</v>
      </c>
      <c r="Q43" s="400"/>
      <c r="R43" s="400"/>
      <c r="S43" s="400"/>
      <c r="T43" s="400" t="s">
        <v>253</v>
      </c>
      <c r="U43" s="400" t="s">
        <v>254</v>
      </c>
      <c r="V43" s="400"/>
      <c r="W43" s="400"/>
    </row>
    <row r="44" spans="2:23" s="2" customFormat="1" ht="21" customHeight="1" x14ac:dyDescent="0.25">
      <c r="B44" s="129"/>
      <c r="C44" s="103" t="s">
        <v>113</v>
      </c>
      <c r="D44" s="104"/>
      <c r="E44" s="105">
        <f>+E45+E46+E50+E51+E52+E53+E54</f>
        <v>1869.14</v>
      </c>
      <c r="F44" s="105">
        <f t="shared" ref="F44:K44" si="9">+F45+F46+F50+F51+F52+F53+F54</f>
        <v>2817.42</v>
      </c>
      <c r="G44" s="105">
        <f t="shared" si="9"/>
        <v>6378.9500000000007</v>
      </c>
      <c r="H44" s="105">
        <f t="shared" si="9"/>
        <v>11562.76</v>
      </c>
      <c r="I44" s="105">
        <f t="shared" ref="I44" si="10">+I45+I46+I50+I51+I52+I53+I54</f>
        <v>25786.75</v>
      </c>
      <c r="J44" s="105">
        <f t="shared" si="9"/>
        <v>10741.810000000001</v>
      </c>
      <c r="K44" s="105">
        <f t="shared" si="9"/>
        <v>25698.66</v>
      </c>
      <c r="L44" s="106"/>
      <c r="M44" s="105">
        <f t="shared" si="0"/>
        <v>84855.49</v>
      </c>
      <c r="N44" s="6">
        <v>84855.489999999991</v>
      </c>
      <c r="O44" s="37">
        <f t="shared" si="1"/>
        <v>0</v>
      </c>
      <c r="Q44" s="3"/>
      <c r="R44" s="3"/>
      <c r="S44" s="3"/>
      <c r="T44" s="3"/>
      <c r="U44" s="3"/>
      <c r="V44" s="3"/>
      <c r="W44" s="3"/>
    </row>
    <row r="45" spans="2:23" s="2" customFormat="1" ht="21" customHeight="1" x14ac:dyDescent="0.25">
      <c r="B45" s="90">
        <v>1</v>
      </c>
      <c r="C45" s="91" t="s">
        <v>82</v>
      </c>
      <c r="D45" s="92"/>
      <c r="E45" s="41">
        <v>1869.14</v>
      </c>
      <c r="F45" s="41">
        <v>2551.3200000000002</v>
      </c>
      <c r="G45" s="41">
        <v>4612.8500000000004</v>
      </c>
      <c r="H45" s="41">
        <v>6794.26</v>
      </c>
      <c r="I45" s="41">
        <v>9627.36</v>
      </c>
      <c r="J45" s="41"/>
      <c r="K45" s="41"/>
      <c r="L45" s="93"/>
      <c r="M45" s="41">
        <f t="shared" si="0"/>
        <v>25454.93</v>
      </c>
      <c r="N45" s="37">
        <v>25454.929999999993</v>
      </c>
      <c r="O45" s="37">
        <f t="shared" si="1"/>
        <v>0</v>
      </c>
      <c r="Q45" s="3" t="s">
        <v>255</v>
      </c>
      <c r="R45" s="3" t="s">
        <v>256</v>
      </c>
      <c r="S45" s="3" t="s">
        <v>256</v>
      </c>
      <c r="T45" s="3" t="s">
        <v>257</v>
      </c>
      <c r="U45" s="3" t="s">
        <v>258</v>
      </c>
      <c r="V45" s="3"/>
      <c r="W45" s="3"/>
    </row>
    <row r="46" spans="2:23" s="14" customFormat="1" ht="21" customHeight="1" x14ac:dyDescent="0.25">
      <c r="B46" s="87">
        <v>2</v>
      </c>
      <c r="C46" s="88" t="s">
        <v>16</v>
      </c>
      <c r="D46" s="45"/>
      <c r="E46" s="89">
        <f>SUM(E47:E49)</f>
        <v>0</v>
      </c>
      <c r="F46" s="89">
        <f t="shared" ref="F46:K46" si="11">SUM(F47:F49)</f>
        <v>266.10000000000002</v>
      </c>
      <c r="G46" s="89">
        <f t="shared" si="11"/>
        <v>1766.1</v>
      </c>
      <c r="H46" s="89">
        <f t="shared" si="11"/>
        <v>3666.3999999999996</v>
      </c>
      <c r="I46" s="89">
        <f t="shared" ref="I46" si="12">SUM(I47:I49)</f>
        <v>13358.150000000001</v>
      </c>
      <c r="J46" s="89">
        <f t="shared" si="11"/>
        <v>0</v>
      </c>
      <c r="K46" s="89">
        <f t="shared" si="11"/>
        <v>0</v>
      </c>
      <c r="L46" s="57"/>
      <c r="M46" s="89">
        <f t="shared" si="0"/>
        <v>19056.75</v>
      </c>
      <c r="N46" s="37">
        <v>19056.749999999996</v>
      </c>
      <c r="O46" s="37">
        <f t="shared" si="1"/>
        <v>0</v>
      </c>
      <c r="Q46" s="29"/>
      <c r="R46" s="29"/>
      <c r="S46" s="29"/>
      <c r="T46" s="29"/>
      <c r="U46" s="29"/>
      <c r="V46" s="29"/>
      <c r="W46" s="29"/>
    </row>
    <row r="47" spans="2:23" s="2" customFormat="1" ht="21" customHeight="1" x14ac:dyDescent="0.25">
      <c r="B47" s="131">
        <v>2.0099999999999998</v>
      </c>
      <c r="C47" s="91" t="s">
        <v>85</v>
      </c>
      <c r="D47" s="92"/>
      <c r="E47" s="41">
        <v>0</v>
      </c>
      <c r="F47" s="41">
        <v>133.16</v>
      </c>
      <c r="G47" s="41">
        <v>713.16</v>
      </c>
      <c r="H47" s="41">
        <v>1038.28</v>
      </c>
      <c r="I47" s="41">
        <v>1166.3599999999999</v>
      </c>
      <c r="J47" s="41"/>
      <c r="K47" s="41">
        <v>0</v>
      </c>
      <c r="L47" s="93"/>
      <c r="M47" s="41">
        <f t="shared" si="0"/>
        <v>3050.96</v>
      </c>
      <c r="N47" s="6">
        <v>3050.96</v>
      </c>
      <c r="O47" s="37">
        <f t="shared" si="1"/>
        <v>0</v>
      </c>
      <c r="Q47" s="3"/>
      <c r="R47" s="3" t="s">
        <v>259</v>
      </c>
      <c r="S47" s="3" t="s">
        <v>260</v>
      </c>
      <c r="T47" s="3" t="s">
        <v>261</v>
      </c>
      <c r="U47" s="3" t="s">
        <v>262</v>
      </c>
      <c r="V47" s="3"/>
      <c r="W47" s="3"/>
    </row>
    <row r="48" spans="2:23" s="2" customFormat="1" ht="21" customHeight="1" x14ac:dyDescent="0.25">
      <c r="B48" s="131">
        <v>2.02</v>
      </c>
      <c r="C48" s="91" t="s">
        <v>86</v>
      </c>
      <c r="D48" s="92"/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/>
      <c r="K48" s="41">
        <v>0</v>
      </c>
      <c r="L48" s="93"/>
      <c r="M48" s="41">
        <f t="shared" si="0"/>
        <v>0</v>
      </c>
      <c r="N48" s="6"/>
      <c r="O48" s="37">
        <f t="shared" si="1"/>
        <v>0</v>
      </c>
      <c r="Q48" s="3"/>
      <c r="R48" s="3"/>
      <c r="S48" s="3"/>
      <c r="T48" s="3"/>
      <c r="U48" s="3"/>
      <c r="V48" s="3"/>
      <c r="W48" s="3"/>
    </row>
    <row r="49" spans="2:23" s="2" customFormat="1" ht="21" customHeight="1" x14ac:dyDescent="0.25">
      <c r="B49" s="131">
        <v>2.0299999999999998</v>
      </c>
      <c r="C49" s="91" t="s">
        <v>87</v>
      </c>
      <c r="D49" s="92"/>
      <c r="E49" s="41">
        <v>0</v>
      </c>
      <c r="F49" s="41">
        <v>132.94</v>
      </c>
      <c r="G49" s="41">
        <v>1052.94</v>
      </c>
      <c r="H49" s="41">
        <v>2628.12</v>
      </c>
      <c r="I49" s="41">
        <v>12191.79</v>
      </c>
      <c r="J49" s="41"/>
      <c r="K49" s="41">
        <v>0</v>
      </c>
      <c r="L49" s="93"/>
      <c r="M49" s="41">
        <f t="shared" si="0"/>
        <v>16005.79</v>
      </c>
      <c r="N49" s="6">
        <v>16005.789999999997</v>
      </c>
      <c r="O49" s="37">
        <f t="shared" si="1"/>
        <v>0</v>
      </c>
      <c r="Q49" s="3"/>
      <c r="R49" s="3" t="s">
        <v>263</v>
      </c>
      <c r="S49" s="3" t="s">
        <v>264</v>
      </c>
      <c r="T49" s="3" t="s">
        <v>265</v>
      </c>
      <c r="U49" s="3" t="s">
        <v>266</v>
      </c>
      <c r="V49" s="3"/>
      <c r="W49" s="3"/>
    </row>
    <row r="50" spans="2:23" s="2" customFormat="1" ht="21" customHeight="1" x14ac:dyDescent="0.25">
      <c r="B50" s="90">
        <v>3</v>
      </c>
      <c r="C50" s="91" t="s">
        <v>17</v>
      </c>
      <c r="D50" s="92"/>
      <c r="E50" s="41">
        <v>0</v>
      </c>
      <c r="F50" s="41">
        <v>0</v>
      </c>
      <c r="G50" s="41"/>
      <c r="H50" s="41">
        <v>1102.0999999999999</v>
      </c>
      <c r="I50" s="41">
        <v>2402</v>
      </c>
      <c r="J50" s="41">
        <v>4622.37</v>
      </c>
      <c r="K50" s="41"/>
      <c r="L50" s="93"/>
      <c r="M50" s="41">
        <f t="shared" si="0"/>
        <v>8126.4699999999993</v>
      </c>
      <c r="N50" s="37">
        <v>8126.47</v>
      </c>
      <c r="O50" s="37">
        <f t="shared" si="1"/>
        <v>0</v>
      </c>
      <c r="Q50" s="3"/>
      <c r="R50" s="3"/>
      <c r="S50" s="3"/>
      <c r="T50" s="3" t="s">
        <v>267</v>
      </c>
      <c r="U50" s="3" t="s">
        <v>268</v>
      </c>
      <c r="V50" s="3" t="s">
        <v>269</v>
      </c>
      <c r="W50" s="3"/>
    </row>
    <row r="51" spans="2:23" s="2" customFormat="1" ht="21" customHeight="1" x14ac:dyDescent="0.25">
      <c r="B51" s="90">
        <v>4</v>
      </c>
      <c r="C51" s="91" t="s">
        <v>29</v>
      </c>
      <c r="D51" s="92"/>
      <c r="E51" s="41">
        <v>0</v>
      </c>
      <c r="F51" s="41">
        <v>0</v>
      </c>
      <c r="G51" s="41">
        <v>0</v>
      </c>
      <c r="H51" s="41">
        <v>0</v>
      </c>
      <c r="I51" s="41">
        <v>133.69999999999999</v>
      </c>
      <c r="J51" s="41">
        <v>843.98</v>
      </c>
      <c r="K51" s="41">
        <v>2886.91</v>
      </c>
      <c r="L51" s="93"/>
      <c r="M51" s="41">
        <f t="shared" si="0"/>
        <v>3864.59</v>
      </c>
      <c r="N51" s="37">
        <v>3864.5899999999997</v>
      </c>
      <c r="O51" s="37">
        <f t="shared" si="1"/>
        <v>0</v>
      </c>
      <c r="Q51" s="3"/>
      <c r="R51" s="3"/>
      <c r="S51" s="3"/>
      <c r="T51" s="3"/>
      <c r="U51" s="3" t="s">
        <v>270</v>
      </c>
      <c r="V51" s="3" t="s">
        <v>271</v>
      </c>
      <c r="W51" s="3" t="s">
        <v>272</v>
      </c>
    </row>
    <row r="52" spans="2:23" s="2" customFormat="1" ht="21" customHeight="1" x14ac:dyDescent="0.25">
      <c r="B52" s="90">
        <v>5</v>
      </c>
      <c r="C52" s="91" t="s">
        <v>18</v>
      </c>
      <c r="D52" s="92"/>
      <c r="E52" s="41">
        <v>0</v>
      </c>
      <c r="F52" s="41">
        <v>0</v>
      </c>
      <c r="G52" s="41">
        <v>0</v>
      </c>
      <c r="H52" s="41">
        <v>0</v>
      </c>
      <c r="I52" s="41">
        <v>132.94</v>
      </c>
      <c r="J52" s="41">
        <v>1661.26</v>
      </c>
      <c r="K52" s="41">
        <v>3855.36</v>
      </c>
      <c r="L52" s="93"/>
      <c r="M52" s="41">
        <f t="shared" si="0"/>
        <v>5649.56</v>
      </c>
      <c r="N52" s="37">
        <v>5649.56</v>
      </c>
      <c r="O52" s="37">
        <f t="shared" si="1"/>
        <v>0</v>
      </c>
      <c r="Q52" s="3"/>
      <c r="R52" s="3"/>
      <c r="S52" s="3"/>
      <c r="T52" s="3"/>
      <c r="U52" s="3" t="s">
        <v>273</v>
      </c>
      <c r="V52" s="3" t="s">
        <v>274</v>
      </c>
      <c r="W52" s="3" t="s">
        <v>275</v>
      </c>
    </row>
    <row r="53" spans="2:23" s="2" customFormat="1" ht="21" customHeight="1" x14ac:dyDescent="0.25">
      <c r="B53" s="90">
        <v>6</v>
      </c>
      <c r="C53" s="91" t="s">
        <v>31</v>
      </c>
      <c r="D53" s="92"/>
      <c r="E53" s="41">
        <v>0</v>
      </c>
      <c r="F53" s="41">
        <v>0</v>
      </c>
      <c r="G53" s="41">
        <v>0</v>
      </c>
      <c r="H53" s="41"/>
      <c r="I53" s="41">
        <v>132.6</v>
      </c>
      <c r="J53" s="41">
        <v>3614.2</v>
      </c>
      <c r="K53" s="41">
        <v>9945.14</v>
      </c>
      <c r="L53" s="93"/>
      <c r="M53" s="41">
        <f t="shared" si="0"/>
        <v>13691.939999999999</v>
      </c>
      <c r="N53" s="37">
        <v>13691.94</v>
      </c>
      <c r="O53" s="37">
        <f t="shared" si="1"/>
        <v>0</v>
      </c>
      <c r="Q53" s="3"/>
      <c r="R53" s="3"/>
      <c r="S53" s="3"/>
      <c r="T53" s="3"/>
      <c r="U53" s="3"/>
      <c r="V53" s="3" t="s">
        <v>276</v>
      </c>
      <c r="W53" s="3" t="s">
        <v>277</v>
      </c>
    </row>
    <row r="54" spans="2:23" s="2" customFormat="1" ht="21" customHeight="1" x14ac:dyDescent="0.25">
      <c r="B54" s="96">
        <v>7</v>
      </c>
      <c r="C54" s="97" t="s">
        <v>91</v>
      </c>
      <c r="D54" s="92"/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9011.25</v>
      </c>
      <c r="L54" s="93"/>
      <c r="M54" s="47">
        <f t="shared" si="0"/>
        <v>9011.25</v>
      </c>
      <c r="N54" s="37">
        <v>9011.25</v>
      </c>
      <c r="O54" s="37">
        <f t="shared" si="1"/>
        <v>0</v>
      </c>
      <c r="Q54" s="3"/>
      <c r="R54" s="3"/>
      <c r="S54" s="3"/>
      <c r="T54" s="3"/>
      <c r="U54" s="3"/>
      <c r="V54" s="3"/>
      <c r="W54" s="3" t="s">
        <v>278</v>
      </c>
    </row>
    <row r="55" spans="2:23" ht="8.25" customHeight="1" x14ac:dyDescent="0.25">
      <c r="B55" s="132"/>
      <c r="C55" s="115"/>
      <c r="D55" s="115"/>
      <c r="E55" s="116"/>
      <c r="F55" s="116"/>
      <c r="G55" s="116"/>
      <c r="H55" s="116"/>
      <c r="I55" s="116"/>
      <c r="J55" s="116"/>
      <c r="K55" s="116"/>
      <c r="L55" s="117"/>
      <c r="M55" s="116"/>
      <c r="N55" s="4"/>
    </row>
    <row r="56" spans="2:23" s="14" customFormat="1" ht="20.25" customHeight="1" x14ac:dyDescent="0.25">
      <c r="B56" s="118"/>
      <c r="C56" s="118" t="s">
        <v>33</v>
      </c>
      <c r="D56" s="119"/>
      <c r="E56" s="11">
        <f>+E12+E28+E44</f>
        <v>3230.13</v>
      </c>
      <c r="F56" s="11">
        <f t="shared" ref="F56:K56" si="13">+F12+F28+F44</f>
        <v>11046.11</v>
      </c>
      <c r="G56" s="11">
        <f t="shared" si="13"/>
        <v>39462.290000000008</v>
      </c>
      <c r="H56" s="11">
        <f t="shared" si="13"/>
        <v>94307.609999999986</v>
      </c>
      <c r="I56" s="11">
        <f t="shared" ref="I56" si="14">+I12+I28+I44</f>
        <v>142689.72999999998</v>
      </c>
      <c r="J56" s="11">
        <f t="shared" si="13"/>
        <v>10741.810000000001</v>
      </c>
      <c r="K56" s="11">
        <f t="shared" si="13"/>
        <v>25698.66</v>
      </c>
      <c r="L56" s="55"/>
      <c r="M56" s="89">
        <f>SUM(E56:K56)</f>
        <v>327176.33999999997</v>
      </c>
      <c r="N56" s="17">
        <v>327176.33999999997</v>
      </c>
      <c r="O56" s="37">
        <f t="shared" ref="O56:O59" si="15">+M56-N56</f>
        <v>0</v>
      </c>
      <c r="Q56" s="29"/>
      <c r="R56" s="29"/>
      <c r="S56" s="29"/>
      <c r="T56" s="29"/>
      <c r="U56" s="29"/>
      <c r="V56" s="29"/>
      <c r="W56" s="29"/>
    </row>
    <row r="57" spans="2:23" s="2" customFormat="1" ht="20.25" customHeight="1" x14ac:dyDescent="0.25">
      <c r="B57" s="124">
        <v>0.1012</v>
      </c>
      <c r="C57" s="12" t="s">
        <v>88</v>
      </c>
      <c r="D57" s="120"/>
      <c r="E57" s="8">
        <f>ROUND($B$57*E56,2)</f>
        <v>326.89</v>
      </c>
      <c r="F57" s="8">
        <f t="shared" ref="F57:M57" si="16">ROUND($B$57*F56,2)</f>
        <v>1117.8699999999999</v>
      </c>
      <c r="G57" s="8">
        <f t="shared" si="16"/>
        <v>3993.58</v>
      </c>
      <c r="H57" s="8">
        <f t="shared" si="16"/>
        <v>9543.93</v>
      </c>
      <c r="I57" s="8">
        <f t="shared" ref="I57" si="17">ROUND($B$57*I56,2)</f>
        <v>14440.2</v>
      </c>
      <c r="J57" s="8">
        <f t="shared" si="16"/>
        <v>1087.07</v>
      </c>
      <c r="K57" s="8">
        <f t="shared" si="16"/>
        <v>2600.6999999999998</v>
      </c>
      <c r="L57" s="19"/>
      <c r="M57" s="8">
        <f t="shared" si="16"/>
        <v>33110.25</v>
      </c>
      <c r="N57" s="6">
        <v>33110.25</v>
      </c>
      <c r="O57" s="37">
        <f t="shared" si="15"/>
        <v>0</v>
      </c>
      <c r="Q57" s="3"/>
      <c r="R57" s="3"/>
      <c r="S57" s="3"/>
      <c r="T57" s="3"/>
      <c r="U57" s="3"/>
      <c r="V57" s="3"/>
      <c r="W57" s="3"/>
    </row>
    <row r="58" spans="2:23" s="2" customFormat="1" ht="20.25" customHeight="1" x14ac:dyDescent="0.25">
      <c r="B58" s="124">
        <v>0.03</v>
      </c>
      <c r="C58" s="12" t="s">
        <v>89</v>
      </c>
      <c r="D58" s="120"/>
      <c r="E58" s="8">
        <f>ROUND($B$58*E56,2)</f>
        <v>96.9</v>
      </c>
      <c r="F58" s="8">
        <f t="shared" ref="F58:K58" si="18">ROUND($B$58*F56,2)</f>
        <v>331.38</v>
      </c>
      <c r="G58" s="8">
        <f t="shared" si="18"/>
        <v>1183.8699999999999</v>
      </c>
      <c r="H58" s="8">
        <f t="shared" si="18"/>
        <v>2829.23</v>
      </c>
      <c r="I58" s="8">
        <f t="shared" ref="I58" si="19">ROUND($B$58*I56,2)</f>
        <v>4280.6899999999996</v>
      </c>
      <c r="J58" s="8">
        <f t="shared" si="18"/>
        <v>322.25</v>
      </c>
      <c r="K58" s="8">
        <f t="shared" si="18"/>
        <v>770.96</v>
      </c>
      <c r="L58" s="19"/>
      <c r="M58" s="8">
        <f t="shared" ref="M58" si="20">ROUND($B$58*M56,2)</f>
        <v>9815.2900000000009</v>
      </c>
      <c r="N58" s="6">
        <v>9815.2900000000009</v>
      </c>
      <c r="O58" s="37">
        <f t="shared" si="15"/>
        <v>0</v>
      </c>
      <c r="Q58" s="3"/>
      <c r="R58" s="3"/>
      <c r="S58" s="3"/>
      <c r="T58" s="3"/>
      <c r="U58" s="3"/>
      <c r="V58" s="3"/>
      <c r="W58" s="3"/>
    </row>
    <row r="59" spans="2:23" s="14" customFormat="1" ht="20.25" customHeight="1" x14ac:dyDescent="0.25">
      <c r="B59" s="130"/>
      <c r="C59" s="121" t="s">
        <v>37</v>
      </c>
      <c r="D59" s="119"/>
      <c r="E59" s="11">
        <f>SUM(E56:E58)</f>
        <v>3653.92</v>
      </c>
      <c r="F59" s="11">
        <f>SUM(F56:F58)</f>
        <v>12495.359999999999</v>
      </c>
      <c r="G59" s="11">
        <f t="shared" ref="G59:M59" si="21">SUM(G56:G58)</f>
        <v>44639.740000000013</v>
      </c>
      <c r="H59" s="11">
        <f t="shared" si="21"/>
        <v>106680.76999999997</v>
      </c>
      <c r="I59" s="11">
        <f t="shared" ref="I59" si="22">SUM(I56:I58)</f>
        <v>161410.62</v>
      </c>
      <c r="J59" s="11">
        <f t="shared" si="21"/>
        <v>12151.130000000001</v>
      </c>
      <c r="K59" s="11">
        <f t="shared" si="21"/>
        <v>29070.32</v>
      </c>
      <c r="L59" s="55"/>
      <c r="M59" s="11">
        <f t="shared" si="21"/>
        <v>370101.87999999995</v>
      </c>
      <c r="N59" s="27">
        <v>370101.87999999995</v>
      </c>
      <c r="O59" s="37">
        <f t="shared" si="15"/>
        <v>0</v>
      </c>
      <c r="Q59" s="29"/>
      <c r="R59" s="29"/>
      <c r="S59" s="29"/>
      <c r="T59" s="29"/>
      <c r="U59" s="29"/>
      <c r="V59" s="29"/>
      <c r="W59" s="29"/>
    </row>
    <row r="60" spans="2:23" s="2" customFormat="1" ht="20.25" customHeight="1" x14ac:dyDescent="0.25">
      <c r="B60" s="124">
        <v>0.18</v>
      </c>
      <c r="C60" s="12" t="s">
        <v>90</v>
      </c>
      <c r="D60" s="120"/>
      <c r="E60" s="8">
        <f>ROUND($B$60*E59,2)</f>
        <v>657.71</v>
      </c>
      <c r="F60" s="8">
        <f t="shared" ref="F60:M60" si="23">ROUND($B$60*F59,2)</f>
        <v>2249.16</v>
      </c>
      <c r="G60" s="8">
        <f t="shared" si="23"/>
        <v>8035.15</v>
      </c>
      <c r="H60" s="8">
        <f t="shared" si="23"/>
        <v>19202.54</v>
      </c>
      <c r="I60" s="8">
        <f t="shared" ref="I60" si="24">ROUND($B$60*I59,2)</f>
        <v>29053.91</v>
      </c>
      <c r="J60" s="8">
        <f t="shared" si="23"/>
        <v>2187.1999999999998</v>
      </c>
      <c r="K60" s="8">
        <f t="shared" si="23"/>
        <v>5232.66</v>
      </c>
      <c r="L60" s="19"/>
      <c r="M60" s="8">
        <f t="shared" si="23"/>
        <v>66618.34</v>
      </c>
      <c r="N60" s="6"/>
      <c r="O60" s="37"/>
      <c r="Q60" s="3"/>
      <c r="R60" s="3"/>
      <c r="S60" s="3"/>
      <c r="T60" s="3"/>
      <c r="U60" s="3"/>
      <c r="V60" s="3"/>
      <c r="W60" s="3"/>
    </row>
    <row r="61" spans="2:23" s="14" customFormat="1" ht="20.25" customHeight="1" x14ac:dyDescent="0.25">
      <c r="B61" s="118"/>
      <c r="C61" s="121" t="s">
        <v>39</v>
      </c>
      <c r="D61" s="119"/>
      <c r="E61" s="11">
        <f t="shared" ref="E61:K61" si="25">+E60+E59</f>
        <v>4311.63</v>
      </c>
      <c r="F61" s="11">
        <f t="shared" si="25"/>
        <v>14744.519999999999</v>
      </c>
      <c r="G61" s="11">
        <f>+G60+G59+0.01</f>
        <v>52674.900000000016</v>
      </c>
      <c r="H61" s="11">
        <f>+H60+H59+0.01</f>
        <v>125883.31999999996</v>
      </c>
      <c r="I61" s="11">
        <f>+I60+I59+0.01</f>
        <v>190464.54</v>
      </c>
      <c r="J61" s="11">
        <f t="shared" si="25"/>
        <v>14338.330000000002</v>
      </c>
      <c r="K61" s="11">
        <f t="shared" si="25"/>
        <v>34302.979999999996</v>
      </c>
      <c r="L61" s="55"/>
      <c r="M61" s="11">
        <f t="shared" ref="M61" si="26">+M60+M59</f>
        <v>436720.22</v>
      </c>
      <c r="N61" s="27"/>
      <c r="O61" s="37"/>
      <c r="Q61" s="29"/>
      <c r="R61" s="29"/>
      <c r="S61" s="29"/>
      <c r="T61" s="29"/>
      <c r="U61" s="29"/>
      <c r="V61" s="29"/>
      <c r="W61" s="29"/>
    </row>
    <row r="62" spans="2:23" ht="4.5" customHeight="1" x14ac:dyDescent="0.25">
      <c r="B62" s="114"/>
      <c r="C62" s="115"/>
      <c r="D62" s="122"/>
      <c r="E62" s="116"/>
      <c r="F62" s="116"/>
      <c r="G62" s="116"/>
      <c r="H62" s="116"/>
      <c r="I62" s="116"/>
      <c r="J62" s="116"/>
      <c r="K62" s="116"/>
      <c r="L62" s="117"/>
      <c r="M62" s="116"/>
      <c r="N62" s="4"/>
    </row>
    <row r="63" spans="2:23" s="14" customFormat="1" ht="20.25" customHeight="1" x14ac:dyDescent="0.25">
      <c r="B63" s="401"/>
      <c r="C63" s="121" t="s">
        <v>40</v>
      </c>
      <c r="D63" s="119"/>
      <c r="E63" s="11">
        <f>+E61</f>
        <v>4311.63</v>
      </c>
      <c r="F63" s="11">
        <f>+F61+E63</f>
        <v>19056.149999999998</v>
      </c>
      <c r="G63" s="11">
        <f t="shared" ref="G63:K63" si="27">+G61+F63</f>
        <v>71731.050000000017</v>
      </c>
      <c r="H63" s="11">
        <f t="shared" si="27"/>
        <v>197614.37</v>
      </c>
      <c r="I63" s="11">
        <f t="shared" si="27"/>
        <v>388078.91000000003</v>
      </c>
      <c r="J63" s="11">
        <f t="shared" si="27"/>
        <v>402417.24000000005</v>
      </c>
      <c r="K63" s="11">
        <f t="shared" si="27"/>
        <v>436720.22000000003</v>
      </c>
      <c r="L63" s="418"/>
      <c r="M63" s="402"/>
      <c r="N63" s="29"/>
      <c r="O63" s="29"/>
      <c r="Q63" s="29"/>
      <c r="R63" s="29"/>
      <c r="S63" s="29"/>
      <c r="T63" s="29"/>
      <c r="U63" s="29"/>
      <c r="V63" s="29"/>
      <c r="W63" s="29"/>
    </row>
    <row r="64" spans="2:23" s="14" customFormat="1" ht="20.25" customHeight="1" x14ac:dyDescent="0.25">
      <c r="B64" s="401"/>
      <c r="C64" s="121" t="s">
        <v>41</v>
      </c>
      <c r="D64" s="119"/>
      <c r="E64" s="20">
        <f t="shared" ref="E64:K64" si="28">+E63/$M$61</f>
        <v>9.8727510258169414E-3</v>
      </c>
      <c r="F64" s="20">
        <f t="shared" si="28"/>
        <v>4.3634686756660816E-2</v>
      </c>
      <c r="G64" s="20">
        <f t="shared" si="28"/>
        <v>0.16424943640118156</v>
      </c>
      <c r="H64" s="20">
        <f t="shared" si="28"/>
        <v>0.45249649764327377</v>
      </c>
      <c r="I64" s="20">
        <f t="shared" ref="I64" si="29">+I63/$M$61</f>
        <v>0.88862134663698433</v>
      </c>
      <c r="J64" s="20">
        <f t="shared" si="28"/>
        <v>0.92145319032858175</v>
      </c>
      <c r="K64" s="20">
        <f t="shared" si="28"/>
        <v>1.0000000000000002</v>
      </c>
      <c r="L64" s="49"/>
      <c r="M64" s="402"/>
      <c r="N64" s="29"/>
      <c r="O64" s="29"/>
      <c r="Q64" s="29"/>
      <c r="R64" s="29"/>
      <c r="S64" s="29"/>
      <c r="T64" s="29"/>
      <c r="U64" s="29"/>
      <c r="V64" s="29"/>
      <c r="W64" s="29"/>
    </row>
    <row r="65" spans="2:13" x14ac:dyDescent="0.25">
      <c r="B65" s="114"/>
      <c r="C65" s="115"/>
      <c r="D65" s="115"/>
      <c r="E65" s="114"/>
      <c r="F65" s="114"/>
      <c r="G65" s="114"/>
      <c r="H65" s="114"/>
      <c r="I65" s="114"/>
      <c r="J65" s="114"/>
      <c r="K65" s="114"/>
      <c r="L65" s="123"/>
      <c r="M65" s="114"/>
    </row>
    <row r="66" spans="2:13" x14ac:dyDescent="0.25">
      <c r="B66" s="114"/>
      <c r="C66" s="115"/>
      <c r="D66" s="115"/>
      <c r="E66" s="114"/>
      <c r="F66" s="114"/>
      <c r="G66" s="114"/>
      <c r="H66" s="114"/>
      <c r="I66" s="114"/>
      <c r="J66" s="114"/>
      <c r="K66" s="114"/>
      <c r="L66" s="123"/>
      <c r="M66" s="114"/>
    </row>
    <row r="67" spans="2:13" x14ac:dyDescent="0.25">
      <c r="B67" s="114"/>
      <c r="C67" s="115"/>
      <c r="D67" s="115"/>
      <c r="E67" s="114"/>
      <c r="F67" s="114"/>
      <c r="G67" s="114"/>
      <c r="H67" s="114"/>
      <c r="I67" s="114"/>
      <c r="J67" s="114"/>
      <c r="K67" s="114"/>
      <c r="L67" s="123"/>
      <c r="M67" s="114"/>
    </row>
  </sheetData>
  <mergeCells count="4">
    <mergeCell ref="B9:B10"/>
    <mergeCell ref="C9:C10"/>
    <mergeCell ref="M9:M10"/>
    <mergeCell ref="B1:M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60" orientation="landscape" r:id="rId1"/>
  <rowBreaks count="1" manualBreakCount="1">
    <brk id="43" min="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57"/>
  <sheetViews>
    <sheetView showZeros="0" view="pageBreakPreview" zoomScale="90" zoomScaleNormal="100" zoomScaleSheetLayoutView="90" workbookViewId="0">
      <pane xSplit="3" ySplit="10" topLeftCell="F45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baseColWidth="10" defaultColWidth="54.140625" defaultRowHeight="15" x14ac:dyDescent="0.25"/>
  <cols>
    <col min="1" max="1" width="2" customWidth="1"/>
    <col min="2" max="2" width="13.28515625" style="1" customWidth="1"/>
    <col min="3" max="3" width="78.28515625" customWidth="1"/>
    <col min="4" max="4" width="1.42578125" style="23" customWidth="1"/>
    <col min="5" max="11" width="13.42578125" style="1" customWidth="1"/>
    <col min="12" max="12" width="1.28515625" style="54" customWidth="1"/>
    <col min="13" max="13" width="13.42578125" style="1" customWidth="1"/>
    <col min="14" max="14" width="13.7109375" style="1" customWidth="1"/>
    <col min="15" max="15" width="13.42578125" customWidth="1"/>
    <col min="16" max="16" width="13.28515625" customWidth="1"/>
    <col min="17" max="23" width="12.85546875" style="1" customWidth="1"/>
    <col min="24" max="24" width="12.85546875" customWidth="1"/>
    <col min="25" max="41" width="6.85546875" customWidth="1"/>
  </cols>
  <sheetData>
    <row r="1" spans="2:23" s="2" customFormat="1" ht="27.75" customHeight="1" x14ac:dyDescent="0.25">
      <c r="B1" s="378" t="str">
        <f>+RP!B1</f>
        <v>CALENDARIO VALORIZADO DE AVANCE DE OBRA</v>
      </c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"/>
      <c r="Q1" s="3"/>
      <c r="R1" s="3"/>
      <c r="S1" s="3"/>
      <c r="T1" s="3"/>
      <c r="U1" s="3"/>
      <c r="V1" s="3"/>
      <c r="W1" s="3"/>
    </row>
    <row r="2" spans="2:23" ht="18" customHeight="1" x14ac:dyDescent="0.25">
      <c r="B2" s="58">
        <f>+RP!B2</f>
        <v>0</v>
      </c>
    </row>
    <row r="3" spans="2:23" s="2" customFormat="1" ht="22.5" customHeight="1" x14ac:dyDescent="0.25">
      <c r="B3" s="64" t="str">
        <f>+RP!B3</f>
        <v>PROYECTO</v>
      </c>
      <c r="C3" s="65" t="str">
        <f>+LP!C3</f>
        <v>: “AMPLIACIÓN DEL SERVICIO DE ENERGÍA ELÉCTRICA EN LA PROVINCIA DEL SANTA Y EN EL DISTRITO DE PAMPAROMAS – DEPARTAMENTO DE ANCASH”</v>
      </c>
      <c r="D3" s="22"/>
      <c r="E3" s="3"/>
      <c r="F3" s="3"/>
      <c r="G3" s="3"/>
      <c r="H3" s="3"/>
      <c r="I3" s="3"/>
      <c r="J3" s="3"/>
      <c r="K3" s="3"/>
      <c r="L3" s="71"/>
      <c r="M3" s="3"/>
      <c r="N3" s="3"/>
      <c r="Q3" s="3"/>
      <c r="R3" s="3"/>
      <c r="S3" s="3"/>
      <c r="T3" s="3"/>
      <c r="U3" s="3"/>
      <c r="V3" s="3"/>
      <c r="W3" s="3"/>
    </row>
    <row r="4" spans="2:23" s="2" customFormat="1" ht="22.5" customHeight="1" x14ac:dyDescent="0.25">
      <c r="B4" s="64" t="str">
        <f>+RP!B4</f>
        <v>SECCION</v>
      </c>
      <c r="C4" s="65" t="s">
        <v>58</v>
      </c>
      <c r="D4" s="22"/>
      <c r="E4" s="3"/>
      <c r="F4" s="3"/>
      <c r="G4" s="3"/>
      <c r="H4" s="3"/>
      <c r="I4" s="3"/>
      <c r="J4" s="3"/>
      <c r="K4" s="3"/>
      <c r="L4" s="71"/>
      <c r="M4" s="3"/>
      <c r="N4" s="3"/>
      <c r="Q4" s="3"/>
      <c r="R4" s="3"/>
      <c r="S4" s="3"/>
      <c r="T4" s="3"/>
      <c r="U4" s="3"/>
      <c r="V4" s="3"/>
      <c r="W4" s="3"/>
    </row>
    <row r="5" spans="2:23" s="2" customFormat="1" ht="22.5" customHeight="1" x14ac:dyDescent="0.25">
      <c r="B5" s="64" t="str">
        <f>+RP!B5</f>
        <v>EJECUTOR</v>
      </c>
      <c r="C5" s="65" t="str">
        <f>+LP!C5</f>
        <v>: CONSORCIO PACIFICO</v>
      </c>
      <c r="D5" s="22"/>
      <c r="E5" s="3"/>
      <c r="F5" s="3"/>
      <c r="G5" s="3"/>
      <c r="H5" s="3"/>
      <c r="I5" s="3"/>
      <c r="J5" s="3"/>
      <c r="K5" s="3"/>
      <c r="L5" s="71"/>
      <c r="M5" s="3"/>
      <c r="N5" s="3"/>
      <c r="Q5" s="3"/>
      <c r="R5" s="3"/>
      <c r="S5" s="3"/>
      <c r="T5" s="3"/>
      <c r="U5" s="3"/>
      <c r="V5" s="3"/>
      <c r="W5" s="3"/>
    </row>
    <row r="6" spans="2:23" s="2" customFormat="1" ht="22.5" customHeight="1" x14ac:dyDescent="0.25">
      <c r="B6" s="64" t="str">
        <f>+RP!B6</f>
        <v>PLAZO</v>
      </c>
      <c r="C6" s="65" t="str">
        <f>+LP!C6</f>
        <v>: 210 DIAS CALENDARIOS</v>
      </c>
      <c r="D6" s="22"/>
      <c r="E6" s="3"/>
      <c r="F6" s="3"/>
      <c r="G6" s="3"/>
      <c r="H6" s="3"/>
      <c r="I6" s="3"/>
      <c r="J6" s="3"/>
      <c r="K6" s="3"/>
      <c r="L6" s="71"/>
      <c r="M6" s="3"/>
      <c r="N6" s="3"/>
      <c r="Q6" s="3"/>
      <c r="R6" s="3"/>
      <c r="S6" s="3"/>
      <c r="T6" s="3"/>
      <c r="U6" s="3"/>
      <c r="V6" s="3"/>
      <c r="W6" s="3"/>
    </row>
    <row r="7" spans="2:23" s="2" customFormat="1" ht="22.5" customHeight="1" x14ac:dyDescent="0.25">
      <c r="B7" s="64" t="str">
        <f>+RP!B7</f>
        <v>MONTO</v>
      </c>
      <c r="C7" s="65" t="s">
        <v>167</v>
      </c>
      <c r="D7" s="22"/>
      <c r="E7" s="3"/>
      <c r="F7" s="3"/>
      <c r="G7" s="3"/>
      <c r="H7" s="3"/>
      <c r="I7" s="3"/>
      <c r="J7" s="3"/>
      <c r="K7" s="3"/>
      <c r="L7" s="71"/>
      <c r="M7" s="3"/>
      <c r="N7" s="3"/>
      <c r="Q7" s="3"/>
      <c r="R7" s="3"/>
      <c r="S7" s="3"/>
      <c r="T7" s="3"/>
      <c r="U7" s="3"/>
      <c r="V7" s="3"/>
      <c r="W7" s="3"/>
    </row>
    <row r="8" spans="2:23" s="2" customFormat="1" ht="12" customHeight="1" x14ac:dyDescent="0.25">
      <c r="B8" s="3"/>
      <c r="D8" s="22"/>
      <c r="E8" s="3"/>
      <c r="F8" s="7"/>
      <c r="G8" s="7"/>
      <c r="H8" s="7"/>
      <c r="I8" s="7"/>
      <c r="L8" s="50"/>
      <c r="M8" s="3"/>
      <c r="N8" s="3"/>
      <c r="Q8" s="3"/>
      <c r="R8" s="3"/>
      <c r="S8" s="3"/>
      <c r="T8" s="3"/>
      <c r="U8" s="3"/>
      <c r="V8" s="3"/>
      <c r="W8" s="3"/>
    </row>
    <row r="9" spans="2:23" s="2" customFormat="1" ht="24" customHeight="1" x14ac:dyDescent="0.25">
      <c r="B9" s="388" t="s">
        <v>48</v>
      </c>
      <c r="C9" s="388" t="s">
        <v>49</v>
      </c>
      <c r="D9" s="26"/>
      <c r="E9" s="145" t="s">
        <v>42</v>
      </c>
      <c r="F9" s="145" t="s">
        <v>43</v>
      </c>
      <c r="G9" s="145" t="s">
        <v>44</v>
      </c>
      <c r="H9" s="145" t="s">
        <v>45</v>
      </c>
      <c r="I9" s="145" t="s">
        <v>46</v>
      </c>
      <c r="J9" s="145" t="s">
        <v>47</v>
      </c>
      <c r="K9" s="145" t="s">
        <v>173</v>
      </c>
      <c r="L9" s="51"/>
      <c r="M9" s="386" t="s">
        <v>34</v>
      </c>
      <c r="N9" s="6"/>
      <c r="Q9" s="3"/>
      <c r="R9" s="3"/>
      <c r="S9" s="3"/>
      <c r="T9" s="3"/>
      <c r="U9" s="3"/>
      <c r="V9" s="3"/>
      <c r="W9" s="3"/>
    </row>
    <row r="10" spans="2:23" s="2" customFormat="1" ht="24" customHeight="1" x14ac:dyDescent="0.25">
      <c r="B10" s="391"/>
      <c r="C10" s="391"/>
      <c r="D10" s="26"/>
      <c r="E10" s="145" t="s">
        <v>119</v>
      </c>
      <c r="F10" s="145" t="s">
        <v>120</v>
      </c>
      <c r="G10" s="145" t="s">
        <v>121</v>
      </c>
      <c r="H10" s="145" t="s">
        <v>122</v>
      </c>
      <c r="I10" s="145" t="s">
        <v>123</v>
      </c>
      <c r="J10" s="145" t="s">
        <v>124</v>
      </c>
      <c r="K10" s="145" t="s">
        <v>169</v>
      </c>
      <c r="L10" s="51"/>
      <c r="M10" s="392"/>
      <c r="N10" s="3"/>
      <c r="Q10" s="3">
        <v>1</v>
      </c>
      <c r="R10" s="3">
        <v>2</v>
      </c>
      <c r="S10" s="3">
        <v>3</v>
      </c>
      <c r="T10" s="3">
        <v>4</v>
      </c>
      <c r="U10" s="3">
        <v>5</v>
      </c>
      <c r="V10" s="3">
        <v>6</v>
      </c>
      <c r="W10" s="3">
        <v>7</v>
      </c>
    </row>
    <row r="11" spans="2:23" s="2" customFormat="1" ht="21" customHeight="1" x14ac:dyDescent="0.25">
      <c r="B11" s="32"/>
      <c r="C11" s="103" t="s">
        <v>24</v>
      </c>
      <c r="D11" s="33"/>
      <c r="E11" s="34"/>
      <c r="F11" s="34"/>
      <c r="G11" s="34"/>
      <c r="H11" s="34"/>
      <c r="I11" s="34"/>
      <c r="J11" s="34"/>
      <c r="K11" s="34"/>
      <c r="L11" s="51"/>
      <c r="M11" s="48">
        <f t="shared" ref="M11:M33" si="0">SUM(E11:K11)</f>
        <v>0</v>
      </c>
      <c r="N11" s="6"/>
      <c r="Q11" s="3"/>
      <c r="R11" s="3"/>
      <c r="S11" s="3"/>
      <c r="T11" s="3"/>
      <c r="U11" s="3"/>
      <c r="V11" s="3"/>
      <c r="W11" s="3"/>
    </row>
    <row r="12" spans="2:23" s="14" customFormat="1" ht="21" customHeight="1" x14ac:dyDescent="0.25">
      <c r="B12" s="129"/>
      <c r="C12" s="103" t="s">
        <v>20</v>
      </c>
      <c r="D12" s="104"/>
      <c r="E12" s="105">
        <f t="shared" ref="E12:K12" si="1">SUM(E13:E22)</f>
        <v>1945.27</v>
      </c>
      <c r="F12" s="105">
        <f t="shared" si="1"/>
        <v>13666.07</v>
      </c>
      <c r="G12" s="105">
        <f t="shared" si="1"/>
        <v>51873.229999999996</v>
      </c>
      <c r="H12" s="105">
        <f t="shared" si="1"/>
        <v>174912.29</v>
      </c>
      <c r="I12" s="105">
        <f t="shared" ref="I12" si="2">SUM(I13:I22)</f>
        <v>49262.500000000007</v>
      </c>
      <c r="J12" s="105">
        <f t="shared" si="1"/>
        <v>128751.25</v>
      </c>
      <c r="K12" s="105">
        <f t="shared" si="1"/>
        <v>0</v>
      </c>
      <c r="L12" s="106"/>
      <c r="M12" s="105">
        <f t="shared" si="0"/>
        <v>420410.61</v>
      </c>
      <c r="N12" s="27">
        <v>420410.61000000004</v>
      </c>
      <c r="O12" s="35">
        <f t="shared" ref="O12:O47" si="3">+M12-N12</f>
        <v>0</v>
      </c>
      <c r="Q12" s="29"/>
      <c r="R12" s="29"/>
      <c r="S12" s="29"/>
      <c r="T12" s="29"/>
      <c r="U12" s="29"/>
      <c r="V12" s="29"/>
      <c r="W12" s="29"/>
    </row>
    <row r="13" spans="2:23" s="2" customFormat="1" ht="21" customHeight="1" x14ac:dyDescent="0.25">
      <c r="B13" s="44">
        <v>1</v>
      </c>
      <c r="C13" s="95" t="s">
        <v>92</v>
      </c>
      <c r="D13" s="92"/>
      <c r="E13" s="44">
        <v>1945.27</v>
      </c>
      <c r="F13" s="44">
        <v>8662.32</v>
      </c>
      <c r="G13" s="44">
        <v>32591.75</v>
      </c>
      <c r="H13" s="44">
        <v>49581.27</v>
      </c>
      <c r="I13" s="44"/>
      <c r="J13" s="44"/>
      <c r="K13" s="44">
        <v>0</v>
      </c>
      <c r="L13" s="93"/>
      <c r="M13" s="44">
        <f t="shared" si="0"/>
        <v>92780.609999999986</v>
      </c>
      <c r="N13" s="37">
        <v>92780.61</v>
      </c>
      <c r="O13" s="35">
        <f t="shared" si="3"/>
        <v>0</v>
      </c>
      <c r="Q13" s="3" t="s">
        <v>279</v>
      </c>
      <c r="R13" s="3" t="s">
        <v>280</v>
      </c>
      <c r="S13" s="3" t="s">
        <v>280</v>
      </c>
      <c r="T13" s="3" t="s">
        <v>281</v>
      </c>
      <c r="U13" s="3"/>
      <c r="V13" s="3"/>
      <c r="W13" s="3"/>
    </row>
    <row r="14" spans="2:23" s="2" customFormat="1" ht="21" customHeight="1" x14ac:dyDescent="0.25">
      <c r="B14" s="41">
        <v>2</v>
      </c>
      <c r="C14" s="91" t="s">
        <v>164</v>
      </c>
      <c r="D14" s="92"/>
      <c r="E14" s="41">
        <v>0</v>
      </c>
      <c r="F14" s="41">
        <v>0</v>
      </c>
      <c r="G14" s="41">
        <v>926.78</v>
      </c>
      <c r="H14" s="41">
        <v>25442.28</v>
      </c>
      <c r="I14" s="41"/>
      <c r="J14" s="41"/>
      <c r="K14" s="41">
        <v>0</v>
      </c>
      <c r="L14" s="93"/>
      <c r="M14" s="41">
        <f t="shared" si="0"/>
        <v>26369.059999999998</v>
      </c>
      <c r="N14" s="37">
        <v>26369.06</v>
      </c>
      <c r="O14" s="35">
        <f t="shared" si="3"/>
        <v>0</v>
      </c>
      <c r="Q14" s="3"/>
      <c r="R14" s="3"/>
      <c r="S14" s="3" t="s">
        <v>282</v>
      </c>
      <c r="T14" s="3" t="s">
        <v>283</v>
      </c>
      <c r="U14" s="3"/>
      <c r="V14" s="3"/>
      <c r="W14" s="3"/>
    </row>
    <row r="15" spans="2:23" s="2" customFormat="1" ht="21" customHeight="1" x14ac:dyDescent="0.25">
      <c r="B15" s="41">
        <v>3</v>
      </c>
      <c r="C15" s="91" t="s">
        <v>25</v>
      </c>
      <c r="D15" s="92"/>
      <c r="E15" s="41"/>
      <c r="F15" s="41"/>
      <c r="G15" s="41"/>
      <c r="H15" s="41">
        <v>2899.4</v>
      </c>
      <c r="I15" s="41">
        <v>13598.2</v>
      </c>
      <c r="J15" s="41">
        <v>82405.73</v>
      </c>
      <c r="K15" s="41">
        <v>0</v>
      </c>
      <c r="L15" s="93"/>
      <c r="M15" s="41">
        <f t="shared" si="0"/>
        <v>98903.33</v>
      </c>
      <c r="N15" s="37">
        <v>98903.329999999987</v>
      </c>
      <c r="O15" s="35">
        <f t="shared" si="3"/>
        <v>0</v>
      </c>
      <c r="Q15" s="3"/>
      <c r="R15" s="3"/>
      <c r="S15" s="3" t="s">
        <v>284</v>
      </c>
      <c r="T15" s="3" t="s">
        <v>285</v>
      </c>
      <c r="U15" s="3" t="s">
        <v>286</v>
      </c>
      <c r="V15" s="3"/>
      <c r="W15" s="3"/>
    </row>
    <row r="16" spans="2:23" s="2" customFormat="1" ht="21" customHeight="1" x14ac:dyDescent="0.25">
      <c r="B16" s="41">
        <v>4</v>
      </c>
      <c r="C16" s="91" t="s">
        <v>26</v>
      </c>
      <c r="D16" s="92"/>
      <c r="E16" s="41"/>
      <c r="F16" s="41">
        <v>880.03</v>
      </c>
      <c r="G16" s="41">
        <v>3890.16</v>
      </c>
      <c r="H16" s="41">
        <v>6954.85</v>
      </c>
      <c r="I16" s="41"/>
      <c r="J16" s="41"/>
      <c r="K16" s="41">
        <v>0</v>
      </c>
      <c r="L16" s="93"/>
      <c r="M16" s="41">
        <f t="shared" si="0"/>
        <v>11725.04</v>
      </c>
      <c r="N16" s="37">
        <v>11725.039999999999</v>
      </c>
      <c r="O16" s="35">
        <f t="shared" si="3"/>
        <v>0</v>
      </c>
      <c r="Q16" s="3"/>
      <c r="R16" s="3" t="s">
        <v>287</v>
      </c>
      <c r="S16" s="3" t="s">
        <v>288</v>
      </c>
      <c r="T16" s="3" t="s">
        <v>289</v>
      </c>
      <c r="U16" s="3"/>
      <c r="V16" s="3"/>
      <c r="W16" s="3"/>
    </row>
    <row r="17" spans="2:23" s="2" customFormat="1" ht="21" customHeight="1" x14ac:dyDescent="0.25">
      <c r="B17" s="41">
        <v>5</v>
      </c>
      <c r="C17" s="91" t="s">
        <v>93</v>
      </c>
      <c r="D17" s="92"/>
      <c r="E17" s="41"/>
      <c r="F17" s="41">
        <v>518.82000000000005</v>
      </c>
      <c r="G17" s="41">
        <v>2885.25</v>
      </c>
      <c r="H17" s="41">
        <v>45219.41</v>
      </c>
      <c r="I17" s="41"/>
      <c r="J17" s="41"/>
      <c r="K17" s="41">
        <v>0</v>
      </c>
      <c r="L17" s="93"/>
      <c r="M17" s="41">
        <f t="shared" si="0"/>
        <v>48623.48</v>
      </c>
      <c r="N17" s="37">
        <v>48623.479999999996</v>
      </c>
      <c r="O17" s="35">
        <f t="shared" si="3"/>
        <v>0</v>
      </c>
      <c r="Q17" s="3"/>
      <c r="R17" s="3" t="s">
        <v>290</v>
      </c>
      <c r="S17" s="3" t="s">
        <v>291</v>
      </c>
      <c r="T17" s="3" t="s">
        <v>292</v>
      </c>
      <c r="U17" s="3"/>
      <c r="V17" s="3"/>
      <c r="W17" s="3"/>
    </row>
    <row r="18" spans="2:23" s="2" customFormat="1" ht="21" customHeight="1" x14ac:dyDescent="0.25">
      <c r="B18" s="41">
        <v>6</v>
      </c>
      <c r="C18" s="91" t="s">
        <v>11</v>
      </c>
      <c r="D18" s="92"/>
      <c r="E18" s="41"/>
      <c r="F18" s="41">
        <v>1489.51</v>
      </c>
      <c r="G18" s="41">
        <v>2849.14</v>
      </c>
      <c r="H18" s="41">
        <v>21436.87</v>
      </c>
      <c r="I18" s="41"/>
      <c r="J18" s="41"/>
      <c r="K18" s="41">
        <v>0</v>
      </c>
      <c r="L18" s="93"/>
      <c r="M18" s="41">
        <f t="shared" si="0"/>
        <v>25775.519999999997</v>
      </c>
      <c r="N18" s="37">
        <v>25775.52</v>
      </c>
      <c r="O18" s="35">
        <f t="shared" si="3"/>
        <v>0</v>
      </c>
      <c r="Q18" s="3"/>
      <c r="R18" s="3" t="s">
        <v>293</v>
      </c>
      <c r="S18" s="3" t="s">
        <v>294</v>
      </c>
      <c r="T18" s="3" t="s">
        <v>295</v>
      </c>
      <c r="U18" s="3"/>
      <c r="V18" s="3"/>
      <c r="W18" s="3"/>
    </row>
    <row r="19" spans="2:23" s="2" customFormat="1" ht="21" customHeight="1" x14ac:dyDescent="0.25">
      <c r="B19" s="41">
        <v>7</v>
      </c>
      <c r="C19" s="91" t="s">
        <v>94</v>
      </c>
      <c r="D19" s="92"/>
      <c r="E19" s="41"/>
      <c r="F19" s="41"/>
      <c r="G19" s="41">
        <v>1960.95</v>
      </c>
      <c r="H19" s="41">
        <v>5782.84</v>
      </c>
      <c r="I19" s="41">
        <v>29881.9</v>
      </c>
      <c r="J19" s="41"/>
      <c r="K19" s="41">
        <v>0</v>
      </c>
      <c r="L19" s="93"/>
      <c r="M19" s="41">
        <f t="shared" si="0"/>
        <v>37625.69</v>
      </c>
      <c r="N19" s="37">
        <v>37625.69</v>
      </c>
      <c r="O19" s="35">
        <f t="shared" si="3"/>
        <v>0</v>
      </c>
      <c r="Q19" s="3"/>
      <c r="R19" s="3"/>
      <c r="S19" s="3" t="s">
        <v>296</v>
      </c>
      <c r="T19" s="3" t="s">
        <v>297</v>
      </c>
      <c r="U19" s="3" t="s">
        <v>298</v>
      </c>
      <c r="V19" s="3"/>
      <c r="W19" s="3"/>
    </row>
    <row r="20" spans="2:23" s="2" customFormat="1" ht="21" customHeight="1" x14ac:dyDescent="0.25">
      <c r="B20" s="41">
        <v>8</v>
      </c>
      <c r="C20" s="91" t="s">
        <v>95</v>
      </c>
      <c r="D20" s="92"/>
      <c r="E20" s="41"/>
      <c r="F20" s="41">
        <v>1272.8399999999999</v>
      </c>
      <c r="G20" s="41">
        <v>2638.56</v>
      </c>
      <c r="H20" s="41">
        <v>8279.98</v>
      </c>
      <c r="I20" s="41"/>
      <c r="J20" s="41"/>
      <c r="K20" s="41">
        <v>0</v>
      </c>
      <c r="L20" s="93"/>
      <c r="M20" s="41">
        <f t="shared" si="0"/>
        <v>12191.38</v>
      </c>
      <c r="N20" s="37">
        <v>12191.380000000001</v>
      </c>
      <c r="O20" s="35">
        <f t="shared" si="3"/>
        <v>0</v>
      </c>
      <c r="Q20" s="3"/>
      <c r="R20" s="3" t="s">
        <v>299</v>
      </c>
      <c r="S20" s="3" t="s">
        <v>300</v>
      </c>
      <c r="T20" s="3" t="s">
        <v>301</v>
      </c>
      <c r="U20" s="3"/>
      <c r="V20" s="3"/>
      <c r="W20" s="3"/>
    </row>
    <row r="21" spans="2:23" s="2" customFormat="1" ht="21" customHeight="1" x14ac:dyDescent="0.25">
      <c r="B21" s="41">
        <v>9</v>
      </c>
      <c r="C21" s="91" t="s">
        <v>27</v>
      </c>
      <c r="D21" s="92"/>
      <c r="E21" s="41"/>
      <c r="F21" s="41">
        <v>842.55</v>
      </c>
      <c r="G21" s="41">
        <v>4130.6400000000003</v>
      </c>
      <c r="H21" s="41">
        <v>8062.42</v>
      </c>
      <c r="I21" s="41"/>
      <c r="J21" s="41"/>
      <c r="K21" s="41">
        <v>0</v>
      </c>
      <c r="L21" s="93"/>
      <c r="M21" s="41">
        <f t="shared" si="0"/>
        <v>13035.61</v>
      </c>
      <c r="N21" s="37">
        <v>13035.61</v>
      </c>
      <c r="O21" s="35">
        <f t="shared" si="3"/>
        <v>0</v>
      </c>
      <c r="Q21" s="3"/>
      <c r="R21" s="3" t="s">
        <v>302</v>
      </c>
      <c r="S21" s="3" t="s">
        <v>303</v>
      </c>
      <c r="T21" s="3" t="s">
        <v>304</v>
      </c>
      <c r="U21" s="3"/>
      <c r="V21" s="3"/>
      <c r="W21" s="3"/>
    </row>
    <row r="22" spans="2:23" s="2" customFormat="1" ht="21" customHeight="1" x14ac:dyDescent="0.25">
      <c r="B22" s="41">
        <v>10</v>
      </c>
      <c r="C22" s="91" t="s">
        <v>28</v>
      </c>
      <c r="D22" s="92"/>
      <c r="E22" s="41"/>
      <c r="F22" s="41"/>
      <c r="G22" s="41"/>
      <c r="H22" s="41">
        <v>1252.97</v>
      </c>
      <c r="I22" s="41">
        <v>5782.4</v>
      </c>
      <c r="J22" s="41">
        <v>46345.52</v>
      </c>
      <c r="K22" s="41">
        <v>0</v>
      </c>
      <c r="L22" s="93"/>
      <c r="M22" s="41">
        <f t="shared" si="0"/>
        <v>53380.89</v>
      </c>
      <c r="N22" s="37">
        <v>53380.89</v>
      </c>
      <c r="O22" s="35">
        <f t="shared" si="3"/>
        <v>0</v>
      </c>
      <c r="Q22" s="3"/>
      <c r="R22" s="3"/>
      <c r="S22" s="3"/>
      <c r="T22" s="3" t="s">
        <v>305</v>
      </c>
      <c r="U22" s="3" t="s">
        <v>325</v>
      </c>
      <c r="V22" s="3" t="s">
        <v>328</v>
      </c>
      <c r="W22" s="3"/>
    </row>
    <row r="23" spans="2:23" s="2" customFormat="1" ht="21" customHeight="1" x14ac:dyDescent="0.25">
      <c r="B23" s="129"/>
      <c r="C23" s="103" t="s">
        <v>13</v>
      </c>
      <c r="D23" s="104"/>
      <c r="E23" s="105">
        <f t="shared" ref="E23:K23" si="4">SUM(E24:E33)</f>
        <v>1445.96</v>
      </c>
      <c r="F23" s="105">
        <f t="shared" si="4"/>
        <v>4577.82</v>
      </c>
      <c r="G23" s="105">
        <f t="shared" si="4"/>
        <v>13862.159999999998</v>
      </c>
      <c r="H23" s="105">
        <f t="shared" si="4"/>
        <v>24395.54</v>
      </c>
      <c r="I23" s="105">
        <f t="shared" ref="I23" si="5">SUM(I24:I33)</f>
        <v>1652.31</v>
      </c>
      <c r="J23" s="105">
        <f t="shared" si="4"/>
        <v>789.34</v>
      </c>
      <c r="K23" s="105">
        <f t="shared" si="4"/>
        <v>0</v>
      </c>
      <c r="L23" s="106"/>
      <c r="M23" s="105">
        <f t="shared" si="0"/>
        <v>46723.12999999999</v>
      </c>
      <c r="N23" s="6">
        <v>46723.13</v>
      </c>
      <c r="O23" s="35">
        <f t="shared" si="3"/>
        <v>0</v>
      </c>
      <c r="Q23" s="3"/>
      <c r="R23" s="3"/>
      <c r="S23" s="3"/>
      <c r="T23" s="3"/>
      <c r="U23" s="3"/>
      <c r="V23" s="3"/>
      <c r="W23" s="3"/>
    </row>
    <row r="24" spans="2:23" s="38" customFormat="1" ht="21" customHeight="1" x14ac:dyDescent="0.25">
      <c r="B24" s="44">
        <v>1</v>
      </c>
      <c r="C24" s="95" t="s">
        <v>92</v>
      </c>
      <c r="D24" s="92"/>
      <c r="E24" s="41">
        <v>1445.96</v>
      </c>
      <c r="F24" s="41">
        <v>4577.82</v>
      </c>
      <c r="G24" s="41">
        <v>10686.66</v>
      </c>
      <c r="H24" s="41">
        <v>15587.89</v>
      </c>
      <c r="I24" s="41"/>
      <c r="J24" s="41"/>
      <c r="K24" s="41">
        <v>0</v>
      </c>
      <c r="L24" s="93"/>
      <c r="M24" s="41">
        <f t="shared" si="0"/>
        <v>32298.329999999998</v>
      </c>
      <c r="N24" s="37">
        <v>32298.33</v>
      </c>
      <c r="O24" s="35">
        <f t="shared" si="3"/>
        <v>0</v>
      </c>
      <c r="Q24" s="400" t="s">
        <v>306</v>
      </c>
      <c r="R24" s="400" t="s">
        <v>307</v>
      </c>
      <c r="S24" s="400" t="s">
        <v>307</v>
      </c>
      <c r="T24" s="400" t="s">
        <v>308</v>
      </c>
      <c r="U24" s="400"/>
      <c r="V24" s="400"/>
      <c r="W24" s="400"/>
    </row>
    <row r="25" spans="2:23" s="38" customFormat="1" ht="21" customHeight="1" x14ac:dyDescent="0.25">
      <c r="B25" s="41">
        <v>2</v>
      </c>
      <c r="C25" s="91" t="s">
        <v>164</v>
      </c>
      <c r="D25" s="92"/>
      <c r="E25" s="41">
        <v>0</v>
      </c>
      <c r="F25" s="41">
        <v>0</v>
      </c>
      <c r="G25" s="41">
        <v>345.01</v>
      </c>
      <c r="H25" s="41">
        <v>1891.07</v>
      </c>
      <c r="I25" s="41"/>
      <c r="J25" s="41">
        <v>0</v>
      </c>
      <c r="K25" s="41">
        <v>0</v>
      </c>
      <c r="L25" s="93"/>
      <c r="M25" s="41">
        <f t="shared" si="0"/>
        <v>2236.08</v>
      </c>
      <c r="N25" s="37">
        <v>2236.08</v>
      </c>
      <c r="O25" s="35">
        <f t="shared" si="3"/>
        <v>0</v>
      </c>
      <c r="Q25" s="400"/>
      <c r="R25" s="400"/>
      <c r="S25" s="400" t="s">
        <v>309</v>
      </c>
      <c r="T25" s="400" t="s">
        <v>310</v>
      </c>
      <c r="U25" s="400"/>
      <c r="V25" s="400"/>
      <c r="W25" s="400"/>
    </row>
    <row r="26" spans="2:23" s="38" customFormat="1" ht="21" customHeight="1" x14ac:dyDescent="0.25">
      <c r="B26" s="41">
        <v>3</v>
      </c>
      <c r="C26" s="91" t="s">
        <v>25</v>
      </c>
      <c r="D26" s="92"/>
      <c r="E26" s="41">
        <v>0</v>
      </c>
      <c r="F26" s="41">
        <v>0</v>
      </c>
      <c r="G26" s="41"/>
      <c r="H26" s="41">
        <v>598.91</v>
      </c>
      <c r="I26" s="41">
        <v>792.79</v>
      </c>
      <c r="J26" s="41"/>
      <c r="K26" s="41">
        <v>0</v>
      </c>
      <c r="L26" s="93"/>
      <c r="M26" s="41">
        <f t="shared" si="0"/>
        <v>1391.6999999999998</v>
      </c>
      <c r="N26" s="37">
        <v>1391.6999999999998</v>
      </c>
      <c r="O26" s="35">
        <f t="shared" si="3"/>
        <v>0</v>
      </c>
      <c r="Q26" s="400"/>
      <c r="R26" s="400"/>
      <c r="S26" s="400"/>
      <c r="T26" s="400" t="s">
        <v>311</v>
      </c>
      <c r="U26" s="400" t="s">
        <v>312</v>
      </c>
      <c r="V26" s="400"/>
      <c r="W26" s="400"/>
    </row>
    <row r="27" spans="2:23" s="38" customFormat="1" ht="21" customHeight="1" x14ac:dyDescent="0.25">
      <c r="B27" s="41">
        <v>4</v>
      </c>
      <c r="C27" s="91" t="s">
        <v>26</v>
      </c>
      <c r="D27" s="92"/>
      <c r="E27" s="41">
        <v>0</v>
      </c>
      <c r="F27" s="41">
        <v>0</v>
      </c>
      <c r="G27" s="41">
        <v>30.88</v>
      </c>
      <c r="H27" s="41">
        <v>62.45</v>
      </c>
      <c r="I27" s="41"/>
      <c r="J27" s="41">
        <v>0</v>
      </c>
      <c r="K27" s="41">
        <v>0</v>
      </c>
      <c r="L27" s="93"/>
      <c r="M27" s="41">
        <f t="shared" si="0"/>
        <v>93.33</v>
      </c>
      <c r="N27" s="37">
        <v>93.330000000000013</v>
      </c>
      <c r="O27" s="35">
        <f t="shared" si="3"/>
        <v>0</v>
      </c>
      <c r="Q27" s="400"/>
      <c r="R27" s="400"/>
      <c r="S27" s="400" t="s">
        <v>313</v>
      </c>
      <c r="T27" s="400" t="s">
        <v>314</v>
      </c>
      <c r="U27" s="400"/>
      <c r="V27" s="400"/>
      <c r="W27" s="400"/>
    </row>
    <row r="28" spans="2:23" s="38" customFormat="1" ht="21" customHeight="1" x14ac:dyDescent="0.25">
      <c r="B28" s="41">
        <v>5</v>
      </c>
      <c r="C28" s="91" t="s">
        <v>93</v>
      </c>
      <c r="D28" s="92"/>
      <c r="E28" s="41">
        <v>0</v>
      </c>
      <c r="F28" s="41">
        <v>0</v>
      </c>
      <c r="G28" s="41">
        <v>735.8</v>
      </c>
      <c r="H28" s="41">
        <v>944.24</v>
      </c>
      <c r="I28" s="41"/>
      <c r="J28" s="41">
        <v>0</v>
      </c>
      <c r="K28" s="41">
        <v>0</v>
      </c>
      <c r="L28" s="93"/>
      <c r="M28" s="41">
        <f t="shared" si="0"/>
        <v>1680.04</v>
      </c>
      <c r="N28" s="37">
        <v>1680.04</v>
      </c>
      <c r="O28" s="35">
        <f t="shared" si="3"/>
        <v>0</v>
      </c>
      <c r="Q28" s="400"/>
      <c r="R28" s="400"/>
      <c r="S28" s="400" t="s">
        <v>315</v>
      </c>
      <c r="T28" s="400" t="s">
        <v>316</v>
      </c>
      <c r="U28" s="400"/>
      <c r="V28" s="400"/>
      <c r="W28" s="400"/>
    </row>
    <row r="29" spans="2:23" s="38" customFormat="1" ht="21" customHeight="1" x14ac:dyDescent="0.25">
      <c r="B29" s="41">
        <v>6</v>
      </c>
      <c r="C29" s="91" t="s">
        <v>11</v>
      </c>
      <c r="D29" s="92"/>
      <c r="E29" s="41">
        <v>0</v>
      </c>
      <c r="F29" s="41">
        <v>0</v>
      </c>
      <c r="G29" s="41">
        <v>1601.23</v>
      </c>
      <c r="H29" s="41">
        <v>2588.9</v>
      </c>
      <c r="I29" s="41"/>
      <c r="J29" s="41"/>
      <c r="K29" s="41">
        <v>0</v>
      </c>
      <c r="L29" s="93"/>
      <c r="M29" s="41">
        <f t="shared" si="0"/>
        <v>4190.13</v>
      </c>
      <c r="N29" s="37">
        <v>4190.13</v>
      </c>
      <c r="O29" s="35">
        <f t="shared" si="3"/>
        <v>0</v>
      </c>
      <c r="Q29" s="400"/>
      <c r="R29" s="400"/>
      <c r="S29" s="400" t="s">
        <v>317</v>
      </c>
      <c r="T29" s="400" t="s">
        <v>318</v>
      </c>
      <c r="U29" s="400"/>
      <c r="V29" s="400"/>
      <c r="W29" s="400"/>
    </row>
    <row r="30" spans="2:23" s="38" customFormat="1" ht="21" customHeight="1" x14ac:dyDescent="0.25">
      <c r="B30" s="41">
        <v>7</v>
      </c>
      <c r="C30" s="91" t="s">
        <v>94</v>
      </c>
      <c r="D30" s="92"/>
      <c r="E30" s="41">
        <v>0</v>
      </c>
      <c r="F30" s="41">
        <v>0</v>
      </c>
      <c r="G30" s="41"/>
      <c r="H30" s="41">
        <v>142.84</v>
      </c>
      <c r="I30" s="41">
        <v>306.58999999999997</v>
      </c>
      <c r="J30" s="41"/>
      <c r="K30" s="41">
        <v>0</v>
      </c>
      <c r="L30" s="93"/>
      <c r="M30" s="41">
        <f t="shared" si="0"/>
        <v>449.42999999999995</v>
      </c>
      <c r="N30" s="37">
        <v>449.43</v>
      </c>
      <c r="O30" s="35">
        <f t="shared" si="3"/>
        <v>0</v>
      </c>
      <c r="Q30" s="400"/>
      <c r="R30" s="400"/>
      <c r="S30" s="400"/>
      <c r="T30" s="400" t="s">
        <v>319</v>
      </c>
      <c r="U30" s="400" t="s">
        <v>320</v>
      </c>
      <c r="V30" s="400"/>
      <c r="W30" s="400"/>
    </row>
    <row r="31" spans="2:23" s="38" customFormat="1" ht="21" customHeight="1" x14ac:dyDescent="0.25">
      <c r="B31" s="41">
        <v>8</v>
      </c>
      <c r="C31" s="91" t="s">
        <v>95</v>
      </c>
      <c r="D31" s="92"/>
      <c r="E31" s="41">
        <v>0</v>
      </c>
      <c r="F31" s="41">
        <v>0</v>
      </c>
      <c r="G31" s="41">
        <v>230.18</v>
      </c>
      <c r="H31" s="41">
        <v>172.96</v>
      </c>
      <c r="I31" s="41"/>
      <c r="J31" s="41">
        <v>0</v>
      </c>
      <c r="K31" s="41">
        <v>0</v>
      </c>
      <c r="L31" s="93"/>
      <c r="M31" s="41">
        <f t="shared" si="0"/>
        <v>403.14</v>
      </c>
      <c r="N31" s="37">
        <v>403.14000000000004</v>
      </c>
      <c r="O31" s="35">
        <f t="shared" si="3"/>
        <v>0</v>
      </c>
      <c r="Q31" s="400"/>
      <c r="R31" s="400"/>
      <c r="S31" s="400" t="s">
        <v>321</v>
      </c>
      <c r="T31" s="400" t="s">
        <v>322</v>
      </c>
      <c r="U31" s="400"/>
      <c r="V31" s="400"/>
      <c r="W31" s="400"/>
    </row>
    <row r="32" spans="2:23" s="38" customFormat="1" ht="21" customHeight="1" x14ac:dyDescent="0.25">
      <c r="B32" s="41">
        <v>9</v>
      </c>
      <c r="C32" s="91" t="s">
        <v>27</v>
      </c>
      <c r="D32" s="92"/>
      <c r="E32" s="41">
        <v>0</v>
      </c>
      <c r="F32" s="41">
        <v>0</v>
      </c>
      <c r="G32" s="41">
        <v>232.4</v>
      </c>
      <c r="H32" s="41">
        <v>2406.2800000000002</v>
      </c>
      <c r="I32" s="41"/>
      <c r="J32" s="41">
        <v>0</v>
      </c>
      <c r="K32" s="41">
        <v>0</v>
      </c>
      <c r="L32" s="93"/>
      <c r="M32" s="41">
        <f t="shared" si="0"/>
        <v>2638.6800000000003</v>
      </c>
      <c r="N32" s="37">
        <v>2638.68</v>
      </c>
      <c r="O32" s="35">
        <f t="shared" si="3"/>
        <v>0</v>
      </c>
      <c r="Q32" s="400"/>
      <c r="R32" s="400"/>
      <c r="S32" s="400" t="s">
        <v>323</v>
      </c>
      <c r="T32" s="400" t="s">
        <v>324</v>
      </c>
      <c r="U32" s="400"/>
      <c r="V32" s="400"/>
      <c r="W32" s="400"/>
    </row>
    <row r="33" spans="2:23" s="38" customFormat="1" ht="21" customHeight="1" x14ac:dyDescent="0.25">
      <c r="B33" s="41">
        <v>10</v>
      </c>
      <c r="C33" s="91" t="s">
        <v>28</v>
      </c>
      <c r="D33" s="92"/>
      <c r="E33" s="41">
        <v>0</v>
      </c>
      <c r="F33" s="41">
        <v>0</v>
      </c>
      <c r="G33" s="41"/>
      <c r="H33" s="41"/>
      <c r="I33" s="41">
        <v>552.92999999999995</v>
      </c>
      <c r="J33" s="41">
        <v>789.34</v>
      </c>
      <c r="K33" s="41">
        <v>0</v>
      </c>
      <c r="L33" s="93"/>
      <c r="M33" s="41">
        <f t="shared" si="0"/>
        <v>1342.27</v>
      </c>
      <c r="N33" s="37">
        <v>1342.2700000000002</v>
      </c>
      <c r="O33" s="35">
        <f t="shared" si="3"/>
        <v>0</v>
      </c>
      <c r="Q33" s="400"/>
      <c r="R33" s="400"/>
      <c r="S33" s="400"/>
      <c r="T33" s="400"/>
      <c r="U33" s="400" t="s">
        <v>326</v>
      </c>
      <c r="V33" s="400" t="s">
        <v>327</v>
      </c>
      <c r="W33" s="400"/>
    </row>
    <row r="34" spans="2:23" s="2" customFormat="1" ht="21" customHeight="1" x14ac:dyDescent="0.25">
      <c r="B34" s="129"/>
      <c r="C34" s="103" t="s">
        <v>113</v>
      </c>
      <c r="D34" s="104"/>
      <c r="E34" s="105">
        <f>+E35+E36+E40+E41+E42+E43+E44+E45+E46+E47</f>
        <v>0</v>
      </c>
      <c r="F34" s="105">
        <f t="shared" ref="F34:M34" si="6">+F35+F36+F40+F41+F42+F43+F44+F45+F46+F47</f>
        <v>9255.8799999999992</v>
      </c>
      <c r="G34" s="105">
        <f t="shared" si="6"/>
        <v>16050.34</v>
      </c>
      <c r="H34" s="105">
        <f t="shared" si="6"/>
        <v>25513.910000000003</v>
      </c>
      <c r="I34" s="105">
        <f t="shared" ref="I34" si="7">+I35+I36+I40+I41+I42+I43+I44+I45+I46+I47</f>
        <v>68832.52</v>
      </c>
      <c r="J34" s="105">
        <f t="shared" si="6"/>
        <v>87917.82</v>
      </c>
      <c r="K34" s="105">
        <f t="shared" si="6"/>
        <v>115446.45000000001</v>
      </c>
      <c r="L34" s="106"/>
      <c r="M34" s="105">
        <f t="shared" si="6"/>
        <v>323016.92000000004</v>
      </c>
      <c r="N34" s="6">
        <v>323016.92000000004</v>
      </c>
      <c r="O34" s="35">
        <f t="shared" si="3"/>
        <v>0</v>
      </c>
      <c r="Q34" s="3"/>
      <c r="R34" s="3"/>
      <c r="S34" s="3"/>
      <c r="T34" s="3"/>
      <c r="U34" s="3"/>
      <c r="V34" s="3"/>
      <c r="W34" s="3"/>
    </row>
    <row r="35" spans="2:23" s="2" customFormat="1" ht="21" customHeight="1" x14ac:dyDescent="0.25">
      <c r="B35" s="90">
        <v>1</v>
      </c>
      <c r="C35" s="91" t="s">
        <v>82</v>
      </c>
      <c r="D35" s="92"/>
      <c r="E35" s="41"/>
      <c r="F35" s="41">
        <v>2149</v>
      </c>
      <c r="G35" s="41">
        <v>5883.12</v>
      </c>
      <c r="H35" s="41">
        <v>5664.22</v>
      </c>
      <c r="I35" s="41">
        <v>10891.53</v>
      </c>
      <c r="J35" s="41">
        <v>31895.01</v>
      </c>
      <c r="K35" s="41"/>
      <c r="L35" s="93"/>
      <c r="M35" s="41">
        <f t="shared" ref="M35:M47" si="8">SUM(E35:K35)</f>
        <v>56482.880000000005</v>
      </c>
      <c r="N35" s="37">
        <v>56482.880000000012</v>
      </c>
      <c r="O35" s="35">
        <f t="shared" si="3"/>
        <v>0</v>
      </c>
      <c r="Q35" s="3"/>
      <c r="R35" s="3" t="s">
        <v>329</v>
      </c>
      <c r="S35" s="3" t="s">
        <v>330</v>
      </c>
      <c r="T35" s="3" t="s">
        <v>331</v>
      </c>
      <c r="U35" s="3" t="s">
        <v>330</v>
      </c>
      <c r="V35" s="3" t="s">
        <v>332</v>
      </c>
      <c r="W35" s="3"/>
    </row>
    <row r="36" spans="2:23" s="14" customFormat="1" ht="21" customHeight="1" x14ac:dyDescent="0.25">
      <c r="B36" s="87">
        <v>2</v>
      </c>
      <c r="C36" s="88" t="s">
        <v>16</v>
      </c>
      <c r="D36" s="45"/>
      <c r="E36" s="89">
        <f>SUM(E37:E39)</f>
        <v>0</v>
      </c>
      <c r="F36" s="89">
        <f t="shared" ref="F36:K36" si="9">SUM(F37:F39)</f>
        <v>7106.8799999999992</v>
      </c>
      <c r="G36" s="89">
        <f t="shared" si="9"/>
        <v>10167.220000000001</v>
      </c>
      <c r="H36" s="89">
        <f t="shared" si="9"/>
        <v>19286.240000000002</v>
      </c>
      <c r="I36" s="89">
        <f t="shared" ref="I36" si="10">SUM(I37:I39)</f>
        <v>41664.75</v>
      </c>
      <c r="J36" s="89">
        <f t="shared" si="9"/>
        <v>0</v>
      </c>
      <c r="K36" s="89">
        <f t="shared" si="9"/>
        <v>0</v>
      </c>
      <c r="L36" s="57"/>
      <c r="M36" s="89">
        <f t="shared" si="8"/>
        <v>78225.09</v>
      </c>
      <c r="N36" s="37">
        <v>78225.089999999982</v>
      </c>
      <c r="O36" s="35">
        <f t="shared" si="3"/>
        <v>0</v>
      </c>
      <c r="Q36" s="29"/>
      <c r="R36" s="29"/>
      <c r="S36" s="29"/>
      <c r="T36" s="29"/>
      <c r="U36" s="29"/>
      <c r="V36" s="29"/>
      <c r="W36" s="29"/>
    </row>
    <row r="37" spans="2:23" s="2" customFormat="1" ht="21" customHeight="1" x14ac:dyDescent="0.25">
      <c r="B37" s="131">
        <v>2.0099999999999998</v>
      </c>
      <c r="C37" s="91" t="s">
        <v>85</v>
      </c>
      <c r="D37" s="92"/>
      <c r="E37" s="41"/>
      <c r="F37" s="41">
        <v>1117.44</v>
      </c>
      <c r="G37" s="41">
        <v>2064.54</v>
      </c>
      <c r="H37" s="41">
        <v>2381.04</v>
      </c>
      <c r="I37" s="41">
        <v>2701.65</v>
      </c>
      <c r="J37" s="41"/>
      <c r="K37" s="41">
        <v>0</v>
      </c>
      <c r="L37" s="93"/>
      <c r="M37" s="41">
        <f t="shared" si="8"/>
        <v>8264.67</v>
      </c>
      <c r="N37" s="6">
        <v>8264.67</v>
      </c>
      <c r="O37" s="35">
        <f t="shared" si="3"/>
        <v>0</v>
      </c>
      <c r="Q37" s="3"/>
      <c r="R37" s="3" t="s">
        <v>333</v>
      </c>
      <c r="S37" s="3" t="s">
        <v>334</v>
      </c>
      <c r="T37" s="3" t="s">
        <v>335</v>
      </c>
      <c r="U37" s="3" t="s">
        <v>336</v>
      </c>
      <c r="V37" s="3"/>
      <c r="W37" s="3"/>
    </row>
    <row r="38" spans="2:23" s="2" customFormat="1" ht="21" customHeight="1" x14ac:dyDescent="0.25">
      <c r="B38" s="131">
        <v>2.02</v>
      </c>
      <c r="C38" s="91" t="s">
        <v>86</v>
      </c>
      <c r="D38" s="92"/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/>
      <c r="K38" s="41">
        <v>0</v>
      </c>
      <c r="L38" s="93"/>
      <c r="M38" s="41">
        <f t="shared" si="8"/>
        <v>0</v>
      </c>
      <c r="N38" s="6"/>
      <c r="O38" s="35">
        <f t="shared" si="3"/>
        <v>0</v>
      </c>
      <c r="Q38" s="3"/>
      <c r="R38" s="3"/>
      <c r="S38" s="3"/>
      <c r="T38" s="3"/>
      <c r="U38" s="3"/>
      <c r="V38" s="3"/>
      <c r="W38" s="3"/>
    </row>
    <row r="39" spans="2:23" s="2" customFormat="1" ht="21" customHeight="1" x14ac:dyDescent="0.25">
      <c r="B39" s="131">
        <v>2.0299999999999998</v>
      </c>
      <c r="C39" s="91" t="s">
        <v>87</v>
      </c>
      <c r="D39" s="92"/>
      <c r="E39" s="41">
        <v>0</v>
      </c>
      <c r="F39" s="41">
        <v>5989.44</v>
      </c>
      <c r="G39" s="41">
        <v>8102.68</v>
      </c>
      <c r="H39" s="41">
        <v>16905.2</v>
      </c>
      <c r="I39" s="41">
        <v>38963.1</v>
      </c>
      <c r="J39" s="41"/>
      <c r="K39" s="41"/>
      <c r="L39" s="93"/>
      <c r="M39" s="41">
        <f t="shared" si="8"/>
        <v>69960.42</v>
      </c>
      <c r="N39" s="6">
        <v>69960.419999999984</v>
      </c>
      <c r="O39" s="35">
        <f t="shared" si="3"/>
        <v>0</v>
      </c>
      <c r="Q39" s="3"/>
      <c r="R39" s="3" t="s">
        <v>337</v>
      </c>
      <c r="S39" s="3" t="s">
        <v>338</v>
      </c>
      <c r="T39" s="3" t="s">
        <v>339</v>
      </c>
      <c r="U39" s="3" t="s">
        <v>340</v>
      </c>
      <c r="V39" s="3"/>
      <c r="W39" s="3"/>
    </row>
    <row r="40" spans="2:23" s="2" customFormat="1" ht="21" customHeight="1" x14ac:dyDescent="0.25">
      <c r="B40" s="90">
        <v>3</v>
      </c>
      <c r="C40" s="91" t="s">
        <v>29</v>
      </c>
      <c r="D40" s="92"/>
      <c r="E40" s="41">
        <v>0</v>
      </c>
      <c r="F40" s="41">
        <v>0</v>
      </c>
      <c r="G40" s="41"/>
      <c r="H40" s="41">
        <v>428.21</v>
      </c>
      <c r="I40" s="41">
        <v>5696.29</v>
      </c>
      <c r="J40" s="41">
        <v>20977.7</v>
      </c>
      <c r="K40" s="41">
        <v>0</v>
      </c>
      <c r="L40" s="93"/>
      <c r="M40" s="41">
        <f t="shared" si="8"/>
        <v>27102.2</v>
      </c>
      <c r="N40" s="37">
        <v>27102.199999999997</v>
      </c>
      <c r="O40" s="35">
        <f t="shared" si="3"/>
        <v>0</v>
      </c>
      <c r="Q40" s="3"/>
      <c r="R40" s="3"/>
      <c r="S40" s="3"/>
      <c r="T40" s="3" t="s">
        <v>341</v>
      </c>
      <c r="U40" s="3" t="s">
        <v>342</v>
      </c>
      <c r="V40" s="3" t="s">
        <v>343</v>
      </c>
      <c r="W40" s="3"/>
    </row>
    <row r="41" spans="2:23" s="2" customFormat="1" ht="21" customHeight="1" x14ac:dyDescent="0.25">
      <c r="B41" s="90">
        <v>4</v>
      </c>
      <c r="C41" s="91" t="s">
        <v>17</v>
      </c>
      <c r="D41" s="92"/>
      <c r="E41" s="41">
        <v>0</v>
      </c>
      <c r="F41" s="41">
        <v>0</v>
      </c>
      <c r="G41" s="41"/>
      <c r="H41" s="41">
        <v>135.24</v>
      </c>
      <c r="I41" s="41">
        <v>3697.3</v>
      </c>
      <c r="J41" s="41">
        <v>6921.3</v>
      </c>
      <c r="K41" s="41">
        <v>0</v>
      </c>
      <c r="L41" s="93"/>
      <c r="M41" s="41">
        <f t="shared" si="8"/>
        <v>10753.84</v>
      </c>
      <c r="N41" s="37">
        <v>10753.840000000002</v>
      </c>
      <c r="O41" s="35">
        <f t="shared" si="3"/>
        <v>0</v>
      </c>
      <c r="Q41" s="3"/>
      <c r="R41" s="3"/>
      <c r="S41" s="3"/>
      <c r="T41" s="3" t="s">
        <v>344</v>
      </c>
      <c r="U41" s="3" t="s">
        <v>345</v>
      </c>
      <c r="V41" s="3" t="s">
        <v>346</v>
      </c>
      <c r="W41" s="3"/>
    </row>
    <row r="42" spans="2:23" s="2" customFormat="1" ht="21" customHeight="1" x14ac:dyDescent="0.25">
      <c r="B42" s="90">
        <v>5</v>
      </c>
      <c r="C42" s="91" t="s">
        <v>30</v>
      </c>
      <c r="D42" s="92"/>
      <c r="E42" s="41">
        <v>0</v>
      </c>
      <c r="F42" s="41">
        <v>0</v>
      </c>
      <c r="G42" s="41"/>
      <c r="H42" s="41"/>
      <c r="I42" s="41">
        <v>2827.78</v>
      </c>
      <c r="J42" s="41">
        <v>4768.1000000000004</v>
      </c>
      <c r="K42" s="41">
        <v>8799.33</v>
      </c>
      <c r="L42" s="93"/>
      <c r="M42" s="41">
        <f t="shared" si="8"/>
        <v>16395.21</v>
      </c>
      <c r="N42" s="37">
        <v>16395.21</v>
      </c>
      <c r="O42" s="35">
        <f t="shared" si="3"/>
        <v>0</v>
      </c>
      <c r="Q42" s="3"/>
      <c r="R42" s="3"/>
      <c r="S42" s="3"/>
      <c r="T42" s="3"/>
      <c r="U42" s="3" t="s">
        <v>347</v>
      </c>
      <c r="V42" s="3" t="s">
        <v>348</v>
      </c>
      <c r="W42" s="3" t="s">
        <v>349</v>
      </c>
    </row>
    <row r="43" spans="2:23" s="2" customFormat="1" ht="21" customHeight="1" x14ac:dyDescent="0.25">
      <c r="B43" s="90">
        <v>6</v>
      </c>
      <c r="C43" s="91" t="s">
        <v>31</v>
      </c>
      <c r="D43" s="92"/>
      <c r="E43" s="41">
        <v>0</v>
      </c>
      <c r="F43" s="41"/>
      <c r="G43" s="41"/>
      <c r="H43" s="41"/>
      <c r="I43" s="41">
        <v>3058.41</v>
      </c>
      <c r="J43" s="41">
        <v>5422.27</v>
      </c>
      <c r="K43" s="41">
        <v>11534.29</v>
      </c>
      <c r="L43" s="93"/>
      <c r="M43" s="41">
        <f t="shared" si="8"/>
        <v>20014.97</v>
      </c>
      <c r="N43" s="37">
        <v>20014.97</v>
      </c>
      <c r="O43" s="35">
        <f t="shared" si="3"/>
        <v>0</v>
      </c>
      <c r="Q43" s="3"/>
      <c r="R43" s="3"/>
      <c r="S43" s="3"/>
      <c r="T43" s="3"/>
      <c r="U43" s="3" t="s">
        <v>350</v>
      </c>
      <c r="V43" s="3" t="s">
        <v>351</v>
      </c>
      <c r="W43" s="3" t="s">
        <v>352</v>
      </c>
    </row>
    <row r="44" spans="2:23" s="2" customFormat="1" ht="21" customHeight="1" x14ac:dyDescent="0.25">
      <c r="B44" s="90">
        <v>7</v>
      </c>
      <c r="C44" s="91" t="s">
        <v>96</v>
      </c>
      <c r="D44" s="92"/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1958.5</v>
      </c>
      <c r="K44" s="41">
        <v>5336.7</v>
      </c>
      <c r="L44" s="93"/>
      <c r="M44" s="41">
        <f t="shared" si="8"/>
        <v>7295.2</v>
      </c>
      <c r="N44" s="37">
        <v>7295.2</v>
      </c>
      <c r="O44" s="35">
        <f t="shared" si="3"/>
        <v>0</v>
      </c>
      <c r="Q44" s="3"/>
      <c r="R44" s="3"/>
      <c r="S44" s="3"/>
      <c r="T44" s="3"/>
      <c r="U44" s="3"/>
      <c r="V44" s="3" t="s">
        <v>353</v>
      </c>
      <c r="W44" s="3" t="s">
        <v>354</v>
      </c>
    </row>
    <row r="45" spans="2:23" s="2" customFormat="1" ht="21" customHeight="1" x14ac:dyDescent="0.25">
      <c r="B45" s="90">
        <v>8</v>
      </c>
      <c r="C45" s="91" t="s">
        <v>97</v>
      </c>
      <c r="D45" s="92"/>
      <c r="E45" s="41">
        <v>0</v>
      </c>
      <c r="F45" s="41">
        <v>0</v>
      </c>
      <c r="G45" s="41">
        <v>0</v>
      </c>
      <c r="H45" s="41"/>
      <c r="I45" s="41">
        <v>996.46</v>
      </c>
      <c r="J45" s="41">
        <v>15974.94</v>
      </c>
      <c r="K45" s="41">
        <v>65903.97</v>
      </c>
      <c r="L45" s="93"/>
      <c r="M45" s="41">
        <f t="shared" si="8"/>
        <v>82875.37</v>
      </c>
      <c r="N45" s="37">
        <v>82875.37</v>
      </c>
      <c r="O45" s="35">
        <f t="shared" si="3"/>
        <v>0</v>
      </c>
      <c r="Q45" s="3"/>
      <c r="R45" s="3"/>
      <c r="S45" s="3"/>
      <c r="T45" s="3"/>
      <c r="U45" s="3" t="s">
        <v>355</v>
      </c>
      <c r="V45" s="3" t="s">
        <v>356</v>
      </c>
      <c r="W45" s="3" t="s">
        <v>356</v>
      </c>
    </row>
    <row r="46" spans="2:23" s="2" customFormat="1" ht="21" customHeight="1" x14ac:dyDescent="0.25">
      <c r="B46" s="90">
        <v>9</v>
      </c>
      <c r="C46" s="91" t="s">
        <v>98</v>
      </c>
      <c r="D46" s="92"/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/>
      <c r="K46" s="41">
        <v>4072.34</v>
      </c>
      <c r="L46" s="93"/>
      <c r="M46" s="41">
        <f t="shared" si="8"/>
        <v>4072.34</v>
      </c>
      <c r="N46" s="37">
        <v>4072.34</v>
      </c>
      <c r="O46" s="35">
        <f t="shared" si="3"/>
        <v>0</v>
      </c>
      <c r="Q46" s="3"/>
      <c r="R46" s="3"/>
      <c r="S46" s="3"/>
      <c r="T46" s="3"/>
      <c r="U46" s="3"/>
      <c r="V46" s="3"/>
      <c r="W46" s="3" t="s">
        <v>357</v>
      </c>
    </row>
    <row r="47" spans="2:23" s="2" customFormat="1" ht="21" customHeight="1" x14ac:dyDescent="0.25">
      <c r="B47" s="96">
        <v>10</v>
      </c>
      <c r="C47" s="97" t="s">
        <v>99</v>
      </c>
      <c r="D47" s="92"/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19799.82</v>
      </c>
      <c r="L47" s="93"/>
      <c r="M47" s="47">
        <f t="shared" si="8"/>
        <v>19799.82</v>
      </c>
      <c r="N47" s="37">
        <v>19799.82</v>
      </c>
      <c r="O47" s="35">
        <f t="shared" si="3"/>
        <v>0</v>
      </c>
      <c r="Q47" s="3"/>
      <c r="R47" s="3"/>
      <c r="S47" s="3"/>
      <c r="T47" s="3"/>
      <c r="U47" s="3"/>
      <c r="V47" s="3"/>
      <c r="W47" s="3" t="s">
        <v>358</v>
      </c>
    </row>
    <row r="48" spans="2:23" ht="5.25" customHeight="1" x14ac:dyDescent="0.25"/>
    <row r="49" spans="2:23" s="14" customFormat="1" ht="22.5" customHeight="1" x14ac:dyDescent="0.25">
      <c r="B49" s="31"/>
      <c r="C49" s="31" t="s">
        <v>33</v>
      </c>
      <c r="D49" s="24"/>
      <c r="E49" s="11">
        <f>+E12+E23+E34</f>
        <v>3391.23</v>
      </c>
      <c r="F49" s="11">
        <f t="shared" ref="F49:M49" si="11">+F12+F23+F34</f>
        <v>27499.769999999997</v>
      </c>
      <c r="G49" s="11">
        <f t="shared" si="11"/>
        <v>81785.73</v>
      </c>
      <c r="H49" s="11">
        <f t="shared" si="11"/>
        <v>224821.74000000002</v>
      </c>
      <c r="I49" s="11">
        <f t="shared" ref="I49" si="12">+I12+I23+I34</f>
        <v>119747.33000000002</v>
      </c>
      <c r="J49" s="11">
        <f t="shared" si="11"/>
        <v>217458.41</v>
      </c>
      <c r="K49" s="11">
        <f t="shared" si="11"/>
        <v>115446.45000000001</v>
      </c>
      <c r="L49" s="55"/>
      <c r="M49" s="11">
        <f t="shared" si="11"/>
        <v>790150.66</v>
      </c>
      <c r="N49" s="27">
        <v>790150.66</v>
      </c>
      <c r="O49" s="5">
        <f t="shared" ref="O49:O52" si="13">+M49-N49</f>
        <v>0</v>
      </c>
      <c r="P49" s="28"/>
      <c r="Q49" s="29"/>
      <c r="R49" s="29"/>
      <c r="S49" s="29"/>
      <c r="T49" s="29"/>
      <c r="U49" s="29"/>
      <c r="V49" s="29"/>
      <c r="W49" s="29"/>
    </row>
    <row r="50" spans="2:23" s="2" customFormat="1" ht="22.5" customHeight="1" x14ac:dyDescent="0.25">
      <c r="B50" s="124">
        <v>0.1012</v>
      </c>
      <c r="C50" s="12" t="s">
        <v>88</v>
      </c>
      <c r="D50" s="25"/>
      <c r="E50" s="8">
        <f>ROUND($B$50*E49,2)</f>
        <v>343.19</v>
      </c>
      <c r="F50" s="8">
        <f t="shared" ref="F50:M50" si="14">ROUND($B$50*F49,2)</f>
        <v>2782.98</v>
      </c>
      <c r="G50" s="8">
        <f t="shared" si="14"/>
        <v>8276.7199999999993</v>
      </c>
      <c r="H50" s="8">
        <f t="shared" si="14"/>
        <v>22751.96</v>
      </c>
      <c r="I50" s="8">
        <f t="shared" ref="I50" si="15">ROUND($B$50*I49,2)</f>
        <v>12118.43</v>
      </c>
      <c r="J50" s="8">
        <f t="shared" si="14"/>
        <v>22006.79</v>
      </c>
      <c r="K50" s="8">
        <f t="shared" si="14"/>
        <v>11683.18</v>
      </c>
      <c r="L50" s="19"/>
      <c r="M50" s="8">
        <f t="shared" si="14"/>
        <v>79963.25</v>
      </c>
      <c r="N50" s="6">
        <v>79963.25</v>
      </c>
      <c r="O50" s="5">
        <f t="shared" si="13"/>
        <v>0</v>
      </c>
      <c r="P50" s="84"/>
      <c r="Q50" s="3"/>
      <c r="R50" s="3"/>
      <c r="S50" s="3"/>
      <c r="T50" s="3"/>
      <c r="U50" s="3"/>
      <c r="V50" s="3"/>
      <c r="W50" s="3"/>
    </row>
    <row r="51" spans="2:23" s="2" customFormat="1" ht="22.5" customHeight="1" x14ac:dyDescent="0.25">
      <c r="B51" s="124">
        <v>0.03</v>
      </c>
      <c r="C51" s="12" t="s">
        <v>89</v>
      </c>
      <c r="D51" s="25"/>
      <c r="E51" s="8">
        <f>ROUND($B$51*E49,2)</f>
        <v>101.74</v>
      </c>
      <c r="F51" s="8">
        <f t="shared" ref="F51:K51" si="16">ROUND($B$51*F49,2)</f>
        <v>824.99</v>
      </c>
      <c r="G51" s="8">
        <f t="shared" si="16"/>
        <v>2453.5700000000002</v>
      </c>
      <c r="H51" s="8">
        <f t="shared" si="16"/>
        <v>6744.65</v>
      </c>
      <c r="I51" s="8">
        <f t="shared" ref="I51" si="17">ROUND($B$51*I49,2)</f>
        <v>3592.42</v>
      </c>
      <c r="J51" s="8">
        <f t="shared" si="16"/>
        <v>6523.75</v>
      </c>
      <c r="K51" s="8">
        <f t="shared" si="16"/>
        <v>3463.39</v>
      </c>
      <c r="L51" s="19"/>
      <c r="M51" s="8">
        <f t="shared" ref="M51" si="18">ROUND($B$51*M49,2)</f>
        <v>23704.52</v>
      </c>
      <c r="N51" s="6">
        <v>23704.52</v>
      </c>
      <c r="O51" s="5">
        <f t="shared" si="13"/>
        <v>0</v>
      </c>
      <c r="P51" s="84"/>
      <c r="Q51" s="3"/>
      <c r="R51" s="3"/>
      <c r="S51" s="3"/>
      <c r="T51" s="3"/>
      <c r="U51" s="3"/>
      <c r="V51" s="3"/>
      <c r="W51" s="3"/>
    </row>
    <row r="52" spans="2:23" s="14" customFormat="1" ht="22.5" customHeight="1" x14ac:dyDescent="0.25">
      <c r="B52" s="130"/>
      <c r="C52" s="13" t="s">
        <v>37</v>
      </c>
      <c r="D52" s="24"/>
      <c r="E52" s="11">
        <f>SUM(E49:E51)</f>
        <v>3836.16</v>
      </c>
      <c r="F52" s="11">
        <f>SUM(F49:F51)</f>
        <v>31107.739999999998</v>
      </c>
      <c r="G52" s="11">
        <f t="shared" ref="G52:M52" si="19">SUM(G49:G51)</f>
        <v>92516.02</v>
      </c>
      <c r="H52" s="11">
        <f t="shared" si="19"/>
        <v>254318.35</v>
      </c>
      <c r="I52" s="11">
        <f t="shared" ref="I52" si="20">SUM(I49:I51)</f>
        <v>135458.18000000002</v>
      </c>
      <c r="J52" s="11">
        <f t="shared" si="19"/>
        <v>245988.95</v>
      </c>
      <c r="K52" s="11">
        <f t="shared" si="19"/>
        <v>130593.02</v>
      </c>
      <c r="L52" s="55"/>
      <c r="M52" s="11">
        <f t="shared" si="19"/>
        <v>893818.43</v>
      </c>
      <c r="N52" s="27">
        <v>893818.43</v>
      </c>
      <c r="O52" s="5">
        <f t="shared" si="13"/>
        <v>0</v>
      </c>
      <c r="P52" s="28"/>
      <c r="Q52" s="29"/>
      <c r="R52" s="29"/>
      <c r="S52" s="29"/>
      <c r="T52" s="29"/>
      <c r="U52" s="29"/>
      <c r="V52" s="29"/>
      <c r="W52" s="29"/>
    </row>
    <row r="53" spans="2:23" s="2" customFormat="1" ht="22.5" customHeight="1" x14ac:dyDescent="0.25">
      <c r="B53" s="124">
        <v>0.18</v>
      </c>
      <c r="C53" s="12" t="s">
        <v>90</v>
      </c>
      <c r="D53" s="25"/>
      <c r="E53" s="8">
        <f>ROUND($B$53*E52,2)</f>
        <v>690.51</v>
      </c>
      <c r="F53" s="8">
        <f t="shared" ref="F53:M53" si="21">ROUND($B$53*F52,2)</f>
        <v>5599.39</v>
      </c>
      <c r="G53" s="8">
        <f t="shared" si="21"/>
        <v>16652.88</v>
      </c>
      <c r="H53" s="8">
        <f t="shared" si="21"/>
        <v>45777.3</v>
      </c>
      <c r="I53" s="8">
        <f t="shared" ref="I53" si="22">ROUND($B$53*I52,2)</f>
        <v>24382.47</v>
      </c>
      <c r="J53" s="8">
        <f t="shared" si="21"/>
        <v>44278.01</v>
      </c>
      <c r="K53" s="8">
        <f t="shared" si="21"/>
        <v>23506.74</v>
      </c>
      <c r="L53" s="19"/>
      <c r="M53" s="8">
        <f t="shared" si="21"/>
        <v>160887.32</v>
      </c>
      <c r="N53" s="6"/>
      <c r="P53" s="28"/>
      <c r="Q53" s="3"/>
      <c r="R53" s="3"/>
      <c r="S53" s="3"/>
      <c r="T53" s="3"/>
      <c r="U53" s="3"/>
      <c r="V53" s="3"/>
      <c r="W53" s="3"/>
    </row>
    <row r="54" spans="2:23" s="14" customFormat="1" ht="22.5" customHeight="1" x14ac:dyDescent="0.25">
      <c r="B54" s="31"/>
      <c r="C54" s="13" t="s">
        <v>39</v>
      </c>
      <c r="D54" s="24"/>
      <c r="E54" s="11">
        <f t="shared" ref="E54:M54" si="23">+E53+E52</f>
        <v>4526.67</v>
      </c>
      <c r="F54" s="11">
        <f>+F53+F52+0.01</f>
        <v>36707.14</v>
      </c>
      <c r="G54" s="11">
        <f>+G53+G52+0.01</f>
        <v>109168.91</v>
      </c>
      <c r="H54" s="11">
        <f>+H53+H52+0.01</f>
        <v>300095.66000000003</v>
      </c>
      <c r="I54" s="11">
        <f t="shared" ref="I54" si="24">+I53+I52</f>
        <v>159840.65000000002</v>
      </c>
      <c r="J54" s="11">
        <f t="shared" si="23"/>
        <v>290266.96000000002</v>
      </c>
      <c r="K54" s="11">
        <f t="shared" si="23"/>
        <v>154099.76</v>
      </c>
      <c r="L54" s="55"/>
      <c r="M54" s="11">
        <f t="shared" si="23"/>
        <v>1054705.75</v>
      </c>
      <c r="N54" s="27"/>
      <c r="P54" s="28"/>
      <c r="Q54" s="29"/>
      <c r="R54" s="29"/>
      <c r="S54" s="29"/>
      <c r="T54" s="29"/>
      <c r="U54" s="29"/>
      <c r="V54" s="29"/>
      <c r="W54" s="29"/>
    </row>
    <row r="55" spans="2:23" ht="6" customHeight="1" x14ac:dyDescent="0.25">
      <c r="E55" s="4"/>
      <c r="F55" s="4"/>
      <c r="G55" s="4"/>
      <c r="H55" s="4"/>
      <c r="I55" s="4"/>
      <c r="J55" s="4"/>
      <c r="K55" s="4"/>
      <c r="L55" s="56"/>
      <c r="M55" s="4"/>
    </row>
    <row r="56" spans="2:23" s="421" customFormat="1" ht="23.25" customHeight="1" x14ac:dyDescent="0.25">
      <c r="B56" s="419"/>
      <c r="C56" s="13" t="s">
        <v>40</v>
      </c>
      <c r="D56" s="24"/>
      <c r="E56" s="11">
        <f>+E54</f>
        <v>4526.67</v>
      </c>
      <c r="F56" s="11">
        <f>+F54+E56</f>
        <v>41233.81</v>
      </c>
      <c r="G56" s="11">
        <f t="shared" ref="G56:K56" si="25">+G54+F56</f>
        <v>150402.72</v>
      </c>
      <c r="H56" s="11">
        <f t="shared" si="25"/>
        <v>450498.38</v>
      </c>
      <c r="I56" s="11">
        <f t="shared" ref="I56" si="26">+I54+H56</f>
        <v>610339.03</v>
      </c>
      <c r="J56" s="11">
        <f t="shared" ref="J56" si="27">+J54+I56</f>
        <v>900605.99</v>
      </c>
      <c r="K56" s="11">
        <f t="shared" si="25"/>
        <v>1054705.75</v>
      </c>
      <c r="L56" s="418"/>
      <c r="M56" s="29"/>
      <c r="N56" s="420"/>
      <c r="Q56" s="420"/>
      <c r="R56" s="420"/>
      <c r="S56" s="420"/>
      <c r="T56" s="420"/>
      <c r="U56" s="420"/>
      <c r="V56" s="420"/>
      <c r="W56" s="420"/>
    </row>
    <row r="57" spans="2:23" ht="23.25" customHeight="1" x14ac:dyDescent="0.25">
      <c r="B57" s="21"/>
      <c r="C57" s="13" t="s">
        <v>41</v>
      </c>
      <c r="D57" s="24"/>
      <c r="E57" s="20">
        <f t="shared" ref="E57:K57" si="28">+E56/$M$54</f>
        <v>4.2918795123663639E-3</v>
      </c>
      <c r="F57" s="20">
        <f t="shared" si="28"/>
        <v>3.9095084102841002E-2</v>
      </c>
      <c r="G57" s="20">
        <f t="shared" si="28"/>
        <v>0.14260159290873309</v>
      </c>
      <c r="H57" s="20">
        <f t="shared" si="28"/>
        <v>0.42713181377839271</v>
      </c>
      <c r="I57" s="20">
        <f t="shared" ref="I57" si="29">+I56/$M$54</f>
        <v>0.57868180769849797</v>
      </c>
      <c r="J57" s="20">
        <f t="shared" si="28"/>
        <v>0.85389312611598067</v>
      </c>
      <c r="K57" s="20">
        <f t="shared" si="28"/>
        <v>1</v>
      </c>
      <c r="L57" s="49"/>
      <c r="M57" s="3"/>
    </row>
  </sheetData>
  <mergeCells count="4">
    <mergeCell ref="C9:C10"/>
    <mergeCell ref="B9:B10"/>
    <mergeCell ref="M9:M10"/>
    <mergeCell ref="B1:M1"/>
  </mergeCells>
  <printOptions horizontalCentered="1"/>
  <pageMargins left="0.51181102362204722" right="0.51181102362204722" top="0.35433070866141736" bottom="0.35433070866141736" header="0.31496062992125984" footer="0.31496062992125984"/>
  <pageSetup paperSize="8" scale="65" orientation="landscape" r:id="rId1"/>
  <rowBreaks count="1" manualBreakCount="1">
    <brk id="33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W48"/>
  <sheetViews>
    <sheetView showZeros="0" view="pageBreakPreview" zoomScale="90" zoomScaleNormal="100" zoomScaleSheetLayoutView="90" workbookViewId="0">
      <pane xSplit="3" ySplit="10" topLeftCell="G44" activePane="bottomRight" state="frozen"/>
      <selection pane="topRight" activeCell="B1" sqref="B1"/>
      <selection pane="bottomLeft" activeCell="A3" sqref="A3"/>
      <selection pane="bottomRight" activeCell="H50" sqref="H50"/>
    </sheetView>
  </sheetViews>
  <sheetFormatPr baseColWidth="10" defaultColWidth="54.140625" defaultRowHeight="15" x14ac:dyDescent="0.25"/>
  <cols>
    <col min="1" max="1" width="2.140625" customWidth="1"/>
    <col min="2" max="2" width="13.140625" style="1" customWidth="1"/>
    <col min="3" max="3" width="74.140625" customWidth="1"/>
    <col min="4" max="4" width="0.7109375" style="23" customWidth="1"/>
    <col min="5" max="11" width="14.28515625" style="1" customWidth="1"/>
    <col min="12" max="12" width="0.7109375" style="54" customWidth="1"/>
    <col min="13" max="13" width="15" style="1" customWidth="1"/>
    <col min="14" max="14" width="13.7109375" style="1" customWidth="1"/>
    <col min="15" max="15" width="12.5703125" customWidth="1"/>
    <col min="16" max="16" width="7.85546875" customWidth="1"/>
    <col min="17" max="23" width="10.7109375" style="1" customWidth="1"/>
    <col min="24" max="39" width="6.85546875" customWidth="1"/>
  </cols>
  <sheetData>
    <row r="1" spans="2:23" s="2" customFormat="1" ht="27.75" customHeight="1" x14ac:dyDescent="0.25">
      <c r="B1" s="378" t="str">
        <f>+LP!B1</f>
        <v>CALENDARIO VALORIZADO DE AVANCE DE OBRA</v>
      </c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"/>
      <c r="Q1" s="3"/>
      <c r="R1" s="3"/>
      <c r="S1" s="3"/>
      <c r="T1" s="3"/>
      <c r="U1" s="3"/>
      <c r="V1" s="3"/>
      <c r="W1" s="3"/>
    </row>
    <row r="2" spans="2:23" x14ac:dyDescent="0.25">
      <c r="B2" s="1">
        <f>+LP!B2</f>
        <v>0</v>
      </c>
    </row>
    <row r="3" spans="2:23" s="14" customFormat="1" ht="23.25" customHeight="1" x14ac:dyDescent="0.25">
      <c r="B3" s="64" t="str">
        <f>+LP!B3</f>
        <v>PROYECTO</v>
      </c>
      <c r="C3" s="65" t="str">
        <f>+RS!C3</f>
        <v>: “AMPLIACIÓN DEL SERVICIO DE ENERGÍA ELÉCTRICA EN LA PROVINCIA DEL SANTA Y EN EL DISTRITO DE PAMPAROMAS – DEPARTAMENTO DE ANCASH”</v>
      </c>
      <c r="L3" s="72"/>
      <c r="M3" s="29"/>
      <c r="N3" s="29"/>
      <c r="Q3" s="29"/>
      <c r="R3" s="29"/>
      <c r="S3" s="29"/>
      <c r="T3" s="29"/>
      <c r="U3" s="29"/>
      <c r="V3" s="29"/>
      <c r="W3" s="29"/>
    </row>
    <row r="4" spans="2:23" s="14" customFormat="1" ht="23.25" customHeight="1" x14ac:dyDescent="0.25">
      <c r="B4" s="64" t="str">
        <f>+LP!B4</f>
        <v>SECCION</v>
      </c>
      <c r="C4" s="65" t="s">
        <v>59</v>
      </c>
      <c r="D4" s="14">
        <f>+RS!D4</f>
        <v>0</v>
      </c>
      <c r="L4" s="72"/>
      <c r="M4" s="29"/>
      <c r="N4" s="29"/>
      <c r="Q4" s="29"/>
      <c r="R4" s="29"/>
      <c r="S4" s="29"/>
      <c r="T4" s="29"/>
      <c r="U4" s="29"/>
      <c r="V4" s="29"/>
      <c r="W4" s="29"/>
    </row>
    <row r="5" spans="2:23" s="14" customFormat="1" ht="23.25" customHeight="1" x14ac:dyDescent="0.25">
      <c r="B5" s="64" t="str">
        <f>+LP!B5</f>
        <v>EJECUTOR</v>
      </c>
      <c r="C5" s="65" t="str">
        <f>+RS!C5</f>
        <v>: CONSORCIO PACIFICO</v>
      </c>
      <c r="D5" s="14">
        <f>+RS!D5</f>
        <v>0</v>
      </c>
      <c r="L5" s="72"/>
      <c r="M5" s="29"/>
      <c r="N5" s="29"/>
      <c r="Q5" s="29"/>
      <c r="R5" s="29"/>
      <c r="S5" s="29"/>
      <c r="T5" s="29"/>
      <c r="U5" s="29"/>
      <c r="V5" s="29"/>
      <c r="W5" s="29"/>
    </row>
    <row r="6" spans="2:23" s="14" customFormat="1" ht="23.25" customHeight="1" x14ac:dyDescent="0.25">
      <c r="B6" s="64" t="str">
        <f>+LP!B6</f>
        <v>PLAZO</v>
      </c>
      <c r="C6" s="65" t="str">
        <f>+RS!C6</f>
        <v>: 210 DIAS CALENDARIOS</v>
      </c>
      <c r="D6" s="14">
        <f>+RS!D6</f>
        <v>0</v>
      </c>
      <c r="L6" s="72"/>
      <c r="M6" s="29"/>
      <c r="N6" s="29"/>
      <c r="Q6" s="29"/>
      <c r="R6" s="29"/>
      <c r="S6" s="29"/>
      <c r="T6" s="29"/>
      <c r="U6" s="29"/>
      <c r="V6" s="29"/>
      <c r="W6" s="29"/>
    </row>
    <row r="7" spans="2:23" s="14" customFormat="1" ht="23.25" customHeight="1" x14ac:dyDescent="0.25">
      <c r="B7" s="64" t="str">
        <f>+LP!B7</f>
        <v>MONTO</v>
      </c>
      <c r="C7" s="65" t="s">
        <v>168</v>
      </c>
      <c r="D7" s="14">
        <f>+RS!D7</f>
        <v>0</v>
      </c>
      <c r="L7" s="72"/>
      <c r="M7" s="29"/>
      <c r="N7" s="29"/>
      <c r="Q7" s="29"/>
      <c r="R7" s="29"/>
      <c r="S7" s="29"/>
      <c r="T7" s="29"/>
      <c r="U7" s="29"/>
      <c r="V7" s="29"/>
      <c r="W7" s="29"/>
    </row>
    <row r="8" spans="2:23" s="2" customFormat="1" ht="13.5" customHeight="1" x14ac:dyDescent="0.25">
      <c r="B8" s="3"/>
      <c r="D8" s="22"/>
      <c r="E8" s="3"/>
      <c r="F8" s="7"/>
      <c r="G8" s="7"/>
      <c r="H8" s="7"/>
      <c r="I8" s="7"/>
      <c r="J8" s="7"/>
      <c r="K8" s="7"/>
      <c r="L8" s="50"/>
      <c r="M8" s="3"/>
      <c r="N8" s="3"/>
      <c r="Q8" s="3"/>
      <c r="R8" s="3"/>
      <c r="S8" s="3"/>
      <c r="T8" s="3"/>
      <c r="U8" s="3"/>
      <c r="V8" s="3"/>
      <c r="W8" s="3"/>
    </row>
    <row r="9" spans="2:23" s="2" customFormat="1" ht="24" customHeight="1" x14ac:dyDescent="0.25">
      <c r="B9" s="388" t="s">
        <v>48</v>
      </c>
      <c r="C9" s="388" t="s">
        <v>49</v>
      </c>
      <c r="D9" s="26"/>
      <c r="E9" s="145" t="s">
        <v>42</v>
      </c>
      <c r="F9" s="145" t="s">
        <v>43</v>
      </c>
      <c r="G9" s="145" t="s">
        <v>44</v>
      </c>
      <c r="H9" s="145" t="s">
        <v>45</v>
      </c>
      <c r="I9" s="145" t="s">
        <v>46</v>
      </c>
      <c r="J9" s="145" t="s">
        <v>47</v>
      </c>
      <c r="K9" s="145" t="s">
        <v>173</v>
      </c>
      <c r="L9" s="51"/>
      <c r="M9" s="386" t="s">
        <v>34</v>
      </c>
      <c r="N9" s="6"/>
      <c r="O9" s="5"/>
      <c r="Q9" s="3"/>
      <c r="R9" s="3"/>
      <c r="S9" s="3"/>
      <c r="T9" s="3"/>
      <c r="U9" s="3"/>
      <c r="V9" s="3"/>
      <c r="W9" s="3"/>
    </row>
    <row r="10" spans="2:23" s="2" customFormat="1" ht="24" customHeight="1" x14ac:dyDescent="0.25">
      <c r="B10" s="391"/>
      <c r="C10" s="391"/>
      <c r="D10" s="26"/>
      <c r="E10" s="145" t="s">
        <v>119</v>
      </c>
      <c r="F10" s="145" t="s">
        <v>120</v>
      </c>
      <c r="G10" s="145" t="s">
        <v>121</v>
      </c>
      <c r="H10" s="145" t="s">
        <v>122</v>
      </c>
      <c r="I10" s="145" t="s">
        <v>123</v>
      </c>
      <c r="J10" s="145" t="s">
        <v>124</v>
      </c>
      <c r="K10" s="145" t="s">
        <v>169</v>
      </c>
      <c r="L10" s="51"/>
      <c r="M10" s="392"/>
      <c r="N10" s="3"/>
      <c r="Q10" s="3">
        <v>1</v>
      </c>
      <c r="R10" s="3">
        <v>2</v>
      </c>
      <c r="S10" s="3">
        <v>3</v>
      </c>
      <c r="T10" s="3">
        <v>4</v>
      </c>
      <c r="U10" s="3">
        <v>5</v>
      </c>
      <c r="V10" s="3">
        <v>6</v>
      </c>
      <c r="W10" s="3">
        <v>7</v>
      </c>
    </row>
    <row r="11" spans="2:23" s="2" customFormat="1" ht="17.25" customHeight="1" x14ac:dyDescent="0.25">
      <c r="B11" s="32"/>
      <c r="C11" s="103" t="s">
        <v>32</v>
      </c>
      <c r="D11" s="33"/>
      <c r="E11" s="34"/>
      <c r="F11" s="34"/>
      <c r="G11" s="34"/>
      <c r="H11" s="34"/>
      <c r="I11" s="34"/>
      <c r="J11" s="34"/>
      <c r="K11" s="34"/>
      <c r="L11" s="52"/>
      <c r="M11" s="48">
        <f t="shared" ref="M11:M33" si="0">SUM(E11:K11)</f>
        <v>0</v>
      </c>
      <c r="N11" s="6"/>
      <c r="O11" s="35">
        <f t="shared" ref="O11:O43" si="1">+M11-N11</f>
        <v>0</v>
      </c>
      <c r="Q11" s="3"/>
      <c r="R11" s="3"/>
      <c r="S11" s="3"/>
      <c r="T11" s="3"/>
      <c r="U11" s="3"/>
      <c r="V11" s="3"/>
      <c r="W11" s="3"/>
    </row>
    <row r="12" spans="2:23" s="14" customFormat="1" ht="18" customHeight="1" x14ac:dyDescent="0.25">
      <c r="B12" s="129"/>
      <c r="C12" s="103" t="s">
        <v>20</v>
      </c>
      <c r="D12" s="104"/>
      <c r="E12" s="105">
        <f t="shared" ref="E12:K12" si="2">SUM(E13:E21)</f>
        <v>0</v>
      </c>
      <c r="F12" s="105">
        <f t="shared" si="2"/>
        <v>0</v>
      </c>
      <c r="G12" s="105">
        <f t="shared" si="2"/>
        <v>3572.7200000000003</v>
      </c>
      <c r="H12" s="105">
        <f t="shared" si="2"/>
        <v>13038.125</v>
      </c>
      <c r="I12" s="105">
        <f t="shared" ref="I12" si="3">SUM(I13:I21)</f>
        <v>38038.124999999993</v>
      </c>
      <c r="J12" s="105">
        <f t="shared" si="2"/>
        <v>177319.41999999998</v>
      </c>
      <c r="K12" s="105">
        <f t="shared" si="2"/>
        <v>0</v>
      </c>
      <c r="L12" s="106"/>
      <c r="M12" s="105">
        <f t="shared" si="0"/>
        <v>231968.38999999998</v>
      </c>
      <c r="N12" s="27">
        <v>231968.38999999996</v>
      </c>
      <c r="O12" s="35">
        <f t="shared" si="1"/>
        <v>0</v>
      </c>
      <c r="Q12" s="29"/>
      <c r="R12" s="29"/>
      <c r="S12" s="29"/>
      <c r="T12" s="29"/>
      <c r="U12" s="29"/>
      <c r="V12" s="29"/>
      <c r="W12" s="29"/>
    </row>
    <row r="13" spans="2:23" s="2" customFormat="1" ht="18" customHeight="1" x14ac:dyDescent="0.25">
      <c r="B13" s="44">
        <v>1</v>
      </c>
      <c r="C13" s="95" t="s">
        <v>100</v>
      </c>
      <c r="D13" s="92"/>
      <c r="E13" s="44">
        <v>0</v>
      </c>
      <c r="F13" s="44">
        <v>0</v>
      </c>
      <c r="G13" s="44">
        <v>478.05</v>
      </c>
      <c r="H13" s="44">
        <v>2556.5500000000002</v>
      </c>
      <c r="I13" s="44">
        <v>7556.55</v>
      </c>
      <c r="J13" s="44">
        <v>33516.92</v>
      </c>
      <c r="K13" s="44"/>
      <c r="L13" s="93"/>
      <c r="M13" s="44">
        <f t="shared" si="0"/>
        <v>44108.07</v>
      </c>
      <c r="N13" s="37">
        <v>44108.07</v>
      </c>
      <c r="O13" s="35">
        <f t="shared" si="1"/>
        <v>0</v>
      </c>
      <c r="Q13" s="3"/>
      <c r="R13" s="3"/>
      <c r="S13" s="3" t="s">
        <v>359</v>
      </c>
      <c r="T13" s="3" t="s">
        <v>360</v>
      </c>
      <c r="U13" s="3" t="s">
        <v>361</v>
      </c>
      <c r="V13" s="3" t="s">
        <v>362</v>
      </c>
      <c r="W13" s="3"/>
    </row>
    <row r="14" spans="2:23" s="2" customFormat="1" ht="18" customHeight="1" x14ac:dyDescent="0.25">
      <c r="B14" s="41">
        <v>2</v>
      </c>
      <c r="C14" s="91" t="s">
        <v>101</v>
      </c>
      <c r="D14" s="92"/>
      <c r="E14" s="41">
        <v>0</v>
      </c>
      <c r="F14" s="41">
        <v>0</v>
      </c>
      <c r="G14" s="41">
        <v>593.62</v>
      </c>
      <c r="H14" s="41">
        <v>1399.04</v>
      </c>
      <c r="I14" s="41">
        <v>5399.04</v>
      </c>
      <c r="J14" s="41">
        <v>31999.09</v>
      </c>
      <c r="K14" s="41"/>
      <c r="L14" s="93"/>
      <c r="M14" s="41">
        <f t="shared" si="0"/>
        <v>39390.79</v>
      </c>
      <c r="N14" s="37">
        <v>39390.789999999994</v>
      </c>
      <c r="O14" s="35">
        <f t="shared" si="1"/>
        <v>0</v>
      </c>
      <c r="Q14" s="3"/>
      <c r="R14" s="3"/>
      <c r="S14" s="3" t="s">
        <v>363</v>
      </c>
      <c r="T14" s="3" t="s">
        <v>364</v>
      </c>
      <c r="U14" s="3" t="s">
        <v>365</v>
      </c>
      <c r="V14" s="3" t="s">
        <v>366</v>
      </c>
      <c r="W14" s="3"/>
    </row>
    <row r="15" spans="2:23" s="2" customFormat="1" ht="18" customHeight="1" x14ac:dyDescent="0.25">
      <c r="B15" s="41">
        <v>3</v>
      </c>
      <c r="C15" s="91" t="s">
        <v>102</v>
      </c>
      <c r="D15" s="92"/>
      <c r="E15" s="41">
        <v>0</v>
      </c>
      <c r="F15" s="41">
        <v>0</v>
      </c>
      <c r="G15" s="41">
        <v>156.18</v>
      </c>
      <c r="H15" s="41">
        <v>3505.67</v>
      </c>
      <c r="I15" s="41">
        <v>11505.67</v>
      </c>
      <c r="J15" s="41">
        <v>49094.080000000002</v>
      </c>
      <c r="K15" s="41"/>
      <c r="L15" s="93"/>
      <c r="M15" s="41">
        <f t="shared" si="0"/>
        <v>64261.600000000006</v>
      </c>
      <c r="N15" s="37">
        <v>64261.599999999999</v>
      </c>
      <c r="O15" s="35">
        <f t="shared" si="1"/>
        <v>0</v>
      </c>
      <c r="Q15" s="3"/>
      <c r="R15" s="3"/>
      <c r="S15" s="3" t="s">
        <v>367</v>
      </c>
      <c r="T15" s="3" t="s">
        <v>368</v>
      </c>
      <c r="U15" s="3" t="s">
        <v>369</v>
      </c>
      <c r="V15" s="3" t="s">
        <v>370</v>
      </c>
      <c r="W15" s="3"/>
    </row>
    <row r="16" spans="2:23" s="2" customFormat="1" ht="18" customHeight="1" x14ac:dyDescent="0.25">
      <c r="B16" s="41">
        <v>4</v>
      </c>
      <c r="C16" s="91" t="s">
        <v>103</v>
      </c>
      <c r="D16" s="92"/>
      <c r="E16" s="41">
        <v>0</v>
      </c>
      <c r="F16" s="41">
        <v>0</v>
      </c>
      <c r="G16" s="41">
        <v>435.02</v>
      </c>
      <c r="H16" s="41">
        <v>1014.045</v>
      </c>
      <c r="I16" s="41">
        <v>5014.0450000000001</v>
      </c>
      <c r="J16" s="41">
        <v>28917.03</v>
      </c>
      <c r="K16" s="41"/>
      <c r="L16" s="93"/>
      <c r="M16" s="41">
        <f t="shared" si="0"/>
        <v>35380.14</v>
      </c>
      <c r="N16" s="37">
        <v>35380.14</v>
      </c>
      <c r="O16" s="35">
        <f t="shared" si="1"/>
        <v>0</v>
      </c>
      <c r="Q16" s="3"/>
      <c r="R16" s="3"/>
      <c r="S16" s="3" t="s">
        <v>371</v>
      </c>
      <c r="T16" s="3" t="s">
        <v>372</v>
      </c>
      <c r="U16" s="3" t="s">
        <v>373</v>
      </c>
      <c r="V16" s="3" t="s">
        <v>374</v>
      </c>
      <c r="W16" s="3"/>
    </row>
    <row r="17" spans="2:23" s="2" customFormat="1" ht="18" customHeight="1" x14ac:dyDescent="0.25">
      <c r="B17" s="41">
        <v>5</v>
      </c>
      <c r="C17" s="91" t="s">
        <v>104</v>
      </c>
      <c r="D17" s="92"/>
      <c r="E17" s="41">
        <v>0</v>
      </c>
      <c r="F17" s="41">
        <v>0</v>
      </c>
      <c r="G17" s="41">
        <v>525.27</v>
      </c>
      <c r="H17" s="41">
        <v>1260.95</v>
      </c>
      <c r="I17" s="41">
        <v>1260.95</v>
      </c>
      <c r="J17" s="41">
        <v>3950.27</v>
      </c>
      <c r="K17" s="41"/>
      <c r="L17" s="93"/>
      <c r="M17" s="41">
        <f t="shared" si="0"/>
        <v>6997.4400000000005</v>
      </c>
      <c r="N17" s="37">
        <v>6997.4400000000014</v>
      </c>
      <c r="O17" s="35">
        <f t="shared" si="1"/>
        <v>0</v>
      </c>
      <c r="Q17" s="3"/>
      <c r="R17" s="3"/>
      <c r="S17" s="3" t="s">
        <v>375</v>
      </c>
      <c r="T17" s="3" t="s">
        <v>376</v>
      </c>
      <c r="U17" s="3" t="s">
        <v>377</v>
      </c>
      <c r="V17" s="3" t="s">
        <v>378</v>
      </c>
      <c r="W17" s="3"/>
    </row>
    <row r="18" spans="2:23" s="2" customFormat="1" ht="18" customHeight="1" x14ac:dyDescent="0.25">
      <c r="B18" s="41">
        <v>6</v>
      </c>
      <c r="C18" s="91" t="s">
        <v>105</v>
      </c>
      <c r="D18" s="92"/>
      <c r="E18" s="41">
        <v>0</v>
      </c>
      <c r="F18" s="41">
        <v>0</v>
      </c>
      <c r="G18" s="41">
        <v>86.43</v>
      </c>
      <c r="H18" s="41">
        <v>1633.61</v>
      </c>
      <c r="I18" s="41">
        <v>4633.6099999999997</v>
      </c>
      <c r="J18" s="41">
        <v>20184.599999999999</v>
      </c>
      <c r="K18" s="41"/>
      <c r="L18" s="93"/>
      <c r="M18" s="41">
        <f t="shared" si="0"/>
        <v>26538.25</v>
      </c>
      <c r="N18" s="37">
        <v>26538.249999999996</v>
      </c>
      <c r="O18" s="35">
        <f t="shared" si="1"/>
        <v>0</v>
      </c>
      <c r="Q18" s="3"/>
      <c r="R18" s="3"/>
      <c r="S18" s="3" t="s">
        <v>379</v>
      </c>
      <c r="T18" s="3" t="s">
        <v>380</v>
      </c>
      <c r="U18" s="3" t="s">
        <v>381</v>
      </c>
      <c r="V18" s="3" t="s">
        <v>382</v>
      </c>
      <c r="W18" s="3"/>
    </row>
    <row r="19" spans="2:23" s="2" customFormat="1" ht="18" customHeight="1" x14ac:dyDescent="0.25">
      <c r="B19" s="41">
        <v>7</v>
      </c>
      <c r="C19" s="91" t="s">
        <v>106</v>
      </c>
      <c r="D19" s="92"/>
      <c r="E19" s="41">
        <v>0</v>
      </c>
      <c r="F19" s="41">
        <v>0</v>
      </c>
      <c r="G19" s="41">
        <v>605.13</v>
      </c>
      <c r="H19" s="41">
        <v>461.56</v>
      </c>
      <c r="I19" s="41">
        <v>461.56</v>
      </c>
      <c r="J19" s="41">
        <v>1113.18</v>
      </c>
      <c r="K19" s="41"/>
      <c r="L19" s="93"/>
      <c r="M19" s="41">
        <f t="shared" si="0"/>
        <v>2641.4300000000003</v>
      </c>
      <c r="N19" s="37">
        <v>2641.43</v>
      </c>
      <c r="O19" s="35">
        <f t="shared" si="1"/>
        <v>0</v>
      </c>
      <c r="Q19" s="3"/>
      <c r="R19" s="3"/>
      <c r="S19" s="3" t="s">
        <v>383</v>
      </c>
      <c r="T19" s="3" t="s">
        <v>384</v>
      </c>
      <c r="U19" s="3" t="s">
        <v>385</v>
      </c>
      <c r="V19" s="3" t="s">
        <v>386</v>
      </c>
      <c r="W19" s="3"/>
    </row>
    <row r="20" spans="2:23" s="2" customFormat="1" ht="18" customHeight="1" x14ac:dyDescent="0.25">
      <c r="B20" s="41">
        <v>8</v>
      </c>
      <c r="C20" s="91" t="s">
        <v>27</v>
      </c>
      <c r="D20" s="92"/>
      <c r="E20" s="41">
        <v>0</v>
      </c>
      <c r="F20" s="41">
        <v>0</v>
      </c>
      <c r="G20" s="41">
        <v>286.26</v>
      </c>
      <c r="H20" s="41">
        <v>928.39</v>
      </c>
      <c r="I20" s="41">
        <v>1928.39</v>
      </c>
      <c r="J20" s="41">
        <v>7878.89</v>
      </c>
      <c r="K20" s="41"/>
      <c r="L20" s="93"/>
      <c r="M20" s="41">
        <f t="shared" si="0"/>
        <v>11021.93</v>
      </c>
      <c r="N20" s="37">
        <v>11021.930000000002</v>
      </c>
      <c r="O20" s="35">
        <f t="shared" si="1"/>
        <v>0</v>
      </c>
      <c r="Q20" s="3"/>
      <c r="R20" s="3"/>
      <c r="S20" s="3" t="s">
        <v>387</v>
      </c>
      <c r="T20" s="3" t="s">
        <v>388</v>
      </c>
      <c r="U20" s="3" t="s">
        <v>389</v>
      </c>
      <c r="V20" s="3" t="s">
        <v>390</v>
      </c>
      <c r="W20" s="3"/>
    </row>
    <row r="21" spans="2:23" s="2" customFormat="1" ht="18" customHeight="1" x14ac:dyDescent="0.25">
      <c r="B21" s="41">
        <v>9</v>
      </c>
      <c r="C21" s="91" t="s">
        <v>107</v>
      </c>
      <c r="D21" s="92"/>
      <c r="E21" s="41">
        <v>0</v>
      </c>
      <c r="F21" s="41">
        <v>0</v>
      </c>
      <c r="G21" s="41">
        <v>406.76</v>
      </c>
      <c r="H21" s="41">
        <v>278.31</v>
      </c>
      <c r="I21" s="41">
        <v>278.31</v>
      </c>
      <c r="J21" s="41">
        <v>665.36</v>
      </c>
      <c r="K21" s="41"/>
      <c r="L21" s="93"/>
      <c r="M21" s="41">
        <f t="shared" si="0"/>
        <v>1628.7399999999998</v>
      </c>
      <c r="N21" s="37">
        <v>1628.7400000000002</v>
      </c>
      <c r="O21" s="35">
        <f t="shared" si="1"/>
        <v>0</v>
      </c>
      <c r="Q21" s="3"/>
      <c r="R21" s="3"/>
      <c r="S21" s="3" t="s">
        <v>391</v>
      </c>
      <c r="T21" s="3" t="s">
        <v>392</v>
      </c>
      <c r="U21" s="3" t="s">
        <v>393</v>
      </c>
      <c r="V21" s="3" t="s">
        <v>394</v>
      </c>
      <c r="W21" s="3"/>
    </row>
    <row r="22" spans="2:23" s="2" customFormat="1" ht="18" customHeight="1" x14ac:dyDescent="0.25">
      <c r="B22" s="129"/>
      <c r="C22" s="103" t="s">
        <v>13</v>
      </c>
      <c r="D22" s="104"/>
      <c r="E22" s="105">
        <f t="shared" ref="E22:K22" si="4">SUM(E23:E31)</f>
        <v>0</v>
      </c>
      <c r="F22" s="105">
        <f t="shared" si="4"/>
        <v>0</v>
      </c>
      <c r="G22" s="105">
        <f t="shared" si="4"/>
        <v>0</v>
      </c>
      <c r="H22" s="105">
        <f t="shared" si="4"/>
        <v>1051.4599999999998</v>
      </c>
      <c r="I22" s="105">
        <f t="shared" ref="I22" si="5">SUM(I23:I31)</f>
        <v>1051.4599999999998</v>
      </c>
      <c r="J22" s="105">
        <f t="shared" si="4"/>
        <v>4454.22</v>
      </c>
      <c r="K22" s="105">
        <f t="shared" si="4"/>
        <v>0</v>
      </c>
      <c r="L22" s="106"/>
      <c r="M22" s="105">
        <f t="shared" si="0"/>
        <v>6557.1399999999994</v>
      </c>
      <c r="N22" s="6">
        <v>6557.1399999999994</v>
      </c>
      <c r="O22" s="35">
        <f t="shared" si="1"/>
        <v>0</v>
      </c>
      <c r="Q22" s="3"/>
      <c r="R22" s="3"/>
      <c r="S22" s="3"/>
      <c r="T22" s="3"/>
      <c r="U22" s="3"/>
      <c r="V22" s="3"/>
      <c r="W22" s="3"/>
    </row>
    <row r="23" spans="2:23" s="38" customFormat="1" ht="18" customHeight="1" x14ac:dyDescent="0.25">
      <c r="B23" s="44">
        <v>1</v>
      </c>
      <c r="C23" s="95" t="s">
        <v>100</v>
      </c>
      <c r="D23" s="92"/>
      <c r="E23" s="41">
        <v>0</v>
      </c>
      <c r="F23" s="41">
        <v>0</v>
      </c>
      <c r="G23" s="41">
        <v>0</v>
      </c>
      <c r="H23" s="41">
        <v>156.53</v>
      </c>
      <c r="I23" s="41">
        <v>156.53</v>
      </c>
      <c r="J23" s="41">
        <v>627.11</v>
      </c>
      <c r="K23" s="41">
        <v>0</v>
      </c>
      <c r="L23" s="93"/>
      <c r="M23" s="41">
        <f t="shared" si="0"/>
        <v>940.17000000000007</v>
      </c>
      <c r="N23" s="37">
        <v>940.17000000000007</v>
      </c>
      <c r="O23" s="35">
        <f t="shared" si="1"/>
        <v>0</v>
      </c>
      <c r="Q23" s="400"/>
      <c r="R23" s="400"/>
      <c r="S23" s="400"/>
      <c r="T23" s="400"/>
      <c r="U23" s="400" t="s">
        <v>395</v>
      </c>
      <c r="V23" s="400" t="s">
        <v>174</v>
      </c>
      <c r="W23" s="400"/>
    </row>
    <row r="24" spans="2:23" s="38" customFormat="1" ht="18" customHeight="1" x14ac:dyDescent="0.25">
      <c r="B24" s="41">
        <v>2</v>
      </c>
      <c r="C24" s="91" t="s">
        <v>101</v>
      </c>
      <c r="D24" s="92"/>
      <c r="E24" s="41">
        <v>0</v>
      </c>
      <c r="F24" s="41">
        <v>0</v>
      </c>
      <c r="G24" s="41">
        <v>0</v>
      </c>
      <c r="H24" s="41">
        <v>55.29</v>
      </c>
      <c r="I24" s="41">
        <v>55.29</v>
      </c>
      <c r="J24" s="41">
        <v>253.5</v>
      </c>
      <c r="K24" s="41">
        <v>0</v>
      </c>
      <c r="L24" s="93"/>
      <c r="M24" s="41">
        <f t="shared" si="0"/>
        <v>364.08</v>
      </c>
      <c r="N24" s="37">
        <v>364.08000000000004</v>
      </c>
      <c r="O24" s="35">
        <f t="shared" si="1"/>
        <v>0</v>
      </c>
      <c r="Q24" s="400"/>
      <c r="R24" s="400"/>
      <c r="S24" s="400"/>
      <c r="T24" s="400"/>
      <c r="U24" s="400" t="s">
        <v>396</v>
      </c>
      <c r="V24" s="400" t="s">
        <v>397</v>
      </c>
      <c r="W24" s="400"/>
    </row>
    <row r="25" spans="2:23" s="38" customFormat="1" ht="18" customHeight="1" x14ac:dyDescent="0.25">
      <c r="B25" s="41">
        <v>3</v>
      </c>
      <c r="C25" s="91" t="s">
        <v>102</v>
      </c>
      <c r="D25" s="92"/>
      <c r="E25" s="41">
        <v>0</v>
      </c>
      <c r="F25" s="41">
        <v>0</v>
      </c>
      <c r="G25" s="41">
        <v>0</v>
      </c>
      <c r="H25" s="41">
        <v>156.10499999999999</v>
      </c>
      <c r="I25" s="41">
        <v>156.10499999999999</v>
      </c>
      <c r="J25" s="41">
        <v>599.1</v>
      </c>
      <c r="K25" s="41">
        <v>0</v>
      </c>
      <c r="L25" s="93"/>
      <c r="M25" s="41">
        <f t="shared" si="0"/>
        <v>911.31</v>
      </c>
      <c r="N25" s="37">
        <v>911.31000000000006</v>
      </c>
      <c r="O25" s="35">
        <f t="shared" si="1"/>
        <v>0</v>
      </c>
      <c r="Q25" s="400"/>
      <c r="R25" s="400"/>
      <c r="S25" s="400"/>
      <c r="T25" s="400"/>
      <c r="U25" s="400" t="s">
        <v>398</v>
      </c>
      <c r="V25" s="400" t="s">
        <v>399</v>
      </c>
      <c r="W25" s="400"/>
    </row>
    <row r="26" spans="2:23" s="38" customFormat="1" ht="18" customHeight="1" x14ac:dyDescent="0.25">
      <c r="B26" s="41">
        <v>4</v>
      </c>
      <c r="C26" s="91" t="s">
        <v>103</v>
      </c>
      <c r="D26" s="92"/>
      <c r="E26" s="41">
        <v>0</v>
      </c>
      <c r="F26" s="41">
        <v>0</v>
      </c>
      <c r="G26" s="41">
        <v>0</v>
      </c>
      <c r="H26" s="41">
        <v>103.96</v>
      </c>
      <c r="I26" s="41">
        <v>103.96</v>
      </c>
      <c r="J26" s="41">
        <v>330.06</v>
      </c>
      <c r="K26" s="41">
        <v>0</v>
      </c>
      <c r="L26" s="93"/>
      <c r="M26" s="41">
        <f t="shared" si="0"/>
        <v>537.98</v>
      </c>
      <c r="N26" s="37">
        <v>537.98</v>
      </c>
      <c r="O26" s="35">
        <f t="shared" si="1"/>
        <v>0</v>
      </c>
      <c r="Q26" s="400"/>
      <c r="R26" s="400"/>
      <c r="S26" s="400"/>
      <c r="T26" s="400"/>
      <c r="U26" s="400" t="s">
        <v>400</v>
      </c>
      <c r="V26" s="400" t="s">
        <v>401</v>
      </c>
      <c r="W26" s="400"/>
    </row>
    <row r="27" spans="2:23" s="38" customFormat="1" ht="18" customHeight="1" x14ac:dyDescent="0.25">
      <c r="B27" s="41">
        <v>5</v>
      </c>
      <c r="C27" s="91" t="s">
        <v>104</v>
      </c>
      <c r="D27" s="92"/>
      <c r="E27" s="41">
        <v>0</v>
      </c>
      <c r="F27" s="41">
        <v>0</v>
      </c>
      <c r="G27" s="41">
        <v>0</v>
      </c>
      <c r="H27" s="41">
        <v>19.59</v>
      </c>
      <c r="I27" s="41">
        <v>19.59</v>
      </c>
      <c r="J27" s="41">
        <v>62.2</v>
      </c>
      <c r="K27" s="41">
        <v>0</v>
      </c>
      <c r="L27" s="93"/>
      <c r="M27" s="41">
        <f t="shared" si="0"/>
        <v>101.38</v>
      </c>
      <c r="N27" s="37">
        <v>101.38</v>
      </c>
      <c r="O27" s="35">
        <f t="shared" si="1"/>
        <v>0</v>
      </c>
      <c r="Q27" s="400"/>
      <c r="R27" s="400"/>
      <c r="S27" s="400"/>
      <c r="T27" s="400"/>
      <c r="U27" s="400" t="s">
        <v>402</v>
      </c>
      <c r="V27" s="400" t="s">
        <v>403</v>
      </c>
      <c r="W27" s="400"/>
    </row>
    <row r="28" spans="2:23" s="38" customFormat="1" ht="18" customHeight="1" x14ac:dyDescent="0.25">
      <c r="B28" s="41">
        <v>6</v>
      </c>
      <c r="C28" s="91" t="s">
        <v>105</v>
      </c>
      <c r="D28" s="92"/>
      <c r="E28" s="41">
        <v>0</v>
      </c>
      <c r="F28" s="41">
        <v>0</v>
      </c>
      <c r="G28" s="41">
        <v>0</v>
      </c>
      <c r="H28" s="41">
        <v>126.505</v>
      </c>
      <c r="I28" s="41">
        <v>126.505</v>
      </c>
      <c r="J28" s="41">
        <v>507.71</v>
      </c>
      <c r="K28" s="41">
        <v>0</v>
      </c>
      <c r="L28" s="93"/>
      <c r="M28" s="41">
        <f t="shared" si="0"/>
        <v>760.72</v>
      </c>
      <c r="N28" s="37">
        <v>760.72</v>
      </c>
      <c r="O28" s="35">
        <f t="shared" si="1"/>
        <v>0</v>
      </c>
      <c r="Q28" s="400"/>
      <c r="R28" s="400"/>
      <c r="S28" s="400"/>
      <c r="T28" s="400"/>
      <c r="U28" s="400" t="s">
        <v>404</v>
      </c>
      <c r="V28" s="400" t="s">
        <v>405</v>
      </c>
      <c r="W28" s="400"/>
    </row>
    <row r="29" spans="2:23" s="38" customFormat="1" ht="18" customHeight="1" x14ac:dyDescent="0.25">
      <c r="B29" s="41">
        <v>7</v>
      </c>
      <c r="C29" s="91" t="s">
        <v>106</v>
      </c>
      <c r="D29" s="92"/>
      <c r="E29" s="41">
        <v>0</v>
      </c>
      <c r="F29" s="41">
        <v>0</v>
      </c>
      <c r="G29" s="41">
        <v>0</v>
      </c>
      <c r="H29" s="41">
        <v>48.05</v>
      </c>
      <c r="I29" s="41">
        <v>48.05</v>
      </c>
      <c r="J29" s="41">
        <v>152.54</v>
      </c>
      <c r="K29" s="41">
        <v>0</v>
      </c>
      <c r="L29" s="93"/>
      <c r="M29" s="41">
        <f t="shared" si="0"/>
        <v>248.64</v>
      </c>
      <c r="N29" s="37">
        <v>248.64</v>
      </c>
      <c r="O29" s="35">
        <f t="shared" si="1"/>
        <v>0</v>
      </c>
      <c r="Q29" s="400"/>
      <c r="R29" s="400"/>
      <c r="S29" s="400"/>
      <c r="T29" s="400"/>
      <c r="U29" s="400" t="s">
        <v>406</v>
      </c>
      <c r="V29" s="400" t="s">
        <v>407</v>
      </c>
      <c r="W29" s="400"/>
    </row>
    <row r="30" spans="2:23" s="38" customFormat="1" ht="18" customHeight="1" x14ac:dyDescent="0.25">
      <c r="B30" s="41">
        <v>8</v>
      </c>
      <c r="C30" s="91" t="s">
        <v>27</v>
      </c>
      <c r="D30" s="92"/>
      <c r="E30" s="41">
        <v>0</v>
      </c>
      <c r="F30" s="41">
        <v>0</v>
      </c>
      <c r="G30" s="41">
        <v>0</v>
      </c>
      <c r="H30" s="41">
        <v>379.065</v>
      </c>
      <c r="I30" s="41">
        <v>379.065</v>
      </c>
      <c r="J30" s="41">
        <v>1900.32</v>
      </c>
      <c r="K30" s="41">
        <v>0</v>
      </c>
      <c r="L30" s="93"/>
      <c r="M30" s="41">
        <f t="shared" si="0"/>
        <v>2658.45</v>
      </c>
      <c r="N30" s="37">
        <v>2658.45</v>
      </c>
      <c r="O30" s="35">
        <f t="shared" si="1"/>
        <v>0</v>
      </c>
      <c r="Q30" s="400"/>
      <c r="R30" s="400"/>
      <c r="S30" s="400"/>
      <c r="T30" s="400"/>
      <c r="U30" s="400" t="s">
        <v>408</v>
      </c>
      <c r="V30" s="400" t="s">
        <v>409</v>
      </c>
      <c r="W30" s="400"/>
    </row>
    <row r="31" spans="2:23" s="38" customFormat="1" ht="18" customHeight="1" x14ac:dyDescent="0.25">
      <c r="B31" s="41">
        <v>9</v>
      </c>
      <c r="C31" s="91" t="s">
        <v>107</v>
      </c>
      <c r="D31" s="92"/>
      <c r="E31" s="41">
        <v>0</v>
      </c>
      <c r="F31" s="41">
        <v>0</v>
      </c>
      <c r="G31" s="41">
        <v>0</v>
      </c>
      <c r="H31" s="41">
        <v>6.3650000000000002</v>
      </c>
      <c r="I31" s="41">
        <v>6.3650000000000002</v>
      </c>
      <c r="J31" s="41">
        <v>21.68</v>
      </c>
      <c r="K31" s="41">
        <v>0</v>
      </c>
      <c r="L31" s="93"/>
      <c r="M31" s="41">
        <f t="shared" si="0"/>
        <v>34.409999999999997</v>
      </c>
      <c r="N31" s="37">
        <v>34.409999999999997</v>
      </c>
      <c r="O31" s="35">
        <f t="shared" si="1"/>
        <v>0</v>
      </c>
      <c r="Q31" s="400"/>
      <c r="R31" s="400"/>
      <c r="S31" s="400"/>
      <c r="T31" s="400"/>
      <c r="U31" s="400" t="s">
        <v>410</v>
      </c>
      <c r="V31" s="400" t="s">
        <v>411</v>
      </c>
      <c r="W31" s="400"/>
    </row>
    <row r="32" spans="2:23" s="2" customFormat="1" ht="18" customHeight="1" x14ac:dyDescent="0.25">
      <c r="B32" s="129"/>
      <c r="C32" s="103" t="s">
        <v>113</v>
      </c>
      <c r="D32" s="104"/>
      <c r="E32" s="105">
        <f>SUM(E33:E38)</f>
        <v>0</v>
      </c>
      <c r="F32" s="105">
        <f t="shared" ref="F32:K32" si="6">SUM(F33:F38)</f>
        <v>0</v>
      </c>
      <c r="G32" s="105">
        <f t="shared" si="6"/>
        <v>0</v>
      </c>
      <c r="H32" s="105">
        <f t="shared" si="6"/>
        <v>0</v>
      </c>
      <c r="I32" s="105">
        <f t="shared" ref="I32" si="7">SUM(I33:I38)</f>
        <v>1489.12</v>
      </c>
      <c r="J32" s="105">
        <f t="shared" si="6"/>
        <v>14841.27</v>
      </c>
      <c r="K32" s="105">
        <f t="shared" si="6"/>
        <v>32908.39</v>
      </c>
      <c r="L32" s="106"/>
      <c r="M32" s="105">
        <f t="shared" si="0"/>
        <v>49238.78</v>
      </c>
      <c r="N32" s="6">
        <v>49238.780000000006</v>
      </c>
      <c r="O32" s="35">
        <f t="shared" si="1"/>
        <v>0</v>
      </c>
      <c r="Q32" s="3"/>
      <c r="R32" s="3"/>
      <c r="S32" s="3"/>
      <c r="T32" s="3"/>
      <c r="U32" s="3"/>
      <c r="V32" s="3"/>
      <c r="W32" s="3"/>
    </row>
    <row r="33" spans="2:23" s="2" customFormat="1" ht="18" customHeight="1" x14ac:dyDescent="0.25">
      <c r="B33" s="90">
        <v>1</v>
      </c>
      <c r="C33" s="91" t="s">
        <v>82</v>
      </c>
      <c r="D33" s="92"/>
      <c r="E33" s="41">
        <v>0</v>
      </c>
      <c r="F33" s="41">
        <v>0</v>
      </c>
      <c r="G33" s="41">
        <v>0</v>
      </c>
      <c r="H33" s="41"/>
      <c r="I33" s="41">
        <v>553.59</v>
      </c>
      <c r="J33" s="41">
        <v>6811.08</v>
      </c>
      <c r="K33" s="41">
        <v>0</v>
      </c>
      <c r="L33" s="93"/>
      <c r="M33" s="41">
        <f t="shared" si="0"/>
        <v>7364.67</v>
      </c>
      <c r="N33" s="37">
        <v>7364.67</v>
      </c>
      <c r="O33" s="35">
        <f t="shared" si="1"/>
        <v>0</v>
      </c>
      <c r="Q33" s="3"/>
      <c r="R33" s="3"/>
      <c r="S33" s="3"/>
      <c r="T33" s="3"/>
      <c r="U33" s="3" t="s">
        <v>412</v>
      </c>
      <c r="V33" s="3" t="s">
        <v>413</v>
      </c>
      <c r="W33" s="3"/>
    </row>
    <row r="34" spans="2:23" s="2" customFormat="1" ht="18" customHeight="1" x14ac:dyDescent="0.25">
      <c r="B34" s="90">
        <v>2</v>
      </c>
      <c r="C34" s="91" t="s">
        <v>108</v>
      </c>
      <c r="D34" s="92"/>
      <c r="E34" s="41">
        <v>0</v>
      </c>
      <c r="F34" s="41">
        <v>0</v>
      </c>
      <c r="G34" s="41">
        <v>0</v>
      </c>
      <c r="H34" s="41"/>
      <c r="I34" s="41">
        <v>585.41</v>
      </c>
      <c r="J34" s="41">
        <v>4912.88</v>
      </c>
      <c r="K34" s="41">
        <v>0</v>
      </c>
      <c r="L34" s="93"/>
      <c r="M34" s="41">
        <f t="shared" ref="M34:M37" si="8">SUM(E34:K34)</f>
        <v>5498.29</v>
      </c>
      <c r="N34" s="37">
        <v>5498.29</v>
      </c>
      <c r="O34" s="35">
        <f t="shared" si="1"/>
        <v>0</v>
      </c>
      <c r="Q34" s="3"/>
      <c r="R34" s="3"/>
      <c r="S34" s="3"/>
      <c r="T34" s="3"/>
      <c r="U34" s="3" t="s">
        <v>414</v>
      </c>
      <c r="V34" s="3" t="s">
        <v>415</v>
      </c>
      <c r="W34" s="3"/>
    </row>
    <row r="35" spans="2:23" s="2" customFormat="1" ht="18" customHeight="1" x14ac:dyDescent="0.25">
      <c r="B35" s="90">
        <v>3</v>
      </c>
      <c r="C35" s="91" t="s">
        <v>109</v>
      </c>
      <c r="D35" s="92"/>
      <c r="E35" s="41">
        <v>0</v>
      </c>
      <c r="F35" s="41">
        <v>0</v>
      </c>
      <c r="G35" s="41">
        <v>0</v>
      </c>
      <c r="H35" s="41">
        <v>0</v>
      </c>
      <c r="I35" s="41">
        <v>350.12</v>
      </c>
      <c r="J35" s="41">
        <v>980.1</v>
      </c>
      <c r="K35" s="41">
        <v>2442.3000000000002</v>
      </c>
      <c r="L35" s="93"/>
      <c r="M35" s="41">
        <f t="shared" si="8"/>
        <v>3772.5200000000004</v>
      </c>
      <c r="N35" s="37">
        <v>3772.52</v>
      </c>
      <c r="O35" s="35">
        <f t="shared" si="1"/>
        <v>0</v>
      </c>
      <c r="Q35" s="3"/>
      <c r="R35" s="3"/>
      <c r="S35" s="3"/>
      <c r="T35" s="3"/>
      <c r="U35" s="3" t="s">
        <v>416</v>
      </c>
      <c r="V35" s="3" t="s">
        <v>417</v>
      </c>
      <c r="W35" s="3" t="s">
        <v>418</v>
      </c>
    </row>
    <row r="36" spans="2:23" s="2" customFormat="1" ht="18" customHeight="1" x14ac:dyDescent="0.25">
      <c r="B36" s="90">
        <v>4</v>
      </c>
      <c r="C36" s="91" t="s">
        <v>110</v>
      </c>
      <c r="D36" s="92"/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1128.19</v>
      </c>
      <c r="K36" s="41">
        <v>9441.6</v>
      </c>
      <c r="L36" s="93"/>
      <c r="M36" s="41">
        <f t="shared" si="8"/>
        <v>10569.79</v>
      </c>
      <c r="N36" s="37">
        <v>10569.79</v>
      </c>
      <c r="O36" s="35">
        <f t="shared" si="1"/>
        <v>0</v>
      </c>
      <c r="Q36" s="3"/>
      <c r="R36" s="3"/>
      <c r="S36" s="3"/>
      <c r="T36" s="3"/>
      <c r="U36" s="3"/>
      <c r="V36" s="3" t="s">
        <v>419</v>
      </c>
      <c r="W36" s="3" t="s">
        <v>420</v>
      </c>
    </row>
    <row r="37" spans="2:23" s="2" customFormat="1" ht="18" customHeight="1" x14ac:dyDescent="0.25">
      <c r="B37" s="90">
        <v>5</v>
      </c>
      <c r="C37" s="91" t="s">
        <v>111</v>
      </c>
      <c r="D37" s="92"/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1009.02</v>
      </c>
      <c r="K37" s="41">
        <v>16861.45</v>
      </c>
      <c r="L37" s="93"/>
      <c r="M37" s="41">
        <f t="shared" si="8"/>
        <v>17870.47</v>
      </c>
      <c r="N37" s="37">
        <v>17870.47</v>
      </c>
      <c r="O37" s="35">
        <f t="shared" si="1"/>
        <v>0</v>
      </c>
      <c r="Q37" s="3"/>
      <c r="R37" s="3"/>
      <c r="S37" s="3"/>
      <c r="T37" s="3"/>
      <c r="U37" s="3"/>
      <c r="V37" s="3" t="s">
        <v>421</v>
      </c>
      <c r="W37" s="3" t="s">
        <v>422</v>
      </c>
    </row>
    <row r="38" spans="2:23" s="2" customFormat="1" ht="18" customHeight="1" x14ac:dyDescent="0.25">
      <c r="B38" s="96">
        <v>6</v>
      </c>
      <c r="C38" s="97" t="s">
        <v>112</v>
      </c>
      <c r="D38" s="92"/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4163.04</v>
      </c>
      <c r="L38" s="93"/>
      <c r="M38" s="47">
        <f>SUM(E38:K38)</f>
        <v>4163.04</v>
      </c>
      <c r="N38" s="37">
        <v>4163.04</v>
      </c>
      <c r="O38" s="35">
        <f t="shared" si="1"/>
        <v>0</v>
      </c>
      <c r="Q38" s="3"/>
      <c r="R38" s="3"/>
      <c r="S38" s="3"/>
      <c r="T38" s="3"/>
      <c r="U38" s="3"/>
      <c r="V38" s="3"/>
      <c r="W38" s="3" t="s">
        <v>423</v>
      </c>
    </row>
    <row r="39" spans="2:23" ht="7.5" customHeight="1" x14ac:dyDescent="0.25">
      <c r="E39" s="4"/>
      <c r="F39" s="4"/>
      <c r="G39" s="4"/>
      <c r="H39" s="4"/>
      <c r="I39" s="4"/>
      <c r="J39" s="4"/>
      <c r="K39" s="4"/>
      <c r="L39" s="56"/>
      <c r="M39" s="4"/>
      <c r="N39" s="4"/>
      <c r="O39" s="35">
        <f t="shared" si="1"/>
        <v>0</v>
      </c>
    </row>
    <row r="40" spans="2:23" s="2" customFormat="1" ht="21.75" customHeight="1" x14ac:dyDescent="0.25">
      <c r="B40" s="31"/>
      <c r="C40" s="13" t="s">
        <v>33</v>
      </c>
      <c r="D40" s="24"/>
      <c r="E40" s="11">
        <f>+E12+E22+E32</f>
        <v>0</v>
      </c>
      <c r="F40" s="11">
        <f t="shared" ref="F40:M40" si="9">+F12+F22+F32</f>
        <v>0</v>
      </c>
      <c r="G40" s="11">
        <f t="shared" si="9"/>
        <v>3572.7200000000003</v>
      </c>
      <c r="H40" s="11">
        <f t="shared" si="9"/>
        <v>14089.584999999999</v>
      </c>
      <c r="I40" s="11">
        <f t="shared" ref="I40" si="10">+I12+I22+I32</f>
        <v>40578.704999999994</v>
      </c>
      <c r="J40" s="11">
        <f t="shared" si="9"/>
        <v>196614.90999999997</v>
      </c>
      <c r="K40" s="11">
        <f t="shared" si="9"/>
        <v>32908.39</v>
      </c>
      <c r="L40" s="55"/>
      <c r="M40" s="11">
        <f t="shared" si="9"/>
        <v>287764.30999999994</v>
      </c>
      <c r="N40" s="17">
        <v>287764.31</v>
      </c>
      <c r="O40" s="35">
        <f t="shared" si="1"/>
        <v>0</v>
      </c>
      <c r="P40" s="5"/>
      <c r="Q40" s="3"/>
      <c r="R40" s="3"/>
      <c r="S40" s="3"/>
      <c r="T40" s="3"/>
      <c r="U40" s="3"/>
      <c r="V40" s="3"/>
      <c r="W40" s="3"/>
    </row>
    <row r="41" spans="2:23" s="2" customFormat="1" ht="21.75" customHeight="1" x14ac:dyDescent="0.25">
      <c r="B41" s="124">
        <v>0.1012</v>
      </c>
      <c r="C41" s="12" t="s">
        <v>35</v>
      </c>
      <c r="D41" s="25"/>
      <c r="E41" s="8">
        <f>ROUND($B$41*E40,2)</f>
        <v>0</v>
      </c>
      <c r="F41" s="8">
        <f t="shared" ref="F41:M41" si="11">ROUND($B$41*F40,2)</f>
        <v>0</v>
      </c>
      <c r="G41" s="8">
        <f t="shared" si="11"/>
        <v>361.56</v>
      </c>
      <c r="H41" s="8">
        <f t="shared" si="11"/>
        <v>1425.87</v>
      </c>
      <c r="I41" s="8">
        <f t="shared" ref="I41" si="12">ROUND($B$41*I40,2)</f>
        <v>4106.5600000000004</v>
      </c>
      <c r="J41" s="8">
        <f t="shared" si="11"/>
        <v>19897.43</v>
      </c>
      <c r="K41" s="8">
        <f t="shared" si="11"/>
        <v>3330.33</v>
      </c>
      <c r="L41" s="19"/>
      <c r="M41" s="8">
        <f t="shared" si="11"/>
        <v>29121.75</v>
      </c>
      <c r="N41" s="6">
        <v>29121.75</v>
      </c>
      <c r="O41" s="35">
        <f t="shared" si="1"/>
        <v>0</v>
      </c>
      <c r="P41" s="5"/>
      <c r="Q41" s="3"/>
      <c r="R41" s="3"/>
      <c r="S41" s="3"/>
      <c r="T41" s="3"/>
      <c r="U41" s="3"/>
      <c r="V41" s="3"/>
      <c r="W41" s="3"/>
    </row>
    <row r="42" spans="2:23" s="2" customFormat="1" ht="21.75" customHeight="1" x14ac:dyDescent="0.25">
      <c r="B42" s="124">
        <v>0.03</v>
      </c>
      <c r="C42" s="12" t="s">
        <v>36</v>
      </c>
      <c r="D42" s="25"/>
      <c r="E42" s="8">
        <f>ROUND($B$42*E40,2)</f>
        <v>0</v>
      </c>
      <c r="F42" s="8">
        <f t="shared" ref="F42:M42" si="13">ROUND($B$42*F40,2)</f>
        <v>0</v>
      </c>
      <c r="G42" s="8">
        <f t="shared" si="13"/>
        <v>107.18</v>
      </c>
      <c r="H42" s="8">
        <f t="shared" si="13"/>
        <v>422.69</v>
      </c>
      <c r="I42" s="8">
        <f t="shared" ref="I42" si="14">ROUND($B$42*I40,2)</f>
        <v>1217.3599999999999</v>
      </c>
      <c r="J42" s="8">
        <f t="shared" si="13"/>
        <v>5898.45</v>
      </c>
      <c r="K42" s="8">
        <f t="shared" si="13"/>
        <v>987.25</v>
      </c>
      <c r="L42" s="19"/>
      <c r="M42" s="8">
        <f t="shared" si="13"/>
        <v>8632.93</v>
      </c>
      <c r="N42" s="6">
        <v>8632.93</v>
      </c>
      <c r="O42" s="35">
        <f t="shared" si="1"/>
        <v>0</v>
      </c>
      <c r="P42" s="5"/>
      <c r="Q42" s="3"/>
      <c r="R42" s="3"/>
      <c r="S42" s="3"/>
      <c r="T42" s="3"/>
      <c r="U42" s="3"/>
      <c r="V42" s="3"/>
      <c r="W42" s="3"/>
    </row>
    <row r="43" spans="2:23" s="2" customFormat="1" ht="21.75" customHeight="1" x14ac:dyDescent="0.25">
      <c r="B43" s="130"/>
      <c r="C43" s="13" t="s">
        <v>37</v>
      </c>
      <c r="D43" s="24"/>
      <c r="E43" s="11">
        <f>SUM(E40:E42)</f>
        <v>0</v>
      </c>
      <c r="F43" s="11">
        <f>SUM(F40:F42)</f>
        <v>0</v>
      </c>
      <c r="G43" s="11">
        <f t="shared" ref="G43:K43" si="15">SUM(G40:G42)</f>
        <v>4041.46</v>
      </c>
      <c r="H43" s="11">
        <f t="shared" si="15"/>
        <v>15938.144999999999</v>
      </c>
      <c r="I43" s="11">
        <f t="shared" ref="I43" si="16">SUM(I40:I42)</f>
        <v>45902.624999999993</v>
      </c>
      <c r="J43" s="11">
        <f t="shared" si="15"/>
        <v>222410.78999999998</v>
      </c>
      <c r="K43" s="11">
        <f t="shared" si="15"/>
        <v>37225.97</v>
      </c>
      <c r="L43" s="55"/>
      <c r="M43" s="11">
        <f t="shared" ref="M43" si="17">SUM(M40:M42)</f>
        <v>325518.98999999993</v>
      </c>
      <c r="N43" s="6">
        <v>325518.99</v>
      </c>
      <c r="O43" s="35">
        <f t="shared" si="1"/>
        <v>0</v>
      </c>
      <c r="P43" s="5"/>
      <c r="Q43" s="3"/>
      <c r="R43" s="3"/>
      <c r="S43" s="3"/>
      <c r="T43" s="3"/>
      <c r="U43" s="3"/>
      <c r="V43" s="3"/>
      <c r="W43" s="3"/>
    </row>
    <row r="44" spans="2:23" s="2" customFormat="1" ht="21.75" customHeight="1" x14ac:dyDescent="0.25">
      <c r="B44" s="124">
        <v>0.18</v>
      </c>
      <c r="C44" s="12" t="s">
        <v>38</v>
      </c>
      <c r="D44" s="25"/>
      <c r="E44" s="8">
        <f>ROUND($B$44*E43,2)</f>
        <v>0</v>
      </c>
      <c r="F44" s="8">
        <f t="shared" ref="F44:M44" si="18">ROUND($B$44*F43,2)</f>
        <v>0</v>
      </c>
      <c r="G44" s="8">
        <f t="shared" si="18"/>
        <v>727.46</v>
      </c>
      <c r="H44" s="8">
        <f t="shared" si="18"/>
        <v>2868.87</v>
      </c>
      <c r="I44" s="8">
        <f t="shared" ref="I44" si="19">ROUND($B$44*I43,2)</f>
        <v>8262.4699999999993</v>
      </c>
      <c r="J44" s="8">
        <f t="shared" si="18"/>
        <v>40033.94</v>
      </c>
      <c r="K44" s="8">
        <f t="shared" si="18"/>
        <v>6700.67</v>
      </c>
      <c r="L44" s="19"/>
      <c r="M44" s="8">
        <f t="shared" si="18"/>
        <v>58593.42</v>
      </c>
      <c r="N44" s="6"/>
      <c r="O44" s="35"/>
      <c r="P44" s="5"/>
      <c r="Q44" s="3"/>
      <c r="R44" s="3"/>
      <c r="S44" s="3"/>
      <c r="T44" s="3"/>
      <c r="U44" s="3"/>
      <c r="V44" s="3"/>
      <c r="W44" s="3"/>
    </row>
    <row r="45" spans="2:23" s="2" customFormat="1" ht="21.75" customHeight="1" x14ac:dyDescent="0.25">
      <c r="B45" s="31"/>
      <c r="C45" s="13" t="s">
        <v>39</v>
      </c>
      <c r="D45" s="24"/>
      <c r="E45" s="11">
        <f t="shared" ref="E45:K45" si="20">+E44+E43</f>
        <v>0</v>
      </c>
      <c r="F45" s="11">
        <f t="shared" si="20"/>
        <v>0</v>
      </c>
      <c r="G45" s="11">
        <f t="shared" si="20"/>
        <v>4768.92</v>
      </c>
      <c r="H45" s="11">
        <f t="shared" si="20"/>
        <v>18807.014999999999</v>
      </c>
      <c r="I45" s="11">
        <f t="shared" ref="I45" si="21">+I44+I43</f>
        <v>54165.094999999994</v>
      </c>
      <c r="J45" s="11">
        <f>+J44+J43+0.01</f>
        <v>262444.74</v>
      </c>
      <c r="K45" s="11">
        <f t="shared" si="20"/>
        <v>43926.64</v>
      </c>
      <c r="L45" s="55"/>
      <c r="M45" s="11">
        <f t="shared" ref="M45" si="22">+M44+M43</f>
        <v>384112.40999999992</v>
      </c>
      <c r="N45" s="6"/>
      <c r="P45" s="5"/>
      <c r="Q45" s="3"/>
      <c r="R45" s="3"/>
      <c r="S45" s="3"/>
      <c r="T45" s="3"/>
      <c r="U45" s="3"/>
      <c r="V45" s="3"/>
      <c r="W45" s="3"/>
    </row>
    <row r="46" spans="2:23" s="2" customFormat="1" ht="6" customHeight="1" x14ac:dyDescent="0.25">
      <c r="B46" s="3"/>
      <c r="D46" s="22"/>
      <c r="E46" s="6"/>
      <c r="F46" s="6"/>
      <c r="G46" s="6"/>
      <c r="H46" s="6"/>
      <c r="I46" s="6"/>
      <c r="J46" s="6"/>
      <c r="K46" s="6"/>
      <c r="L46" s="51"/>
      <c r="M46" s="6"/>
      <c r="N46" s="6"/>
      <c r="P46" s="5">
        <f>SUM(E46:K46)</f>
        <v>0</v>
      </c>
      <c r="Q46" s="3"/>
      <c r="R46" s="3"/>
      <c r="S46" s="3"/>
      <c r="T46" s="3"/>
      <c r="U46" s="3"/>
      <c r="V46" s="3"/>
      <c r="W46" s="3"/>
    </row>
    <row r="47" spans="2:23" s="14" customFormat="1" ht="21.75" customHeight="1" x14ac:dyDescent="0.25">
      <c r="B47" s="419"/>
      <c r="C47" s="13" t="s">
        <v>40</v>
      </c>
      <c r="D47" s="24"/>
      <c r="E47" s="11">
        <f>+E45</f>
        <v>0</v>
      </c>
      <c r="F47" s="11">
        <f>+F45+E47</f>
        <v>0</v>
      </c>
      <c r="G47" s="11">
        <f t="shared" ref="G47:K47" si="23">+G45+F47</f>
        <v>4768.92</v>
      </c>
      <c r="H47" s="11">
        <f t="shared" ref="H47" si="24">+H45+G47</f>
        <v>23575.934999999998</v>
      </c>
      <c r="I47" s="11">
        <f t="shared" ref="I47" si="25">+I45+H47</f>
        <v>77741.03</v>
      </c>
      <c r="J47" s="11">
        <f t="shared" ref="J47" si="26">+J45+I47</f>
        <v>340185.77</v>
      </c>
      <c r="K47" s="11">
        <f t="shared" si="23"/>
        <v>384112.41000000003</v>
      </c>
      <c r="L47" s="418"/>
      <c r="M47" s="29"/>
      <c r="N47" s="29"/>
      <c r="Q47" s="29"/>
      <c r="R47" s="29"/>
      <c r="S47" s="29"/>
      <c r="T47" s="29"/>
      <c r="U47" s="29"/>
      <c r="V47" s="29"/>
      <c r="W47" s="29"/>
    </row>
    <row r="48" spans="2:23" s="2" customFormat="1" ht="21.75" customHeight="1" x14ac:dyDescent="0.25">
      <c r="B48" s="21"/>
      <c r="C48" s="13" t="s">
        <v>41</v>
      </c>
      <c r="D48" s="24"/>
      <c r="E48" s="20">
        <f t="shared" ref="E48:K48" si="27">+E47/$M$45</f>
        <v>0</v>
      </c>
      <c r="F48" s="20">
        <f t="shared" si="27"/>
        <v>0</v>
      </c>
      <c r="G48" s="20">
        <f t="shared" si="27"/>
        <v>1.2415428077421402E-2</v>
      </c>
      <c r="H48" s="20">
        <f t="shared" si="27"/>
        <v>6.1377696700817351E-2</v>
      </c>
      <c r="I48" s="20">
        <f t="shared" ref="I48" si="28">+I47/$M$45</f>
        <v>0.20239135205238493</v>
      </c>
      <c r="J48" s="20">
        <f t="shared" si="27"/>
        <v>0.88564118508954215</v>
      </c>
      <c r="K48" s="20">
        <f t="shared" si="27"/>
        <v>1.0000000000000002</v>
      </c>
      <c r="L48" s="49"/>
      <c r="M48" s="3"/>
      <c r="N48" s="3"/>
      <c r="Q48" s="3"/>
      <c r="R48" s="3"/>
      <c r="S48" s="3"/>
      <c r="T48" s="3"/>
      <c r="U48" s="3"/>
      <c r="V48" s="3"/>
      <c r="W48" s="3"/>
    </row>
  </sheetData>
  <mergeCells count="4">
    <mergeCell ref="B9:B10"/>
    <mergeCell ref="C9:C10"/>
    <mergeCell ref="M9:M10"/>
    <mergeCell ref="B1:M1"/>
  </mergeCells>
  <printOptions horizontalCentered="1"/>
  <pageMargins left="0.31496062992125984" right="0.31496062992125984" top="0.35433070866141736" bottom="0.15748031496062992" header="0.31496062992125984" footer="0.31496062992125984"/>
  <pageSetup paperSize="8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33"/>
  <sheetViews>
    <sheetView view="pageBreakPreview" topLeftCell="A9" zoomScale="110" zoomScaleNormal="110" zoomScaleSheetLayoutView="110" workbookViewId="0">
      <selection activeCell="G18" sqref="G18"/>
    </sheetView>
  </sheetViews>
  <sheetFormatPr baseColWidth="10" defaultRowHeight="15" x14ac:dyDescent="0.25"/>
  <cols>
    <col min="2" max="7" width="17.28515625" customWidth="1"/>
    <col min="8" max="8" width="0.85546875" style="23" customWidth="1"/>
    <col min="9" max="9" width="17.85546875" customWidth="1"/>
    <col min="10" max="10" width="18" customWidth="1"/>
    <col min="11" max="11" width="13.5703125" bestFit="1" customWidth="1"/>
    <col min="15" max="15" width="13" customWidth="1"/>
  </cols>
  <sheetData>
    <row r="1" spans="2:20" s="2" customFormat="1" ht="29.25" customHeight="1" x14ac:dyDescent="0.25">
      <c r="B1" s="378" t="s">
        <v>50</v>
      </c>
      <c r="C1" s="378"/>
      <c r="D1" s="378"/>
      <c r="E1" s="378"/>
      <c r="F1" s="378"/>
      <c r="G1" s="378"/>
      <c r="H1" s="378"/>
      <c r="I1" s="378"/>
    </row>
    <row r="2" spans="2:20" s="2" customFormat="1" ht="17.25" customHeight="1" x14ac:dyDescent="0.25">
      <c r="H2" s="22"/>
    </row>
    <row r="3" spans="2:20" s="2" customFormat="1" ht="39.75" customHeight="1" x14ac:dyDescent="0.25">
      <c r="B3" s="79" t="s">
        <v>51</v>
      </c>
      <c r="C3" s="393" t="str">
        <f>+LP!C3</f>
        <v>: “AMPLIACIÓN DEL SERVICIO DE ENERGÍA ELÉCTRICA EN LA PROVINCIA DEL SANTA Y EN EL DISTRITO DE PAMPAROMAS – DEPARTAMENTO DE ANCASH”</v>
      </c>
      <c r="D3" s="393"/>
      <c r="E3" s="393"/>
      <c r="F3" s="393"/>
      <c r="G3" s="393"/>
      <c r="H3" s="393"/>
      <c r="I3" s="393"/>
      <c r="J3" s="3"/>
      <c r="K3" s="3"/>
      <c r="L3" s="3"/>
      <c r="M3" s="3"/>
      <c r="N3" s="3"/>
      <c r="O3" s="3"/>
      <c r="P3" s="3"/>
      <c r="Q3" s="3"/>
      <c r="R3" s="3"/>
      <c r="S3" s="71"/>
      <c r="T3" s="3"/>
    </row>
    <row r="4" spans="2:20" s="78" customFormat="1" ht="21" customHeight="1" x14ac:dyDescent="0.25">
      <c r="B4" s="79" t="s">
        <v>55</v>
      </c>
      <c r="C4" s="80" t="s">
        <v>62</v>
      </c>
      <c r="D4" s="80"/>
      <c r="E4" s="80"/>
      <c r="F4" s="80"/>
      <c r="G4" s="80"/>
      <c r="H4" s="82"/>
      <c r="I4" s="80"/>
      <c r="J4" s="14"/>
      <c r="K4" s="14"/>
      <c r="L4" s="14"/>
      <c r="M4" s="29"/>
      <c r="N4" s="29"/>
      <c r="O4" s="29"/>
      <c r="P4" s="29"/>
      <c r="Q4" s="29"/>
      <c r="R4" s="29"/>
      <c r="S4" s="72"/>
      <c r="T4" s="29"/>
    </row>
    <row r="5" spans="2:20" s="2" customFormat="1" ht="21" customHeight="1" x14ac:dyDescent="0.25">
      <c r="B5" s="79" t="s">
        <v>52</v>
      </c>
      <c r="C5" s="80" t="str">
        <f>+LP!C5</f>
        <v>: CONSORCIO PACIFICO</v>
      </c>
      <c r="D5" s="80"/>
      <c r="E5" s="80"/>
      <c r="F5" s="80"/>
      <c r="G5" s="80"/>
      <c r="H5" s="82"/>
      <c r="I5" s="80"/>
      <c r="J5" s="14"/>
      <c r="K5" s="14"/>
      <c r="L5" s="14"/>
      <c r="M5" s="29"/>
      <c r="N5" s="29"/>
      <c r="O5" s="29"/>
      <c r="P5" s="29"/>
      <c r="Q5" s="29"/>
      <c r="R5" s="29"/>
      <c r="S5" s="72"/>
      <c r="T5" s="29"/>
    </row>
    <row r="6" spans="2:20" s="78" customFormat="1" ht="21" customHeight="1" x14ac:dyDescent="0.25">
      <c r="B6" s="79" t="s">
        <v>53</v>
      </c>
      <c r="C6" s="80" t="str">
        <f>+LP!C6</f>
        <v>: 210 DIAS CALENDARIOS</v>
      </c>
      <c r="D6" s="80"/>
      <c r="E6" s="80"/>
      <c r="F6" s="80"/>
      <c r="G6" s="80"/>
      <c r="H6" s="82"/>
      <c r="I6" s="80"/>
      <c r="J6" s="14"/>
      <c r="K6" s="14"/>
      <c r="L6" s="14"/>
      <c r="M6" s="29"/>
      <c r="N6" s="29"/>
      <c r="O6" s="29"/>
      <c r="P6" s="29"/>
      <c r="Q6" s="29"/>
      <c r="R6" s="29"/>
      <c r="S6" s="72"/>
      <c r="T6" s="29"/>
    </row>
    <row r="7" spans="2:20" s="2" customFormat="1" ht="21" customHeight="1" x14ac:dyDescent="0.25">
      <c r="B7" s="79" t="s">
        <v>54</v>
      </c>
      <c r="C7" s="80" t="s">
        <v>426</v>
      </c>
      <c r="D7" s="80"/>
      <c r="E7" s="80"/>
      <c r="F7" s="80"/>
      <c r="G7" s="80"/>
      <c r="H7" s="82"/>
      <c r="I7" s="80"/>
      <c r="J7" s="14"/>
      <c r="K7" s="28"/>
      <c r="L7" s="14"/>
      <c r="M7" s="29"/>
      <c r="N7" s="29"/>
      <c r="O7" s="29"/>
      <c r="P7" s="29"/>
      <c r="Q7" s="29"/>
      <c r="R7" s="29"/>
      <c r="S7" s="72"/>
      <c r="T7" s="29"/>
    </row>
    <row r="8" spans="2:20" s="73" customFormat="1" ht="17.25" customHeight="1" thickBot="1" x14ac:dyDescent="0.25">
      <c r="B8" s="64"/>
      <c r="C8" s="65"/>
      <c r="D8" s="65"/>
      <c r="E8" s="65"/>
      <c r="F8" s="65"/>
      <c r="G8" s="65"/>
      <c r="H8" s="77"/>
      <c r="I8" s="65"/>
      <c r="J8" s="14"/>
      <c r="K8" s="28"/>
      <c r="L8" s="14"/>
      <c r="M8" s="29"/>
      <c r="N8" s="29"/>
      <c r="O8" s="29"/>
      <c r="P8" s="29"/>
      <c r="Q8" s="29"/>
      <c r="R8" s="29"/>
      <c r="S8" s="72"/>
      <c r="T8" s="29"/>
    </row>
    <row r="9" spans="2:20" s="73" customFormat="1" ht="33.75" customHeight="1" thickBot="1" x14ac:dyDescent="0.3">
      <c r="B9" s="151" t="s">
        <v>60</v>
      </c>
      <c r="C9" s="152" t="s">
        <v>63</v>
      </c>
      <c r="D9" s="152" t="s">
        <v>64</v>
      </c>
      <c r="E9" s="153" t="s">
        <v>65</v>
      </c>
      <c r="F9" s="153" t="s">
        <v>66</v>
      </c>
      <c r="G9" s="154" t="s">
        <v>34</v>
      </c>
      <c r="H9" s="133"/>
      <c r="I9" s="154" t="s">
        <v>67</v>
      </c>
      <c r="J9" s="74"/>
      <c r="K9" s="81"/>
      <c r="L9"/>
      <c r="M9"/>
      <c r="N9"/>
      <c r="O9"/>
      <c r="P9"/>
      <c r="Q9"/>
      <c r="R9"/>
      <c r="S9"/>
      <c r="T9"/>
    </row>
    <row r="10" spans="2:20" s="73" customFormat="1" ht="24" customHeight="1" x14ac:dyDescent="0.25">
      <c r="B10" s="155" t="s">
        <v>119</v>
      </c>
      <c r="C10" s="134">
        <f t="array" ref="C10:C16">+TRANSPOSE(LP!E67:K67)</f>
        <v>12520.900000000003</v>
      </c>
      <c r="D10" s="134">
        <f t="array" ref="D10:D16">+TRANSPOSE(RP!E61:K61)</f>
        <v>4311.63</v>
      </c>
      <c r="E10" s="134">
        <f t="array" ref="E10:E16">+TRANSPOSE(RS!E54:K54)</f>
        <v>4526.67</v>
      </c>
      <c r="F10" s="134">
        <f t="array" ref="F10:F16">+TRANSPOSE(SFD!E45:K45)</f>
        <v>0</v>
      </c>
      <c r="G10" s="136">
        <f>SUM(C10:F10)</f>
        <v>21359.200000000004</v>
      </c>
      <c r="H10" s="133"/>
      <c r="I10" s="136">
        <f>+G10</f>
        <v>21359.200000000004</v>
      </c>
      <c r="J10" s="368">
        <v>31298.089999999997</v>
      </c>
      <c r="K10" s="81"/>
      <c r="L10"/>
      <c r="M10"/>
      <c r="N10"/>
      <c r="O10" s="81"/>
      <c r="P10" s="81"/>
      <c r="Q10"/>
      <c r="R10"/>
      <c r="S10"/>
      <c r="T10"/>
    </row>
    <row r="11" spans="2:20" s="73" customFormat="1" ht="24" customHeight="1" x14ac:dyDescent="0.25">
      <c r="B11" s="156" t="s">
        <v>120</v>
      </c>
      <c r="C11" s="135">
        <v>62364.252000000008</v>
      </c>
      <c r="D11" s="135">
        <v>14744.519999999999</v>
      </c>
      <c r="E11" s="135">
        <v>36707.14</v>
      </c>
      <c r="F11" s="135">
        <v>0</v>
      </c>
      <c r="G11" s="137">
        <f>SUM(C11:F11)-0.01</f>
        <v>113815.90200000002</v>
      </c>
      <c r="H11" s="138"/>
      <c r="I11" s="137">
        <f>+G11+I10</f>
        <v>135175.10200000001</v>
      </c>
      <c r="J11" s="368">
        <v>164212.54200000002</v>
      </c>
      <c r="K11"/>
      <c r="L11"/>
      <c r="M11"/>
      <c r="N11"/>
      <c r="O11" s="81"/>
      <c r="P11" s="81"/>
      <c r="Q11"/>
      <c r="R11"/>
      <c r="S11"/>
      <c r="T11"/>
    </row>
    <row r="12" spans="2:20" s="73" customFormat="1" ht="24" customHeight="1" x14ac:dyDescent="0.25">
      <c r="B12" s="156" t="s">
        <v>121</v>
      </c>
      <c r="C12" s="135">
        <v>201641.01799999998</v>
      </c>
      <c r="D12" s="135">
        <v>52674.900000000016</v>
      </c>
      <c r="E12" s="135">
        <v>109168.91</v>
      </c>
      <c r="F12" s="135">
        <v>4768.92</v>
      </c>
      <c r="G12" s="137">
        <f>SUM(C12:F12)</f>
        <v>368253.74799999996</v>
      </c>
      <c r="H12" s="138"/>
      <c r="I12" s="137">
        <f t="shared" ref="I12:I16" si="0">+G12+I11</f>
        <v>503428.85</v>
      </c>
      <c r="J12" s="81">
        <v>486134.848</v>
      </c>
      <c r="K12"/>
      <c r="L12"/>
      <c r="M12"/>
      <c r="N12"/>
      <c r="O12" s="81"/>
      <c r="P12" s="81"/>
      <c r="Q12"/>
      <c r="R12"/>
      <c r="S12"/>
      <c r="T12"/>
    </row>
    <row r="13" spans="2:20" s="73" customFormat="1" ht="24" customHeight="1" x14ac:dyDescent="0.25">
      <c r="B13" s="156" t="s">
        <v>122</v>
      </c>
      <c r="C13" s="135">
        <v>445833.12000000005</v>
      </c>
      <c r="D13" s="135">
        <v>125883.31999999996</v>
      </c>
      <c r="E13" s="135">
        <v>300095.66000000003</v>
      </c>
      <c r="F13" s="135">
        <v>18807.014999999999</v>
      </c>
      <c r="G13" s="137">
        <f>SUM(C13:F13)</f>
        <v>890619.11500000011</v>
      </c>
      <c r="H13" s="138"/>
      <c r="I13" s="137">
        <f t="shared" si="0"/>
        <v>1394047.9650000001</v>
      </c>
      <c r="K13"/>
      <c r="L13"/>
      <c r="M13"/>
      <c r="N13"/>
      <c r="O13" s="81"/>
      <c r="P13" s="81"/>
      <c r="Q13"/>
      <c r="R13"/>
      <c r="S13"/>
      <c r="T13"/>
    </row>
    <row r="14" spans="2:20" s="73" customFormat="1" ht="24" customHeight="1" x14ac:dyDescent="0.25">
      <c r="B14" s="156" t="s">
        <v>123</v>
      </c>
      <c r="C14" s="135">
        <v>545669.85</v>
      </c>
      <c r="D14" s="135">
        <v>190464.54</v>
      </c>
      <c r="E14" s="135">
        <v>159840.65000000002</v>
      </c>
      <c r="F14" s="135">
        <v>54165.094999999994</v>
      </c>
      <c r="G14" s="137">
        <f>SUM(C14:F14)</f>
        <v>950140.13500000001</v>
      </c>
      <c r="H14" s="138"/>
      <c r="I14" s="137">
        <f t="shared" si="0"/>
        <v>2344188.1</v>
      </c>
      <c r="J14" s="81">
        <v>1201276.3799999999</v>
      </c>
      <c r="K14"/>
      <c r="L14"/>
      <c r="M14"/>
      <c r="N14"/>
      <c r="O14" s="81"/>
      <c r="P14" s="81"/>
      <c r="Q14"/>
      <c r="R14"/>
      <c r="S14"/>
      <c r="T14"/>
    </row>
    <row r="15" spans="2:20" s="73" customFormat="1" ht="24" customHeight="1" x14ac:dyDescent="0.25">
      <c r="B15" s="156" t="s">
        <v>124</v>
      </c>
      <c r="C15" s="135">
        <v>114115.85</v>
      </c>
      <c r="D15" s="135">
        <v>14338.330000000002</v>
      </c>
      <c r="E15" s="135">
        <v>290266.96000000002</v>
      </c>
      <c r="F15" s="135">
        <v>262444.74</v>
      </c>
      <c r="G15" s="137">
        <f>SUM(C15:F15)</f>
        <v>681165.88</v>
      </c>
      <c r="H15" s="138"/>
      <c r="I15" s="137">
        <f t="shared" si="0"/>
        <v>3025353.98</v>
      </c>
      <c r="J15" s="81">
        <v>1120683.4400000002</v>
      </c>
      <c r="K15"/>
      <c r="L15"/>
      <c r="M15"/>
      <c r="N15"/>
      <c r="O15" s="81"/>
      <c r="P15" s="81"/>
      <c r="Q15"/>
      <c r="R15"/>
      <c r="S15"/>
      <c r="T15"/>
    </row>
    <row r="16" spans="2:20" s="73" customFormat="1" ht="24" customHeight="1" thickBot="1" x14ac:dyDescent="0.3">
      <c r="B16" s="408" t="s">
        <v>169</v>
      </c>
      <c r="C16" s="409">
        <v>347463.33</v>
      </c>
      <c r="D16" s="409">
        <v>34302.979999999996</v>
      </c>
      <c r="E16" s="409">
        <v>154099.76</v>
      </c>
      <c r="F16" s="409">
        <v>43926.64</v>
      </c>
      <c r="G16" s="410">
        <f>SUM(C16:F16)-0.01</f>
        <v>579792.70000000007</v>
      </c>
      <c r="H16" s="138"/>
      <c r="I16" s="416">
        <f t="shared" si="0"/>
        <v>3605146.68</v>
      </c>
      <c r="J16" s="81">
        <v>601541.38</v>
      </c>
      <c r="K16"/>
      <c r="L16"/>
      <c r="M16"/>
      <c r="N16"/>
      <c r="O16" s="81"/>
      <c r="P16" s="81"/>
      <c r="Q16"/>
      <c r="R16"/>
      <c r="S16"/>
      <c r="T16"/>
    </row>
    <row r="17" spans="2:20" s="73" customFormat="1" ht="8.25" customHeight="1" thickBot="1" x14ac:dyDescent="0.3">
      <c r="B17" s="411"/>
      <c r="C17" s="412"/>
      <c r="D17" s="412"/>
      <c r="E17" s="413"/>
      <c r="F17" s="413"/>
      <c r="G17" s="414"/>
      <c r="H17" s="415"/>
      <c r="I17" s="417"/>
      <c r="J17"/>
      <c r="K17"/>
      <c r="L17"/>
      <c r="M17"/>
      <c r="N17"/>
      <c r="O17"/>
      <c r="P17"/>
      <c r="Q17"/>
      <c r="R17"/>
      <c r="S17"/>
      <c r="T17"/>
    </row>
    <row r="18" spans="2:20" s="73" customFormat="1" ht="24" customHeight="1" thickBot="1" x14ac:dyDescent="0.3">
      <c r="B18" s="146" t="s">
        <v>34</v>
      </c>
      <c r="C18" s="147">
        <f>SUM(C10:C17)</f>
        <v>1729608.3200000003</v>
      </c>
      <c r="D18" s="147">
        <f>SUM(D10:D17)</f>
        <v>436720.22000000003</v>
      </c>
      <c r="E18" s="148">
        <f>SUM(E10:E17)</f>
        <v>1054705.75</v>
      </c>
      <c r="F18" s="148">
        <f>SUM(F10:F17)</f>
        <v>384112.41000000003</v>
      </c>
      <c r="G18" s="149">
        <f>SUM(C18:F18)-0.02</f>
        <v>3605146.6800000006</v>
      </c>
      <c r="H18" s="150"/>
      <c r="I18" s="149"/>
      <c r="J18" s="85"/>
      <c r="K18"/>
      <c r="L18"/>
      <c r="M18"/>
      <c r="N18"/>
      <c r="O18"/>
      <c r="P18"/>
      <c r="Q18"/>
      <c r="R18"/>
      <c r="S18"/>
      <c r="T18"/>
    </row>
    <row r="19" spans="2:20" s="73" customFormat="1" x14ac:dyDescent="0.25">
      <c r="B19" s="75"/>
      <c r="H19" s="83"/>
      <c r="J19"/>
      <c r="K19"/>
      <c r="L19"/>
      <c r="M19"/>
      <c r="N19"/>
      <c r="O19"/>
      <c r="P19"/>
      <c r="Q19"/>
      <c r="R19"/>
      <c r="S19"/>
      <c r="T19"/>
    </row>
    <row r="20" spans="2:20" s="73" customFormat="1" x14ac:dyDescent="0.25">
      <c r="B20" s="75"/>
      <c r="H20" s="83"/>
      <c r="J20"/>
      <c r="K20"/>
      <c r="L20"/>
      <c r="M20"/>
      <c r="N20"/>
      <c r="O20"/>
      <c r="P20"/>
      <c r="Q20"/>
      <c r="R20"/>
      <c r="S20"/>
      <c r="T20"/>
    </row>
    <row r="28" spans="2:20" s="73" customFormat="1" hidden="1" x14ac:dyDescent="0.25">
      <c r="B28"/>
      <c r="C28"/>
      <c r="G28"/>
      <c r="H28" s="23"/>
      <c r="I28"/>
      <c r="J28"/>
      <c r="K28"/>
      <c r="L28"/>
      <c r="M28"/>
      <c r="N28"/>
      <c r="O28"/>
      <c r="P28"/>
      <c r="Q28"/>
      <c r="R28"/>
      <c r="S28"/>
      <c r="T28"/>
    </row>
    <row r="29" spans="2:20" s="73" customFormat="1" hidden="1" x14ac:dyDescent="0.25">
      <c r="B29"/>
      <c r="C29"/>
      <c r="G29"/>
      <c r="H29" s="23"/>
      <c r="I29"/>
      <c r="J29"/>
      <c r="K29"/>
      <c r="L29"/>
      <c r="M29"/>
      <c r="N29"/>
      <c r="O29"/>
      <c r="P29"/>
      <c r="Q29"/>
      <c r="R29"/>
      <c r="S29"/>
      <c r="T29"/>
    </row>
    <row r="30" spans="2:20" s="73" customFormat="1" hidden="1" x14ac:dyDescent="0.25">
      <c r="B30"/>
      <c r="C30"/>
      <c r="G30"/>
      <c r="H30" s="23"/>
      <c r="I30"/>
      <c r="J30"/>
      <c r="K30"/>
      <c r="L30"/>
      <c r="M30"/>
      <c r="N30"/>
      <c r="O30"/>
      <c r="P30"/>
      <c r="Q30"/>
      <c r="R30"/>
      <c r="S30"/>
      <c r="T30"/>
    </row>
    <row r="31" spans="2:20" s="73" customFormat="1" hidden="1" x14ac:dyDescent="0.25">
      <c r="B31"/>
      <c r="C31"/>
      <c r="D31" s="76"/>
      <c r="E31" s="76"/>
      <c r="F31" s="76"/>
      <c r="G31"/>
      <c r="H31" s="23"/>
      <c r="I31"/>
      <c r="J31"/>
      <c r="K31"/>
      <c r="L31"/>
      <c r="M31"/>
      <c r="N31"/>
      <c r="O31"/>
      <c r="P31"/>
      <c r="Q31"/>
      <c r="R31"/>
      <c r="S31"/>
      <c r="T31"/>
    </row>
    <row r="32" spans="2:20" s="73" customFormat="1" ht="34.9" hidden="1" customHeight="1" x14ac:dyDescent="0.25">
      <c r="B32"/>
      <c r="C32"/>
      <c r="D32" s="379" t="s">
        <v>61</v>
      </c>
      <c r="E32" s="379"/>
      <c r="F32" s="379"/>
      <c r="G32"/>
      <c r="H32" s="23"/>
      <c r="I32"/>
      <c r="J32"/>
      <c r="K32"/>
      <c r="L32"/>
      <c r="M32"/>
      <c r="N32"/>
      <c r="O32"/>
      <c r="P32"/>
      <c r="Q32"/>
      <c r="R32"/>
      <c r="S32"/>
      <c r="T32"/>
    </row>
    <row r="33" spans="2:20" s="73" customFormat="1" x14ac:dyDescent="0.25">
      <c r="B33"/>
      <c r="C33"/>
      <c r="G33"/>
      <c r="H33" s="23"/>
      <c r="I33"/>
      <c r="J33"/>
      <c r="K33"/>
      <c r="L33"/>
      <c r="M33"/>
      <c r="N33"/>
      <c r="O33"/>
      <c r="P33"/>
      <c r="Q33"/>
      <c r="R33"/>
      <c r="S33"/>
      <c r="T33"/>
    </row>
  </sheetData>
  <mergeCells count="3">
    <mergeCell ref="B1:I1"/>
    <mergeCell ref="C3:I3"/>
    <mergeCell ref="D32:F32"/>
  </mergeCells>
  <printOptions horizontalCentered="1"/>
  <pageMargins left="0.11811023622047245" right="0.11811023622047245" top="0.94488188976377963" bottom="0.15748031496062992" header="0.31496062992125984" footer="0.31496062992125984"/>
  <pageSetup paperSize="9" scale="8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T67"/>
  <sheetViews>
    <sheetView topLeftCell="A8" zoomScale="70" zoomScaleNormal="70" workbookViewId="0">
      <selection activeCell="I26" sqref="I26"/>
    </sheetView>
  </sheetViews>
  <sheetFormatPr baseColWidth="10" defaultColWidth="11.42578125" defaultRowHeight="20.25" x14ac:dyDescent="0.25"/>
  <cols>
    <col min="1" max="1" width="1.5703125" style="240" customWidth="1"/>
    <col min="2" max="2" width="10" style="253" customWidth="1"/>
    <col min="3" max="3" width="6.5703125" style="253" customWidth="1"/>
    <col min="4" max="4" width="10.42578125" style="253" customWidth="1"/>
    <col min="5" max="5" width="3" style="253" customWidth="1"/>
    <col min="6" max="6" width="43.7109375" style="253" customWidth="1"/>
    <col min="7" max="7" width="24.85546875" style="253" customWidth="1"/>
    <col min="8" max="8" width="19.28515625" style="254" customWidth="1"/>
    <col min="9" max="9" width="20.28515625" style="254" customWidth="1"/>
    <col min="10" max="10" width="21.7109375" style="254" customWidth="1"/>
    <col min="11" max="11" width="22.140625" style="254" customWidth="1"/>
    <col min="12" max="13" width="22" style="254" customWidth="1"/>
    <col min="14" max="14" width="23.85546875" style="254" customWidth="1"/>
    <col min="15" max="15" width="26.5703125" style="236" customWidth="1"/>
    <col min="16" max="16" width="21.5703125" style="237" customWidth="1"/>
    <col min="17" max="17" width="21.28515625" style="237" customWidth="1"/>
    <col min="18" max="18" width="22.140625" style="238" customWidth="1"/>
    <col min="19" max="21" width="18.7109375" style="239" customWidth="1"/>
    <col min="22" max="23" width="11.42578125" style="239"/>
    <col min="24" max="24" width="18.140625" style="239" customWidth="1"/>
    <col min="25" max="25" width="19.140625" style="239" customWidth="1"/>
    <col min="26" max="32" width="11.42578125" style="239"/>
    <col min="33" max="46" width="11.42578125" style="236"/>
    <col min="47" max="16384" width="11.42578125" style="240"/>
  </cols>
  <sheetData>
    <row r="1" spans="2:46" ht="42" customHeight="1" x14ac:dyDescent="0.25">
      <c r="B1" s="394" t="s">
        <v>142</v>
      </c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</row>
    <row r="2" spans="2:46" ht="150.6" customHeight="1" x14ac:dyDescent="0.25">
      <c r="B2" s="395" t="s">
        <v>137</v>
      </c>
      <c r="C2" s="395" t="str">
        <f t="shared" ref="C2:N2" si="0">+name_proy</f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D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E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F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G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H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I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J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K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L2" s="395"/>
      <c r="M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  <c r="N2" s="395" t="str">
        <f t="shared" si="0"/>
        <v>CREACIÓN INSTALACIÓN DEL SUBSISTEMA DE DISTRIBUCIÓN PRIMARIA 10-22,9 KV Y SUBSISTEMA DE DISTRIBUCIÓN SECUNDARIA 380/220 V E INSTALACIÓN DE ALUMBRADO PÚBLICO LUCAS CUTIVALU DEL DISTRITO DE MIGUEL CHECA - PROVINCIA DE SULLANA - DEPARTAMENTO DE PIURA</v>
      </c>
    </row>
    <row r="3" spans="2:46" ht="67.900000000000006" customHeight="1" x14ac:dyDescent="0.25">
      <c r="B3" s="241" t="s">
        <v>51</v>
      </c>
      <c r="C3" s="242"/>
      <c r="D3" s="243"/>
      <c r="E3" s="243" t="s">
        <v>116</v>
      </c>
      <c r="F3" s="244" t="s">
        <v>137</v>
      </c>
      <c r="G3" s="244"/>
      <c r="H3" s="245"/>
      <c r="I3" s="246"/>
      <c r="J3" s="247"/>
      <c r="K3" s="248"/>
      <c r="L3" s="247"/>
      <c r="M3" s="247"/>
      <c r="N3" s="248"/>
      <c r="O3" s="249"/>
      <c r="P3" s="250"/>
      <c r="Q3" s="250"/>
      <c r="R3" s="250"/>
      <c r="S3" s="249"/>
      <c r="T3" s="249"/>
    </row>
    <row r="4" spans="2:46" ht="24.75" customHeight="1" x14ac:dyDescent="0.25">
      <c r="B4" s="251" t="s">
        <v>143</v>
      </c>
      <c r="C4" s="252"/>
      <c r="D4" s="243"/>
      <c r="E4" s="243" t="s">
        <v>116</v>
      </c>
      <c r="F4" s="251" t="s">
        <v>138</v>
      </c>
      <c r="H4" s="253"/>
      <c r="J4" s="255"/>
      <c r="K4" s="256"/>
      <c r="N4" s="257"/>
    </row>
    <row r="5" spans="2:46" ht="24.75" hidden="1" customHeight="1" x14ac:dyDescent="0.25">
      <c r="B5" s="251"/>
      <c r="C5" s="252"/>
      <c r="D5" s="258" t="s">
        <v>144</v>
      </c>
      <c r="E5" s="243"/>
      <c r="F5" s="251"/>
      <c r="G5" s="259">
        <f>SUM(H5:N5)</f>
        <v>1</v>
      </c>
      <c r="H5" s="260">
        <v>0.05</v>
      </c>
      <c r="I5" s="260">
        <v>0.45</v>
      </c>
      <c r="J5" s="260">
        <v>0.5</v>
      </c>
      <c r="K5" s="260">
        <v>0</v>
      </c>
      <c r="L5" s="260">
        <v>0</v>
      </c>
      <c r="M5" s="260">
        <v>0</v>
      </c>
      <c r="N5" s="260">
        <f>100%-SUM(H5:M5)</f>
        <v>0</v>
      </c>
    </row>
    <row r="6" spans="2:46" ht="24.75" hidden="1" customHeight="1" x14ac:dyDescent="0.25">
      <c r="B6" s="251"/>
      <c r="C6" s="252"/>
      <c r="D6" s="258" t="s">
        <v>128</v>
      </c>
      <c r="E6" s="243"/>
      <c r="F6" s="251"/>
      <c r="G6" s="259">
        <f>SUM(H6:N6)</f>
        <v>1</v>
      </c>
      <c r="H6" s="260">
        <v>0.05</v>
      </c>
      <c r="I6" s="260">
        <v>0.1</v>
      </c>
      <c r="J6" s="260">
        <v>0.25</v>
      </c>
      <c r="K6" s="260">
        <v>0.35</v>
      </c>
      <c r="L6" s="260">
        <v>0</v>
      </c>
      <c r="M6" s="260">
        <v>0</v>
      </c>
      <c r="N6" s="260">
        <f>100%-SUM(H6:M6)</f>
        <v>0.25</v>
      </c>
    </row>
    <row r="7" spans="2:46" ht="24.75" hidden="1" customHeight="1" x14ac:dyDescent="0.25">
      <c r="B7" s="251"/>
      <c r="C7" s="252"/>
      <c r="D7" s="258" t="s">
        <v>13</v>
      </c>
      <c r="E7" s="243"/>
      <c r="F7" s="251"/>
      <c r="G7" s="259">
        <f>SUM(H7:N7)</f>
        <v>1</v>
      </c>
      <c r="H7" s="260"/>
      <c r="I7" s="260">
        <v>0.45</v>
      </c>
      <c r="J7" s="260">
        <v>0.5</v>
      </c>
      <c r="K7" s="260">
        <v>0.05</v>
      </c>
      <c r="L7" s="260">
        <v>0</v>
      </c>
      <c r="M7" s="260">
        <v>0</v>
      </c>
      <c r="N7" s="260">
        <f>100%-SUM(H7:M7)</f>
        <v>0</v>
      </c>
    </row>
    <row r="8" spans="2:46" ht="7.5" customHeight="1" thickBot="1" x14ac:dyDescent="0.3">
      <c r="B8" s="261"/>
      <c r="C8" s="262"/>
      <c r="D8" s="263"/>
      <c r="E8" s="263"/>
      <c r="F8" s="263"/>
      <c r="G8" s="263"/>
      <c r="H8" s="264"/>
      <c r="I8" s="265"/>
      <c r="J8" s="265"/>
      <c r="K8" s="266"/>
      <c r="L8" s="265"/>
      <c r="M8" s="265"/>
      <c r="N8" s="266"/>
    </row>
    <row r="9" spans="2:46" ht="48.75" customHeight="1" thickBot="1" x14ac:dyDescent="0.3">
      <c r="B9" s="267" t="s">
        <v>48</v>
      </c>
      <c r="C9" s="396" t="s">
        <v>118</v>
      </c>
      <c r="D9" s="396"/>
      <c r="E9" s="397"/>
      <c r="F9" s="398"/>
      <c r="G9" s="268" t="s">
        <v>145</v>
      </c>
      <c r="H9" s="267" t="s">
        <v>119</v>
      </c>
      <c r="I9" s="269" t="s">
        <v>120</v>
      </c>
      <c r="J9" s="269" t="s">
        <v>121</v>
      </c>
      <c r="K9" s="267" t="s">
        <v>122</v>
      </c>
      <c r="L9" s="377" t="s">
        <v>123</v>
      </c>
      <c r="M9" s="269" t="s">
        <v>124</v>
      </c>
      <c r="N9" s="269" t="s">
        <v>169</v>
      </c>
    </row>
    <row r="10" spans="2:46" s="285" customFormat="1" ht="9.9499999999999993" customHeight="1" x14ac:dyDescent="0.25">
      <c r="B10" s="270"/>
      <c r="C10" s="271"/>
      <c r="D10" s="272"/>
      <c r="E10" s="272"/>
      <c r="F10" s="273"/>
      <c r="G10" s="274"/>
      <c r="H10" s="275"/>
      <c r="I10" s="276"/>
      <c r="J10" s="276"/>
      <c r="K10" s="276"/>
      <c r="L10" s="276"/>
      <c r="M10" s="276"/>
      <c r="N10" s="277"/>
      <c r="O10" s="278"/>
      <c r="P10" s="278"/>
      <c r="Q10" s="279"/>
      <c r="R10" s="280"/>
      <c r="S10" s="281"/>
      <c r="T10" s="282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</row>
    <row r="11" spans="2:46" s="285" customFormat="1" ht="25.5" customHeight="1" x14ac:dyDescent="0.25">
      <c r="B11" s="286" t="s">
        <v>126</v>
      </c>
      <c r="C11" s="287"/>
      <c r="D11" s="271" t="s">
        <v>144</v>
      </c>
      <c r="E11" s="271"/>
      <c r="F11" s="273"/>
      <c r="G11" s="288">
        <f>ROUND(+SUM(H11:N11),2)</f>
        <v>1559314.78</v>
      </c>
      <c r="H11" s="289">
        <f>+'RESUMEN LP'!F11+'RESUMEN RP'!F11+'RESUMEN RS'!F11+'RESUMEN SDF'!F11</f>
        <v>6640.8600000000006</v>
      </c>
      <c r="I11" s="289">
        <f>+'RESUMEN LP'!G11+'RESUMEN RP'!G11+'RESUMEN RS'!G11+'RESUMEN SDF'!G11</f>
        <v>49153.472000000002</v>
      </c>
      <c r="J11" s="289">
        <f>+'RESUMEN LP'!H11+'RESUMEN RP'!H11+'RESUMEN RS'!H11+'RESUMEN SDF'!H11</f>
        <v>194455.97800000003</v>
      </c>
      <c r="K11" s="289">
        <f>+'RESUMEN LP'!I11+'RESUMEN RP'!I11+'RESUMEN RS'!I11+'RESUMEN SDF'!I11</f>
        <v>528235.26500000013</v>
      </c>
      <c r="L11" s="289">
        <f>+'RESUMEN LP'!J11+'RESUMEN RP'!J11+'RESUMEN RS'!J11+'RESUMEN SDF'!J11</f>
        <v>474758.53500000003</v>
      </c>
      <c r="M11" s="289">
        <f>+'RESUMEN LP'!K11+'RESUMEN RP'!K11+'RESUMEN RS'!K11+'RESUMEN SDF'!K11</f>
        <v>306070.67</v>
      </c>
      <c r="N11" s="406">
        <f>+'RESUMEN LP'!L11+'RESUMEN RP'!L11+'RESUMEN RS'!L11+'RESUMEN SDF'!L11</f>
        <v>0</v>
      </c>
      <c r="O11" s="290">
        <f>+SUM(H11:N11)</f>
        <v>1559314.7800000003</v>
      </c>
      <c r="P11" s="290">
        <v>2531.3899999999994</v>
      </c>
      <c r="Q11" s="279"/>
      <c r="R11" s="280"/>
      <c r="S11" s="281"/>
      <c r="T11" s="291"/>
      <c r="U11" s="292"/>
      <c r="V11" s="292"/>
      <c r="W11" s="292"/>
      <c r="X11" s="292"/>
      <c r="Y11" s="292"/>
      <c r="Z11" s="292"/>
      <c r="AA11" s="292"/>
      <c r="AB11" s="283"/>
      <c r="AC11" s="283"/>
      <c r="AD11" s="283"/>
      <c r="AE11" s="283"/>
      <c r="AF11" s="283"/>
      <c r="AG11" s="283"/>
      <c r="AH11" s="283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</row>
    <row r="12" spans="2:46" s="285" customFormat="1" ht="25.5" customHeight="1" x14ac:dyDescent="0.25">
      <c r="B12" s="286" t="s">
        <v>127</v>
      </c>
      <c r="C12" s="287"/>
      <c r="D12" s="271" t="s">
        <v>128</v>
      </c>
      <c r="E12" s="271"/>
      <c r="F12" s="293"/>
      <c r="G12" s="288">
        <f>ROUND(+SUM(H12:N12),2)</f>
        <v>1009873.92</v>
      </c>
      <c r="H12" s="289">
        <f>+'RESUMEN LP'!F12+'RESUMEN RP'!F12+'RESUMEN RS'!F12+'RESUMEN SDF'!F12</f>
        <v>4440.58</v>
      </c>
      <c r="I12" s="289">
        <f>+'RESUMEN LP'!G12+'RESUMEN RP'!G12+'RESUMEN RS'!G12+'RESUMEN SDF'!G12</f>
        <v>23172.97</v>
      </c>
      <c r="J12" s="289">
        <f>+'RESUMEN LP'!H12+'RESUMEN RP'!H12+'RESUMEN RS'!H12+'RESUMEN SDF'!H12</f>
        <v>49537.600000000006</v>
      </c>
      <c r="K12" s="289">
        <f>+'RESUMEN LP'!I12+'RESUMEN RP'!I12+'RESUMEN RS'!I12+'RESUMEN SDF'!I12</f>
        <v>79766.78</v>
      </c>
      <c r="L12" s="289">
        <f>+'RESUMEN LP'!J12+'RESUMEN RP'!J12+'RESUMEN RS'!J12+'RESUMEN SDF'!J12</f>
        <v>219601.72000000003</v>
      </c>
      <c r="M12" s="289">
        <f>+'RESUMEN LP'!K12+'RESUMEN RP'!K12+'RESUMEN RS'!K12+'RESUMEN SDF'!K12</f>
        <v>198992.73</v>
      </c>
      <c r="N12" s="406">
        <f>+'RESUMEN LP'!L12+'RESUMEN RP'!L12+'RESUMEN RS'!L12+'RESUMEN SDF'!L12</f>
        <v>434361.54000000004</v>
      </c>
      <c r="O12" s="290">
        <f t="shared" ref="O12:O13" si="1">+SUM(H12:N12)</f>
        <v>1009873.92</v>
      </c>
      <c r="P12" s="294"/>
      <c r="Q12" s="279"/>
      <c r="R12" s="280"/>
      <c r="S12" s="281"/>
      <c r="T12" s="291"/>
      <c r="U12" s="292"/>
      <c r="V12" s="292"/>
      <c r="W12" s="292"/>
      <c r="X12" s="292"/>
      <c r="Y12" s="292"/>
      <c r="Z12" s="292"/>
      <c r="AA12" s="292"/>
      <c r="AB12" s="283"/>
      <c r="AC12" s="283"/>
      <c r="AD12" s="283"/>
      <c r="AE12" s="283"/>
      <c r="AF12" s="283"/>
      <c r="AG12" s="283"/>
      <c r="AH12" s="283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</row>
    <row r="13" spans="2:46" s="285" customFormat="1" ht="25.5" customHeight="1" x14ac:dyDescent="0.25">
      <c r="B13" s="286" t="s">
        <v>129</v>
      </c>
      <c r="C13" s="287"/>
      <c r="D13" s="271" t="s">
        <v>13</v>
      </c>
      <c r="E13" s="271"/>
      <c r="F13" s="295"/>
      <c r="G13" s="288">
        <f>ROUND(+SUM(H13:N13),2)</f>
        <v>131667.96</v>
      </c>
      <c r="H13" s="289">
        <f>+'RESUMEN LP'!F13+'RESUMEN RP'!F13+'RESUMEN RS'!F13+'RESUMEN SDF'!F13</f>
        <v>4920.1600000000026</v>
      </c>
      <c r="I13" s="289">
        <f>+'RESUMEN LP'!G13+'RESUMEN RP'!G13+'RESUMEN RS'!G13+'RESUMEN SDF'!G13</f>
        <v>12940.66</v>
      </c>
      <c r="J13" s="289">
        <f>+'RESUMEN LP'!H13+'RESUMEN RP'!H13+'RESUMEN RS'!H13+'RESUMEN SDF'!H13</f>
        <v>31889.949999999997</v>
      </c>
      <c r="K13" s="289">
        <f>+'RESUMEN LP'!I13+'RESUMEN RP'!I13+'RESUMEN RS'!I13+'RESUMEN SDF'!I13</f>
        <v>59220.31</v>
      </c>
      <c r="L13" s="289">
        <f>+'RESUMEN LP'!J13+'RESUMEN RP'!J13+'RESUMEN RS'!J13+'RESUMEN SDF'!J13</f>
        <v>17453.320000000003</v>
      </c>
      <c r="M13" s="289">
        <f>+'RESUMEN LP'!K13+'RESUMEN RP'!K13+'RESUMEN RS'!K13+'RESUMEN SDF'!K13</f>
        <v>5243.56</v>
      </c>
      <c r="N13" s="406">
        <f>+'RESUMEN LP'!L13+'RESUMEN RP'!L13+'RESUMEN RS'!L13+'RESUMEN SDF'!L13</f>
        <v>0</v>
      </c>
      <c r="O13" s="290">
        <f t="shared" si="1"/>
        <v>131667.96000000002</v>
      </c>
      <c r="P13" s="290"/>
      <c r="Q13" s="279"/>
      <c r="R13" s="280"/>
      <c r="S13" s="281"/>
      <c r="T13" s="291"/>
      <c r="U13" s="292"/>
      <c r="V13" s="292"/>
      <c r="W13" s="292"/>
      <c r="X13" s="292"/>
      <c r="Y13" s="292"/>
      <c r="Z13" s="292"/>
      <c r="AA13" s="292"/>
      <c r="AB13" s="283"/>
      <c r="AC13" s="283"/>
      <c r="AD13" s="283"/>
      <c r="AE13" s="283"/>
      <c r="AF13" s="283"/>
      <c r="AG13" s="283"/>
      <c r="AH13" s="283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</row>
    <row r="14" spans="2:46" s="285" customFormat="1" ht="9.9499999999999993" customHeight="1" thickBot="1" x14ac:dyDescent="0.3">
      <c r="B14" s="286"/>
      <c r="C14" s="287"/>
      <c r="D14" s="271"/>
      <c r="E14" s="271"/>
      <c r="F14" s="295"/>
      <c r="G14" s="288"/>
      <c r="H14" s="296"/>
      <c r="I14" s="297"/>
      <c r="J14" s="297"/>
      <c r="K14" s="297"/>
      <c r="L14" s="297"/>
      <c r="M14" s="297"/>
      <c r="N14" s="298"/>
      <c r="O14" s="290"/>
      <c r="P14" s="290"/>
      <c r="Q14" s="279"/>
      <c r="R14" s="280"/>
      <c r="S14" s="281"/>
      <c r="T14" s="291"/>
      <c r="U14" s="292"/>
      <c r="V14" s="292"/>
      <c r="W14" s="292"/>
      <c r="X14" s="292"/>
      <c r="Y14" s="292"/>
      <c r="Z14" s="292"/>
      <c r="AA14" s="292"/>
      <c r="AB14" s="283"/>
      <c r="AC14" s="283"/>
      <c r="AD14" s="283"/>
      <c r="AE14" s="283"/>
      <c r="AF14" s="283"/>
      <c r="AG14" s="283"/>
      <c r="AH14" s="283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</row>
    <row r="15" spans="2:46" s="285" customFormat="1" ht="33.75" customHeight="1" thickBot="1" x14ac:dyDescent="0.3">
      <c r="B15" s="299" t="s">
        <v>131</v>
      </c>
      <c r="C15" s="300"/>
      <c r="D15" s="301" t="s">
        <v>146</v>
      </c>
      <c r="E15" s="301"/>
      <c r="F15" s="302"/>
      <c r="G15" s="303">
        <f>ROUND(+SUM(G11:G13),2)-0.01</f>
        <v>2700856.6500000004</v>
      </c>
      <c r="H15" s="303">
        <f t="shared" ref="H15:M15" si="2">+SUM(H11:H13)</f>
        <v>16001.600000000002</v>
      </c>
      <c r="I15" s="303">
        <f t="shared" si="2"/>
        <v>85267.102000000014</v>
      </c>
      <c r="J15" s="303">
        <f t="shared" si="2"/>
        <v>275883.52800000005</v>
      </c>
      <c r="K15" s="303">
        <f t="shared" si="2"/>
        <v>667222.35500000021</v>
      </c>
      <c r="L15" s="303">
        <f t="shared" ref="L15" si="3">+SUM(L11:L13)</f>
        <v>711813.57500000007</v>
      </c>
      <c r="M15" s="303">
        <f t="shared" si="2"/>
        <v>510306.96</v>
      </c>
      <c r="N15" s="303">
        <f>+SUM(N11:N13)</f>
        <v>434361.54000000004</v>
      </c>
      <c r="O15" s="304"/>
      <c r="P15" s="290"/>
      <c r="Q15" s="279"/>
      <c r="R15" s="291"/>
      <c r="S15" s="292"/>
      <c r="T15" s="292"/>
      <c r="U15" s="292"/>
      <c r="V15" s="292"/>
      <c r="W15" s="292"/>
      <c r="X15" s="292"/>
      <c r="Y15" s="292"/>
      <c r="Z15" s="283"/>
      <c r="AA15" s="283"/>
      <c r="AB15" s="283"/>
      <c r="AC15" s="283"/>
      <c r="AD15" s="283"/>
      <c r="AE15" s="283"/>
      <c r="AF15" s="283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</row>
    <row r="16" spans="2:46" s="285" customFormat="1" ht="9.9499999999999993" customHeight="1" x14ac:dyDescent="0.25">
      <c r="B16" s="305"/>
      <c r="C16" s="306"/>
      <c r="D16" s="271"/>
      <c r="E16" s="271"/>
      <c r="F16" s="307"/>
      <c r="G16" s="308"/>
      <c r="H16" s="309"/>
      <c r="I16" s="310"/>
      <c r="J16" s="310"/>
      <c r="K16" s="310"/>
      <c r="L16" s="310"/>
      <c r="M16" s="310"/>
      <c r="N16" s="311"/>
      <c r="O16" s="304"/>
      <c r="P16" s="290"/>
      <c r="Q16" s="281"/>
      <c r="R16" s="291"/>
      <c r="S16" s="292"/>
      <c r="T16" s="292"/>
      <c r="U16" s="292"/>
      <c r="V16" s="292"/>
      <c r="W16" s="292"/>
      <c r="X16" s="292"/>
      <c r="Y16" s="292"/>
      <c r="Z16" s="283"/>
      <c r="AA16" s="283"/>
      <c r="AB16" s="283"/>
      <c r="AC16" s="283"/>
      <c r="AD16" s="283"/>
      <c r="AE16" s="283"/>
      <c r="AF16" s="283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</row>
    <row r="17" spans="2:46" s="285" customFormat="1" ht="25.5" customHeight="1" x14ac:dyDescent="0.25">
      <c r="B17" s="305" t="s">
        <v>133</v>
      </c>
      <c r="C17" s="312"/>
      <c r="D17" s="271"/>
      <c r="E17" s="271"/>
      <c r="F17" s="313" t="s">
        <v>88</v>
      </c>
      <c r="G17" s="288">
        <f>+G15*O17</f>
        <v>273326.69298000005</v>
      </c>
      <c r="H17" s="289">
        <f>ROUND(+H15*$O$17,2)</f>
        <v>1619.36</v>
      </c>
      <c r="I17" s="289">
        <f t="shared" ref="I17:N17" si="4">ROUND(+I15*$O$17,2)</f>
        <v>8629.0300000000007</v>
      </c>
      <c r="J17" s="289">
        <f t="shared" si="4"/>
        <v>27919.41</v>
      </c>
      <c r="K17" s="289">
        <f t="shared" si="4"/>
        <v>67522.899999999994</v>
      </c>
      <c r="L17" s="289">
        <f t="shared" ref="L17" si="5">ROUND(+L15*$O$17,2)</f>
        <v>72035.53</v>
      </c>
      <c r="M17" s="289">
        <f t="shared" si="4"/>
        <v>51643.06</v>
      </c>
      <c r="N17" s="406">
        <f t="shared" si="4"/>
        <v>43957.39</v>
      </c>
      <c r="O17" s="213">
        <v>0.1012</v>
      </c>
      <c r="P17" s="290"/>
      <c r="Q17" s="279"/>
      <c r="R17" s="291"/>
      <c r="S17" s="292"/>
      <c r="T17" s="292"/>
      <c r="U17" s="292"/>
      <c r="V17" s="292"/>
      <c r="W17" s="292"/>
      <c r="X17" s="292"/>
      <c r="Y17" s="292"/>
      <c r="Z17" s="283"/>
      <c r="AA17" s="283"/>
      <c r="AB17" s="283"/>
      <c r="AC17" s="283"/>
      <c r="AD17" s="283"/>
      <c r="AE17" s="283"/>
      <c r="AF17" s="283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</row>
    <row r="18" spans="2:46" s="285" customFormat="1" ht="25.5" customHeight="1" x14ac:dyDescent="0.25">
      <c r="B18" s="305" t="s">
        <v>134</v>
      </c>
      <c r="C18" s="312"/>
      <c r="D18" s="271"/>
      <c r="E18" s="271"/>
      <c r="F18" s="313" t="s">
        <v>150</v>
      </c>
      <c r="G18" s="288">
        <f>+G15*O18</f>
        <v>81025.699500000002</v>
      </c>
      <c r="H18" s="289">
        <f>ROUND(+H15*$O$18,2)</f>
        <v>480.05</v>
      </c>
      <c r="I18" s="289">
        <f t="shared" ref="I18:N18" si="6">ROUND(+I15*$O$18,2)</f>
        <v>2558.0100000000002</v>
      </c>
      <c r="J18" s="289">
        <f t="shared" si="6"/>
        <v>8276.51</v>
      </c>
      <c r="K18" s="289">
        <f t="shared" si="6"/>
        <v>20016.669999999998</v>
      </c>
      <c r="L18" s="289">
        <f t="shared" ref="L18" si="7">ROUND(+L15*$O$18,2)</f>
        <v>21354.41</v>
      </c>
      <c r="M18" s="289">
        <f t="shared" si="6"/>
        <v>15309.21</v>
      </c>
      <c r="N18" s="406">
        <f t="shared" si="6"/>
        <v>13030.85</v>
      </c>
      <c r="O18" s="215">
        <v>0.03</v>
      </c>
      <c r="P18" s="290"/>
      <c r="Q18" s="279"/>
      <c r="R18" s="291"/>
      <c r="S18" s="292"/>
      <c r="T18" s="292"/>
      <c r="U18" s="292"/>
      <c r="V18" s="292"/>
      <c r="W18" s="292"/>
      <c r="X18" s="292"/>
      <c r="Y18" s="292"/>
      <c r="Z18" s="283"/>
      <c r="AA18" s="283"/>
      <c r="AB18" s="283"/>
      <c r="AC18" s="283"/>
      <c r="AD18" s="283"/>
      <c r="AE18" s="283"/>
      <c r="AF18" s="283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</row>
    <row r="19" spans="2:46" s="285" customFormat="1" ht="9.9499999999999993" customHeight="1" thickBot="1" x14ac:dyDescent="0.3">
      <c r="B19" s="305"/>
      <c r="C19" s="312"/>
      <c r="D19" s="271"/>
      <c r="E19" s="271"/>
      <c r="F19" s="295"/>
      <c r="G19" s="314"/>
      <c r="H19" s="309"/>
      <c r="I19" s="310"/>
      <c r="J19" s="310"/>
      <c r="K19" s="310"/>
      <c r="L19" s="310"/>
      <c r="M19" s="310"/>
      <c r="N19" s="311"/>
      <c r="O19" s="304"/>
      <c r="P19" s="290"/>
      <c r="Q19" s="281"/>
      <c r="R19" s="291"/>
      <c r="S19" s="292"/>
      <c r="T19" s="292"/>
      <c r="U19" s="292"/>
      <c r="V19" s="292"/>
      <c r="W19" s="292"/>
      <c r="X19" s="292"/>
      <c r="Y19" s="292"/>
      <c r="Z19" s="283"/>
      <c r="AA19" s="283"/>
      <c r="AB19" s="283"/>
      <c r="AC19" s="283"/>
      <c r="AD19" s="283"/>
      <c r="AE19" s="283"/>
      <c r="AF19" s="283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</row>
    <row r="20" spans="2:46" s="285" customFormat="1" ht="9.9499999999999993" customHeight="1" x14ac:dyDescent="0.25">
      <c r="B20" s="315"/>
      <c r="C20" s="316"/>
      <c r="D20" s="317"/>
      <c r="E20" s="317"/>
      <c r="F20" s="218"/>
      <c r="G20" s="318"/>
      <c r="H20" s="319"/>
      <c r="I20" s="320"/>
      <c r="J20" s="320"/>
      <c r="K20" s="320"/>
      <c r="L20" s="320"/>
      <c r="M20" s="320"/>
      <c r="N20" s="321"/>
      <c r="O20" s="304"/>
      <c r="P20" s="290"/>
      <c r="Q20" s="281"/>
      <c r="R20" s="291"/>
      <c r="S20" s="292"/>
      <c r="T20" s="292"/>
      <c r="U20" s="292"/>
      <c r="V20" s="292"/>
      <c r="W20" s="292"/>
      <c r="X20" s="292"/>
      <c r="Y20" s="292"/>
      <c r="Z20" s="283"/>
      <c r="AA20" s="283"/>
      <c r="AB20" s="283"/>
      <c r="AC20" s="283"/>
      <c r="AD20" s="283"/>
      <c r="AE20" s="283"/>
      <c r="AF20" s="283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</row>
    <row r="21" spans="2:46" s="285" customFormat="1" ht="25.5" customHeight="1" x14ac:dyDescent="0.25">
      <c r="B21" s="322"/>
      <c r="C21" s="323"/>
      <c r="D21" s="258" t="s">
        <v>147</v>
      </c>
      <c r="E21" s="258"/>
      <c r="F21" s="324"/>
      <c r="G21" s="325">
        <f>ROUND(+SUM(G15:G18),2)+0.01</f>
        <v>3055209.05</v>
      </c>
      <c r="H21" s="325">
        <f t="shared" ref="H21:N21" si="8">+SUM(H15:H18)</f>
        <v>18101.010000000002</v>
      </c>
      <c r="I21" s="325">
        <f t="shared" si="8"/>
        <v>96454.142000000007</v>
      </c>
      <c r="J21" s="325">
        <f t="shared" si="8"/>
        <v>312079.44800000003</v>
      </c>
      <c r="K21" s="325">
        <f t="shared" si="8"/>
        <v>754761.92500000028</v>
      </c>
      <c r="L21" s="325">
        <f>+SUM(L15:L18)</f>
        <v>805203.51500000013</v>
      </c>
      <c r="M21" s="325">
        <f>+SUM(M15:M18)</f>
        <v>577259.23</v>
      </c>
      <c r="N21" s="325">
        <f t="shared" si="8"/>
        <v>491349.78</v>
      </c>
      <c r="O21" s="304"/>
      <c r="P21" s="290"/>
      <c r="Q21" s="279"/>
      <c r="R21" s="291"/>
      <c r="S21" s="292"/>
      <c r="T21" s="292"/>
      <c r="U21" s="292"/>
      <c r="V21" s="292"/>
      <c r="W21" s="292"/>
      <c r="X21" s="292"/>
      <c r="Y21" s="292"/>
      <c r="Z21" s="283"/>
      <c r="AA21" s="283"/>
      <c r="AB21" s="283"/>
      <c r="AC21" s="283"/>
      <c r="AD21" s="283"/>
      <c r="AE21" s="283"/>
      <c r="AF21" s="283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</row>
    <row r="22" spans="2:46" s="285" customFormat="1" ht="9.9499999999999993" customHeight="1" thickBot="1" x14ac:dyDescent="0.3">
      <c r="B22" s="326"/>
      <c r="C22" s="327"/>
      <c r="D22" s="328"/>
      <c r="E22" s="328"/>
      <c r="F22" s="227"/>
      <c r="G22" s="329"/>
      <c r="H22" s="330"/>
      <c r="I22" s="331"/>
      <c r="J22" s="331"/>
      <c r="K22" s="331"/>
      <c r="L22" s="331"/>
      <c r="M22" s="331"/>
      <c r="N22" s="332"/>
      <c r="O22" s="304"/>
      <c r="P22" s="290"/>
      <c r="Q22" s="281"/>
      <c r="R22" s="291"/>
      <c r="S22" s="292"/>
      <c r="T22" s="292"/>
      <c r="U22" s="292"/>
      <c r="V22" s="292"/>
      <c r="W22" s="292"/>
      <c r="X22" s="292"/>
      <c r="Y22" s="292"/>
      <c r="Z22" s="283"/>
      <c r="AA22" s="283"/>
      <c r="AB22" s="283"/>
      <c r="AC22" s="283"/>
      <c r="AD22" s="283"/>
      <c r="AE22" s="283"/>
      <c r="AF22" s="283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</row>
    <row r="23" spans="2:46" s="285" customFormat="1" ht="45.75" customHeight="1" thickBot="1" x14ac:dyDescent="0.3">
      <c r="B23" s="333"/>
      <c r="C23" s="334"/>
      <c r="D23" s="335" t="s">
        <v>148</v>
      </c>
      <c r="E23" s="336"/>
      <c r="F23" s="337"/>
      <c r="G23" s="338">
        <f>+G21*O23</f>
        <v>549937.62899999996</v>
      </c>
      <c r="H23" s="339">
        <f>+H21*$O$23</f>
        <v>3258.1818000000003</v>
      </c>
      <c r="I23" s="339">
        <f t="shared" ref="I23:N23" si="9">+I21*$O$23</f>
        <v>17361.745559999999</v>
      </c>
      <c r="J23" s="339">
        <f t="shared" si="9"/>
        <v>56174.300640000001</v>
      </c>
      <c r="K23" s="339">
        <f t="shared" si="9"/>
        <v>135857.14650000003</v>
      </c>
      <c r="L23" s="339">
        <f t="shared" ref="L23" si="10">+L21*$O$23</f>
        <v>144936.63270000002</v>
      </c>
      <c r="M23" s="339">
        <f t="shared" si="9"/>
        <v>103906.6614</v>
      </c>
      <c r="N23" s="407">
        <f t="shared" si="9"/>
        <v>88442.960399999996</v>
      </c>
      <c r="O23" s="304">
        <v>0.18</v>
      </c>
      <c r="P23" s="290"/>
      <c r="Q23" s="279"/>
      <c r="R23" s="291"/>
      <c r="S23" s="292"/>
      <c r="T23" s="292"/>
      <c r="U23" s="292"/>
      <c r="V23" s="292"/>
      <c r="W23" s="292"/>
      <c r="X23" s="292"/>
      <c r="Y23" s="292"/>
      <c r="Z23" s="283"/>
      <c r="AA23" s="283"/>
      <c r="AB23" s="283"/>
      <c r="AC23" s="283"/>
      <c r="AD23" s="283"/>
      <c r="AE23" s="283"/>
      <c r="AF23" s="283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</row>
    <row r="24" spans="2:46" s="285" customFormat="1" ht="48.75" customHeight="1" thickBot="1" x14ac:dyDescent="0.3">
      <c r="B24" s="340"/>
      <c r="C24" s="341" t="s">
        <v>149</v>
      </c>
      <c r="D24" s="301"/>
      <c r="E24" s="301"/>
      <c r="F24" s="342"/>
      <c r="G24" s="343">
        <f>+G23+G21</f>
        <v>3605146.6789999995</v>
      </c>
      <c r="H24" s="344">
        <f>+H23+H21</f>
        <v>21359.191800000001</v>
      </c>
      <c r="I24" s="344">
        <f t="shared" ref="I24:N24" si="11">+I23+I21</f>
        <v>113815.88756</v>
      </c>
      <c r="J24" s="344">
        <f t="shared" si="11"/>
        <v>368253.74864000001</v>
      </c>
      <c r="K24" s="344">
        <f t="shared" si="11"/>
        <v>890619.07150000031</v>
      </c>
      <c r="L24" s="344">
        <f t="shared" ref="L24" si="12">+L23+L21</f>
        <v>950140.14770000009</v>
      </c>
      <c r="M24" s="344">
        <f t="shared" si="11"/>
        <v>681165.89139999996</v>
      </c>
      <c r="N24" s="343">
        <f t="shared" si="11"/>
        <v>579792.74040000001</v>
      </c>
      <c r="O24" s="304"/>
      <c r="P24" s="290"/>
      <c r="Q24" s="279"/>
      <c r="R24" s="291"/>
      <c r="S24" s="292"/>
      <c r="T24" s="292"/>
      <c r="U24" s="292"/>
      <c r="V24" s="292"/>
      <c r="W24" s="292"/>
      <c r="X24" s="292"/>
      <c r="Y24" s="292"/>
      <c r="Z24" s="283"/>
      <c r="AA24" s="283"/>
      <c r="AB24" s="283"/>
      <c r="AC24" s="283"/>
      <c r="AD24" s="283"/>
      <c r="AE24" s="283"/>
      <c r="AF24" s="283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</row>
    <row r="25" spans="2:46" s="285" customFormat="1" x14ac:dyDescent="0.25">
      <c r="B25" s="345"/>
      <c r="C25" s="345"/>
      <c r="D25" s="345"/>
      <c r="E25" s="345"/>
      <c r="F25" s="345"/>
      <c r="G25" s="346"/>
      <c r="H25" s="347"/>
      <c r="I25" s="347"/>
      <c r="J25" s="347"/>
      <c r="K25" s="347"/>
      <c r="L25" s="347"/>
      <c r="M25" s="347"/>
      <c r="N25" s="347"/>
      <c r="O25" s="284"/>
      <c r="P25" s="281"/>
      <c r="Q25" s="281"/>
      <c r="R25" s="282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4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284"/>
      <c r="AT25" s="284"/>
    </row>
    <row r="26" spans="2:46" s="285" customFormat="1" x14ac:dyDescent="0.25">
      <c r="B26" s="345"/>
      <c r="C26" s="345"/>
      <c r="D26" s="345"/>
      <c r="E26" s="345"/>
      <c r="F26" s="345"/>
      <c r="H26" s="369"/>
      <c r="I26" s="370"/>
      <c r="J26" s="370"/>
      <c r="K26" s="370"/>
      <c r="L26" s="370"/>
      <c r="M26" s="370"/>
      <c r="N26" s="370"/>
      <c r="O26" s="284"/>
      <c r="P26" s="350"/>
      <c r="Q26" s="281"/>
      <c r="R26" s="282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</row>
    <row r="27" spans="2:46" s="285" customFormat="1" x14ac:dyDescent="0.25">
      <c r="B27" s="345"/>
      <c r="C27" s="345"/>
      <c r="D27" s="345"/>
      <c r="E27" s="345"/>
      <c r="F27" s="271"/>
      <c r="G27" s="348"/>
      <c r="H27" s="349"/>
      <c r="I27" s="349"/>
      <c r="J27" s="349"/>
      <c r="K27" s="349"/>
      <c r="L27" s="349"/>
      <c r="M27" s="349"/>
      <c r="N27" s="349"/>
      <c r="O27" s="284"/>
      <c r="P27" s="350"/>
      <c r="Q27" s="281"/>
      <c r="R27" s="282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</row>
    <row r="28" spans="2:46" x14ac:dyDescent="0.25">
      <c r="B28" s="351"/>
      <c r="C28" s="351"/>
      <c r="D28" s="351"/>
      <c r="E28" s="351"/>
      <c r="F28" s="271"/>
      <c r="G28" s="348"/>
      <c r="H28" s="369"/>
      <c r="I28" s="370"/>
      <c r="J28" s="370"/>
      <c r="K28" s="370"/>
      <c r="L28" s="370"/>
      <c r="M28" s="370"/>
      <c r="N28" s="370"/>
      <c r="P28" s="350"/>
    </row>
    <row r="29" spans="2:46" x14ac:dyDescent="0.25">
      <c r="B29" s="351"/>
      <c r="C29" s="351"/>
      <c r="D29" s="351"/>
      <c r="E29" s="351"/>
      <c r="F29" s="271"/>
      <c r="H29" s="352"/>
      <c r="I29" s="353"/>
      <c r="J29" s="353"/>
      <c r="K29" s="353"/>
      <c r="L29" s="353"/>
      <c r="M29" s="353"/>
      <c r="N29" s="353"/>
    </row>
    <row r="30" spans="2:46" x14ac:dyDescent="0.25">
      <c r="B30" s="351"/>
      <c r="C30" s="351"/>
      <c r="D30" s="351"/>
      <c r="E30" s="351"/>
      <c r="F30" s="351"/>
      <c r="H30" s="349"/>
      <c r="I30" s="349"/>
      <c r="J30" s="349"/>
      <c r="K30" s="349"/>
      <c r="L30" s="349"/>
      <c r="M30" s="349"/>
      <c r="N30" s="354"/>
    </row>
    <row r="31" spans="2:46" x14ac:dyDescent="0.25">
      <c r="H31" s="349"/>
      <c r="I31" s="349"/>
      <c r="J31" s="349"/>
      <c r="K31" s="349"/>
      <c r="L31" s="349"/>
      <c r="M31" s="349"/>
    </row>
    <row r="40" spans="7:7" x14ac:dyDescent="0.25">
      <c r="G40" s="355"/>
    </row>
    <row r="41" spans="7:7" x14ac:dyDescent="0.25">
      <c r="G41" s="355"/>
    </row>
    <row r="42" spans="7:7" x14ac:dyDescent="0.25">
      <c r="G42" s="355"/>
    </row>
    <row r="43" spans="7:7" x14ac:dyDescent="0.25">
      <c r="G43" s="355"/>
    </row>
    <row r="44" spans="7:7" x14ac:dyDescent="0.25">
      <c r="G44" s="355"/>
    </row>
    <row r="45" spans="7:7" x14ac:dyDescent="0.25">
      <c r="G45" s="355"/>
    </row>
    <row r="46" spans="7:7" x14ac:dyDescent="0.25">
      <c r="G46" s="355"/>
    </row>
    <row r="47" spans="7:7" x14ac:dyDescent="0.25">
      <c r="G47" s="355"/>
    </row>
    <row r="48" spans="7:7" x14ac:dyDescent="0.25">
      <c r="G48" s="355"/>
    </row>
    <row r="49" spans="7:7" x14ac:dyDescent="0.25">
      <c r="G49" s="355"/>
    </row>
    <row r="50" spans="7:7" x14ac:dyDescent="0.25">
      <c r="G50" s="355"/>
    </row>
    <row r="51" spans="7:7" x14ac:dyDescent="0.25">
      <c r="G51" s="355"/>
    </row>
    <row r="52" spans="7:7" x14ac:dyDescent="0.25">
      <c r="G52" s="355"/>
    </row>
    <row r="53" spans="7:7" x14ac:dyDescent="0.25">
      <c r="G53" s="355"/>
    </row>
    <row r="54" spans="7:7" x14ac:dyDescent="0.25">
      <c r="G54" s="355"/>
    </row>
    <row r="55" spans="7:7" x14ac:dyDescent="0.25">
      <c r="G55" s="355"/>
    </row>
    <row r="56" spans="7:7" x14ac:dyDescent="0.25">
      <c r="G56" s="355"/>
    </row>
    <row r="57" spans="7:7" x14ac:dyDescent="0.25">
      <c r="G57" s="355"/>
    </row>
    <row r="58" spans="7:7" x14ac:dyDescent="0.25">
      <c r="G58" s="355"/>
    </row>
    <row r="59" spans="7:7" x14ac:dyDescent="0.25">
      <c r="G59" s="355"/>
    </row>
    <row r="60" spans="7:7" x14ac:dyDescent="0.25">
      <c r="G60" s="355"/>
    </row>
    <row r="61" spans="7:7" x14ac:dyDescent="0.25">
      <c r="G61" s="355"/>
    </row>
    <row r="62" spans="7:7" x14ac:dyDescent="0.25">
      <c r="G62" s="355"/>
    </row>
    <row r="67" ht="4.5" customHeight="1" x14ac:dyDescent="0.25"/>
  </sheetData>
  <mergeCells count="3">
    <mergeCell ref="B1:N1"/>
    <mergeCell ref="B2:N2"/>
    <mergeCell ref="C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10</vt:i4>
      </vt:variant>
    </vt:vector>
  </HeadingPairs>
  <TitlesOfParts>
    <vt:vector size="21" baseType="lpstr">
      <vt:lpstr>ESTUIDIO + OBRA</vt:lpstr>
      <vt:lpstr>RESUMEN LP</vt:lpstr>
      <vt:lpstr>RESUMEN RP</vt:lpstr>
      <vt:lpstr>RESUMEN RS</vt:lpstr>
      <vt:lpstr>RESUMEN SDF</vt:lpstr>
      <vt:lpstr>LP</vt:lpstr>
      <vt:lpstr>RP</vt:lpstr>
      <vt:lpstr>RS</vt:lpstr>
      <vt:lpstr>SFD</vt:lpstr>
      <vt:lpstr>RESUMEN</vt:lpstr>
      <vt:lpstr>RESUMEN 04 SECCIONES</vt:lpstr>
      <vt:lpstr>'ESTUIDIO + OBRA'!Área_de_impresión</vt:lpstr>
      <vt:lpstr>LP!Área_de_impresión</vt:lpstr>
      <vt:lpstr>RESUMEN!Área_de_impresión</vt:lpstr>
      <vt:lpstr>RP!Área_de_impresión</vt:lpstr>
      <vt:lpstr>RS!Área_de_impresión</vt:lpstr>
      <vt:lpstr>SFD!Área_de_impresión</vt:lpstr>
      <vt:lpstr>LP!Títulos_a_imprimir</vt:lpstr>
      <vt:lpstr>RP!Títulos_a_imprimir</vt:lpstr>
      <vt:lpstr>RS!Títulos_a_imprimir</vt:lpstr>
      <vt:lpstr>SFD!Títulos_a_imprimir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2024-10-22T23:14:16Z</cp:lastPrinted>
  <dcterms:created xsi:type="dcterms:W3CDTF">2021-08-14T20:45:33Z</dcterms:created>
  <dcterms:modified xsi:type="dcterms:W3CDTF">2024-10-22T23:14:37Z</dcterms:modified>
</cp:coreProperties>
</file>