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LP" sheetId="1" state="visible" r:id="rId1"/>
    <sheet name="RP" sheetId="2" state="visible" r:id="rId2"/>
    <sheet name="RS" sheetId="3" state="visible" r:id="rId3"/>
    <sheet name="SFTV" sheetId="4" state="visible" r:id="rId4"/>
  </sheets>
  <calcPr/>
</workbook>
</file>

<file path=xl/sharedStrings.xml><?xml version="1.0" encoding="utf-8"?>
<sst xmlns="http://schemas.openxmlformats.org/spreadsheetml/2006/main" count="110" uniqueCount="110">
  <si>
    <t>ITEM</t>
  </si>
  <si>
    <t xml:space="preserve">DESCRIPCION DE PARTIDAS</t>
  </si>
  <si>
    <t xml:space="preserve">cotizacion gelco </t>
  </si>
  <si>
    <t>UND</t>
  </si>
  <si>
    <t xml:space="preserve">METRADO CANTIDAD</t>
  </si>
  <si>
    <t xml:space="preserve">COSTO UNITARIO</t>
  </si>
  <si>
    <t xml:space="preserve">COSTO TOTAL S/</t>
  </si>
  <si>
    <t xml:space="preserve">LINEAS PRIMARIAS</t>
  </si>
  <si>
    <t>A</t>
  </si>
  <si>
    <t xml:space="preserve">SUMINISTRO DE MATERIALES</t>
  </si>
  <si>
    <t xml:space="preserve">POSTES DE FIBRA DE VIDRIO</t>
  </si>
  <si>
    <t xml:space="preserve">Poste de PRFV de 12 m/200 daN</t>
  </si>
  <si>
    <t>u</t>
  </si>
  <si>
    <t xml:space="preserve">Poste de PRFV de 12 m/300 daN</t>
  </si>
  <si>
    <t xml:space="preserve">SUB-TOTAL 2: </t>
  </si>
  <si>
    <t xml:space="preserve">AISLADORES Y ACCESORIOS</t>
  </si>
  <si>
    <t xml:space="preserve">Aislador de Porcelana Tipo Pin, Clase ANSI 56-3</t>
  </si>
  <si>
    <t xml:space="preserve">Espiga de AºGº de 609 mm longitud, para Cabeza de Poste y Aislador ANSI 56-3</t>
  </si>
  <si>
    <t xml:space="preserve">Conjunto Aislador Line Post Polimérico en Mesula y Cruceta: .- Aislador Polimérico de 36 kV, Tipo Line Post con Espárrago de 19 mm Ø, 200 mm longitud (Alternativa a Conjunto Aislador-Espiga en Cruceta)</t>
  </si>
  <si>
    <t xml:space="preserve">SUB-TOTAL 4: </t>
  </si>
  <si>
    <t xml:space="preserve">AISLADORES DE SUSPENSION Y ACCESORIOS</t>
  </si>
  <si>
    <t xml:space="preserve">Grillete Recto</t>
  </si>
  <si>
    <t xml:space="preserve">Aislador Polimerico con Conexión Horquilla (Estructura) y Lengüeta (Linea) de 36 kV, según Especificacion Técnica. </t>
  </si>
  <si>
    <t xml:space="preserve">SUB-TOTAL 5: </t>
  </si>
  <si>
    <t xml:space="preserve">ACCESORIOS PARA CONDUCTOR DE ALEACION DE ALUMINIO</t>
  </si>
  <si>
    <t xml:space="preserve">Varilla de Armar preformada Simple para Conductor de 35 mm²</t>
  </si>
  <si>
    <t xml:space="preserve">Varilla de Armar preformada Simple para Conductor de 70 mm²</t>
  </si>
  <si>
    <t xml:space="preserve">Grapa de Doble Via de Aluminio para Conductor de 35 mm²</t>
  </si>
  <si>
    <t xml:space="preserve">Grapa de Doble Via de Aluminio para Conductor de 70 mm²</t>
  </si>
  <si>
    <t xml:space="preserve">Grapa de Anclaje para Conductor de 35 mm²</t>
  </si>
  <si>
    <t xml:space="preserve">Grapa de Anclaje para Conductor de 70 mm²</t>
  </si>
  <si>
    <t xml:space="preserve">Cinta plana de armar de aluminio</t>
  </si>
  <si>
    <t>m</t>
  </si>
  <si>
    <t xml:space="preserve">SUB-TOTAL 7: </t>
  </si>
  <si>
    <t xml:space="preserve">RETENIDAS Y ANCLAJES</t>
  </si>
  <si>
    <t xml:space="preserve">Mordaza Preformada de A°G° para Cable de 10 mm Ø</t>
  </si>
  <si>
    <t xml:space="preserve">SUB-TOTAL 10: </t>
  </si>
  <si>
    <t xml:space="preserve">MATERIAL PARA PUESTA A TIERRA</t>
  </si>
  <si>
    <t xml:space="preserve">Electrodo de Acero Recubierto de Cobre de 16 mm Ø x 2,40 m</t>
  </si>
  <si>
    <t xml:space="preserve">Plancha Doblada de Cobre para toma a Tierra de Espigas y/o Pernos</t>
  </si>
  <si>
    <t xml:space="preserve">Conector de Bronce para Electrodo de 16 mm ø y Cable de Acero con Recubrimiento Metalúrgico de Cobre de 4 AWG (21,15 mm2)</t>
  </si>
  <si>
    <t xml:space="preserve">Conector de Cobre tipo Perno Partido para Cable de Acero con Recubrimiento Metalúrgico de Cobre de 4 AWG (21,15 mm2)</t>
  </si>
  <si>
    <t xml:space="preserve">Bentonita sódica saco de 30 kg</t>
  </si>
  <si>
    <t xml:space="preserve">SUB-TOTAL 11: </t>
  </si>
  <si>
    <t xml:space="preserve">EQUIPO DE PROTECCIÓN Y MANIOBRA</t>
  </si>
  <si>
    <t xml:space="preserve">Seccionador Fusible Unipolar Tipo Expulsion (Cut-Out) de 27/38 kV, 100A, 150 kV-BIL.</t>
  </si>
  <si>
    <t xml:space="preserve">Fusible Tipo Expulsion de 3 A, Tipo K</t>
  </si>
  <si>
    <t xml:space="preserve">Fusible Tipo Expulsion de 6 A, Tipo K</t>
  </si>
  <si>
    <t xml:space="preserve">Pararrayos de Oxido Metalico, 21 kV, 10 KA Clase 1</t>
  </si>
  <si>
    <t xml:space="preserve">Pararrayos de Oxido Metalico, 15 kV, 10 KA Clase 1</t>
  </si>
  <si>
    <t xml:space="preserve">SUB-TOTAL 12: </t>
  </si>
  <si>
    <t xml:space="preserve">TRAMO SUBTERRANEO</t>
  </si>
  <si>
    <t xml:space="preserve">Espuma Expansiva (Frasco)</t>
  </si>
  <si>
    <t xml:space="preserve">SUB-TOTAL 13: </t>
  </si>
  <si>
    <t xml:space="preserve">sub total</t>
  </si>
  <si>
    <t xml:space="preserve">18% igv</t>
  </si>
  <si>
    <t xml:space="preserve">Total s/</t>
  </si>
  <si>
    <t xml:space="preserve">REDES PRIMARIAS</t>
  </si>
  <si>
    <t xml:space="preserve">SUMINISTRO DE   MATERIALES</t>
  </si>
  <si>
    <t xml:space="preserve">Conjunto Aislador Line Post Polimérico en Cruceta: - Aislador Polimérico de 36 kV, Tipo Line Post con Espárrago de 19 mm Ø, 200 mm longitud (Alternativa a Conjunto Aislador-Espiga en Cruceta)</t>
  </si>
  <si>
    <t xml:space="preserve">SUB-TOTAL 5:</t>
  </si>
  <si>
    <t xml:space="preserve">SUB-TOTAL 7:</t>
  </si>
  <si>
    <t xml:space="preserve">Aislador Polimerico con Conexión Horquilla (Estructura) y Lengüeta (Linea) de 36 kV, según Especificacion Técnica, para Retenida Aislada.</t>
  </si>
  <si>
    <t xml:space="preserve">SUB-TOTAL 10:</t>
  </si>
  <si>
    <t xml:space="preserve">SUB-TOTAL 11:</t>
  </si>
  <si>
    <t xml:space="preserve">Fusible Tipo Expulsion de 2 A, Tipo K</t>
  </si>
  <si>
    <t xml:space="preserve">SUB-TOTAL 12:</t>
  </si>
  <si>
    <t xml:space="preserve">TOTAL SUMINISTRO DE MATERIALES:</t>
  </si>
  <si>
    <t xml:space="preserve">SUB TOTAL</t>
  </si>
  <si>
    <t xml:space="preserve">18% IGV</t>
  </si>
  <si>
    <t xml:space="preserve">TOTAL S/</t>
  </si>
  <si>
    <t>GELCO</t>
  </si>
  <si>
    <t xml:space="preserve">REDES SECUNDARIAS</t>
  </si>
  <si>
    <t xml:space="preserve">Postes en Poliéster Reforzado con Fibra de Vidrio (P.R.F.V) de 8m/200 (Incluye tapa)</t>
  </si>
  <si>
    <t xml:space="preserve">Postes en Poliéster Reforzado con Fibra de Vidrio (P.R.F.V) de 8m/300 (Incluye tapa)</t>
  </si>
  <si>
    <t xml:space="preserve">ACCESORIOS DE CABLES AUTOPORTANTES</t>
  </si>
  <si>
    <t xml:space="preserve">Grapa de Suspensión Angular para Conductor de Aleacion de Aluminio de 25 mm2</t>
  </si>
  <si>
    <t xml:space="preserve">Grapa de Anclaje Cónica para Conductor de Aleación de Aluminio de 25 mm2</t>
  </si>
  <si>
    <t xml:space="preserve">Conector Bimetalico Aislado, para Al 16-35 mm2 / Cu 4-10 mm2, para Fase Aislada, tipo Perforación</t>
  </si>
  <si>
    <t xml:space="preserve">Conector para Al 25 mm², para Neutro Desnudo, tipo Cuña</t>
  </si>
  <si>
    <t xml:space="preserve">Conector Aislado para Al 16-35 mm2, para Fase Aislada, tipo Perforación</t>
  </si>
  <si>
    <t xml:space="preserve">Correa Plástica de Amarre, color negro</t>
  </si>
  <si>
    <t xml:space="preserve">Cinta aislante</t>
  </si>
  <si>
    <t>ROLLO</t>
  </si>
  <si>
    <t xml:space="preserve">Grapa de Anclaje para Conductor de 25 mm²</t>
  </si>
  <si>
    <t xml:space="preserve">Cinta plana de armar 1.3 mm x 7.6 mm</t>
  </si>
  <si>
    <t xml:space="preserve">Varilla de Anclaje de A°G° de 16 mm Ø x 2,40 m, provisto de Ojal Guardacabo en un extremo; Tuerca y Contratuerca en el otro</t>
  </si>
  <si>
    <t xml:space="preserve">Arandela de Anclaje de A°G°, 102 x 102 x 6,35 mm, Agujero de 18 mmø</t>
  </si>
  <si>
    <t xml:space="preserve">Arandela Cuadrada Curva de A° G°, 57 x 57 x 5 mm, Agujero de 18 mm Ø</t>
  </si>
  <si>
    <t xml:space="preserve">Bloque de concreto de 0,40 x 0,40 x 0,15 m</t>
  </si>
  <si>
    <t xml:space="preserve">SUB-TOTAL 6: </t>
  </si>
  <si>
    <t xml:space="preserve">LUMINARIAS LÁMPARAS Y ACCESORIOS</t>
  </si>
  <si>
    <t xml:space="preserve">Luminaria para alumbrado público con tecnología LED de 50W a 55W (incluye accesorios de encendido y protección)</t>
  </si>
  <si>
    <t xml:space="preserve">PUESTA A TIERRA</t>
  </si>
  <si>
    <t xml:space="preserve">Conector de bronce para electrodo de 16 mm ø y Cable de Acero con Recubrimiento Metalúrgico de Cobre de 4 AWG (21,15 mm2)</t>
  </si>
  <si>
    <t xml:space="preserve">SUB-TOTAL 9: </t>
  </si>
  <si>
    <t xml:space="preserve">CONEXIONES DOMICILIARIAS</t>
  </si>
  <si>
    <t xml:space="preserve">Templador de AºGº </t>
  </si>
  <si>
    <t xml:space="preserve">SISTEMA FOTOVOLTAICO DOMESTICO</t>
  </si>
  <si>
    <t xml:space="preserve">Tubo PVC de 1/2" diámetro x 3 m longitud, clase pesada (SAP)</t>
  </si>
  <si>
    <t xml:space="preserve">Curva de PVC  de 1/2" de diámetro, clase pesada (SAP)</t>
  </si>
  <si>
    <t xml:space="preserve">Conector hembra roscado de PVC  de 1/2" con tuerca de ajuste, para fijación de tubo SAP a cajas</t>
  </si>
  <si>
    <t xml:space="preserve">Abrazadera de F°G° de una oreja para tubo de PVC de 1/2" diámetro con accesorios de fijación</t>
  </si>
  <si>
    <t xml:space="preserve">Unión de  PVC de 1/2" SAP</t>
  </si>
  <si>
    <t xml:space="preserve">Conector de Bronce para Electrodo de 16 mm ø y Conductor de Cobre de 10 mm2</t>
  </si>
  <si>
    <t xml:space="preserve">Caja Registro de Concreto para Puesta a Tierra ø 0,40 m x 0,30 m</t>
  </si>
  <si>
    <t xml:space="preserve">Tubo PVC de 3/4" diámetro x 3 m longitud, clase pesada (SAP)</t>
  </si>
  <si>
    <t xml:space="preserve">Curva de PVC  de 3/4" de diámetro, clase pesada (SAP)</t>
  </si>
  <si>
    <t xml:space="preserve">SUB-TOTAL 8: </t>
  </si>
  <si>
    <t xml:space="preserve">SUB TOTAL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</si>
</sst>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sz val="10.000000"/>
      <name val="Arial"/>
    </font>
    <font>
      <b/>
      <sz val="8.000000"/>
      <color theme="1"/>
      <name val="Calibri"/>
      <scheme val="minor"/>
    </font>
    <font>
      <b/>
      <sz val="8.000000"/>
      <name val="Calibri"/>
      <scheme val="minor"/>
    </font>
    <font>
      <sz val="8.000000"/>
      <color theme="1"/>
      <name val="Calibri"/>
      <scheme val="minor"/>
    </font>
    <font>
      <b/>
      <sz val="8.000000"/>
      <color theme="4"/>
      <name val="Calibri"/>
      <scheme val="minor"/>
    </font>
    <font>
      <b/>
      <sz val="8.000000"/>
      <color theme="1"/>
      <name val="Arial"/>
    </font>
    <font>
      <sz val="8.000000"/>
      <color theme="1"/>
      <name val="Arial"/>
    </font>
    <font>
      <b/>
      <sz val="8.000000"/>
      <name val="Arial"/>
    </font>
    <font>
      <sz val="7.000000"/>
      <color theme="1"/>
      <name val="Arial"/>
    </font>
    <font>
      <sz val="8.000000"/>
      <name val="Arial"/>
    </font>
    <font>
      <b/>
      <sz val="8.000000"/>
      <color theme="8" tint="-0.249977111117893"/>
      <name val="Arial"/>
    </font>
    <font>
      <b/>
      <sz val="8.000000"/>
      <color theme="8" tint="-0.249977111117893"/>
      <name val="Calibri"/>
      <scheme val="minor"/>
    </font>
    <font>
      <sz val="8.000000"/>
      <color theme="4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</patternFill>
    </fill>
  </fills>
  <borders count="2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thin">
        <color auto="1"/>
      </left>
      <right style="none"/>
      <top style="none"/>
      <bottom style="hair">
        <color auto="1"/>
      </bottom>
      <diagonal style="none"/>
    </border>
    <border>
      <left style="thin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hair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hair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</cellStyleXfs>
  <cellXfs count="114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horizontal="right"/>
    </xf>
    <xf fontId="2" fillId="2" borderId="1" numFmtId="0" xfId="3" applyFont="1" applyFill="1" applyBorder="1" applyAlignment="1">
      <alignment horizontal="center" vertical="center"/>
    </xf>
    <xf fontId="2" fillId="2" borderId="1" numFmtId="0" xfId="3" applyFont="1" applyFill="1" applyBorder="1" applyAlignment="1">
      <alignment horizontal="center" vertical="center" wrapText="1"/>
    </xf>
    <xf fontId="3" fillId="2" borderId="2" numFmtId="2" xfId="3" applyNumberFormat="1" applyFont="1" applyFill="1" applyBorder="1" applyAlignment="1">
      <alignment horizontal="center" vertical="center"/>
    </xf>
    <xf fontId="3" fillId="2" borderId="2" numFmtId="0" xfId="3" applyFont="1" applyFill="1" applyBorder="1" applyAlignment="1">
      <alignment horizontal="center" vertical="center"/>
    </xf>
    <xf fontId="3" fillId="2" borderId="3" numFmtId="2" xfId="3" applyNumberFormat="1" applyFont="1" applyFill="1" applyBorder="1" applyAlignment="1">
      <alignment horizontal="center" vertical="center"/>
    </xf>
    <xf fontId="3" fillId="2" borderId="0" numFmtId="2" xfId="3" applyNumberFormat="1" applyFont="1" applyFill="1" applyAlignment="1">
      <alignment horizontal="center" vertical="center"/>
    </xf>
    <xf fontId="2" fillId="2" borderId="4" numFmtId="0" xfId="3" applyFont="1" applyFill="1" applyBorder="1" applyAlignment="1">
      <alignment horizontal="center" vertical="center"/>
    </xf>
    <xf fontId="2" fillId="2" borderId="4" numFmtId="0" xfId="3" applyFont="1" applyFill="1" applyBorder="1" applyAlignment="1">
      <alignment horizontal="center" vertical="center" wrapText="1"/>
    </xf>
    <xf fontId="3" fillId="2" borderId="5" numFmtId="0" xfId="3" applyFont="1" applyFill="1" applyBorder="1" applyAlignment="1">
      <alignment horizontal="center" vertical="center" wrapText="1"/>
    </xf>
    <xf fontId="3" fillId="2" borderId="2" numFmtId="2" xfId="3" applyNumberFormat="1" applyFont="1" applyFill="1" applyBorder="1" applyAlignment="1">
      <alignment horizontal="center" vertical="center" wrapText="1"/>
    </xf>
    <xf fontId="4" fillId="0" borderId="2" numFmtId="0" xfId="0" applyFont="1" applyBorder="1"/>
    <xf fontId="5" fillId="0" borderId="2" numFmtId="2" xfId="3" applyNumberFormat="1" applyFont="1" applyBorder="1" applyAlignment="1">
      <alignment horizontal="center" vertical="center"/>
    </xf>
    <xf fontId="5" fillId="0" borderId="2" numFmtId="0" xfId="3" applyFont="1" applyBorder="1" applyAlignment="1">
      <alignment vertical="center" wrapText="1"/>
    </xf>
    <xf fontId="5" fillId="0" borderId="5" numFmtId="0" xfId="3" applyFont="1" applyBorder="1" applyAlignment="1">
      <alignment horizontal="center" vertical="center"/>
    </xf>
    <xf fontId="5" fillId="0" borderId="2" numFmtId="2" xfId="3" applyNumberFormat="1" applyFont="1" applyBorder="1" applyAlignment="1">
      <alignment horizontal="right" vertical="center"/>
    </xf>
    <xf fontId="0" fillId="0" borderId="2" numFmtId="0" xfId="0" applyBorder="1"/>
    <xf fontId="6" fillId="0" borderId="6" numFmtId="2" xfId="3" applyNumberFormat="1" applyFont="1" applyBorder="1" applyAlignment="1">
      <alignment horizontal="center" vertical="center"/>
    </xf>
    <xf fontId="6" fillId="0" borderId="6" numFmtId="0" xfId="3" applyFont="1" applyBorder="1" applyAlignment="1">
      <alignment vertical="center" wrapText="1"/>
    </xf>
    <xf fontId="6" fillId="0" borderId="7" numFmtId="2" xfId="3" applyNumberFormat="1" applyFont="1" applyBorder="1" applyAlignment="1">
      <alignment horizontal="center" vertical="center"/>
    </xf>
    <xf fontId="6" fillId="0" borderId="8" numFmtId="0" xfId="3" applyFont="1" applyBorder="1" applyAlignment="1">
      <alignment horizontal="center" vertical="center"/>
    </xf>
    <xf fontId="7" fillId="0" borderId="2" numFmtId="4" xfId="3" applyNumberFormat="1" applyFont="1" applyBorder="1" applyAlignment="1">
      <alignment horizontal="right" vertical="center"/>
    </xf>
    <xf fontId="7" fillId="0" borderId="2" numFmtId="0" xfId="0" applyFont="1" applyBorder="1"/>
    <xf fontId="7" fillId="0" borderId="6" numFmtId="2" xfId="3" applyNumberFormat="1" applyFont="1" applyBorder="1" applyAlignment="1">
      <alignment horizontal="center" vertical="center"/>
    </xf>
    <xf fontId="7" fillId="0" borderId="9" numFmtId="0" xfId="1" applyFont="1" applyBorder="1" applyAlignment="1">
      <alignment vertical="center" wrapText="1"/>
    </xf>
    <xf fontId="7" fillId="0" borderId="7" numFmtId="2" xfId="3" applyNumberFormat="1" applyFont="1" applyBorder="1" applyAlignment="1">
      <alignment horizontal="center" vertical="center"/>
    </xf>
    <xf fontId="7" fillId="0" borderId="8" numFmtId="0" xfId="3" applyFont="1" applyBorder="1" applyAlignment="1">
      <alignment horizontal="center" vertical="center"/>
    </xf>
    <xf fontId="7" fillId="0" borderId="2" numFmtId="2" xfId="0" applyNumberFormat="1" applyFont="1" applyBorder="1"/>
    <xf fontId="6" fillId="0" borderId="6" numFmtId="0" xfId="1" applyFont="1" applyBorder="1" applyAlignment="1">
      <alignment horizontal="right" vertical="center" wrapText="1"/>
    </xf>
    <xf fontId="6" fillId="0" borderId="2" numFmtId="4" xfId="3" applyNumberFormat="1" applyFont="1" applyBorder="1" applyAlignment="1">
      <alignment horizontal="right" vertical="center"/>
    </xf>
    <xf fontId="7" fillId="0" borderId="10" numFmtId="0" xfId="1" applyFont="1" applyBorder="1" applyAlignment="1">
      <alignment vertical="center" wrapText="1"/>
    </xf>
    <xf fontId="6" fillId="0" borderId="11" numFmtId="0" xfId="3" applyFont="1" applyBorder="1" applyAlignment="1">
      <alignment vertical="center" wrapText="1"/>
    </xf>
    <xf fontId="7" fillId="0" borderId="12" numFmtId="2" xfId="3" applyNumberFormat="1" applyFont="1" applyBorder="1" applyAlignment="1">
      <alignment horizontal="center" vertical="center"/>
    </xf>
    <xf fontId="7" fillId="0" borderId="3" numFmtId="0" xfId="3" applyFont="1" applyBorder="1" applyAlignment="1">
      <alignment horizontal="center" vertical="center"/>
    </xf>
    <xf fontId="6" fillId="0" borderId="11" numFmtId="2" xfId="3" applyNumberFormat="1" applyFont="1" applyBorder="1" applyAlignment="1">
      <alignment horizontal="center" vertical="center"/>
    </xf>
    <xf fontId="6" fillId="0" borderId="11" numFmtId="2" xfId="3" applyNumberFormat="1" applyFont="1" applyBorder="1" applyAlignment="1">
      <alignment horizontal="center" vertical="center" wrapText="1"/>
    </xf>
    <xf fontId="6" fillId="0" borderId="12" numFmtId="2" xfId="3" applyNumberFormat="1" applyFont="1" applyBorder="1" applyAlignment="1">
      <alignment horizontal="center" vertical="center"/>
    </xf>
    <xf fontId="6" fillId="0" borderId="3" numFmtId="0" xfId="3" applyFont="1" applyBorder="1" applyAlignment="1">
      <alignment horizontal="center" vertical="center"/>
    </xf>
    <xf fontId="7" fillId="0" borderId="0" numFmtId="0" xfId="0" applyFont="1"/>
    <xf fontId="7" fillId="0" borderId="0" numFmtId="0" xfId="0" applyFont="1" applyAlignment="1">
      <alignment wrapText="1"/>
    </xf>
    <xf fontId="6" fillId="0" borderId="2" numFmtId="0" xfId="0" applyFont="1" applyBorder="1" applyAlignment="1">
      <alignment horizontal="right"/>
    </xf>
    <xf fontId="6" fillId="0" borderId="2" numFmtId="2" xfId="0" applyNumberFormat="1" applyFont="1" applyBorder="1"/>
    <xf fontId="6" fillId="2" borderId="1" numFmtId="0" xfId="3" applyFont="1" applyFill="1" applyBorder="1" applyAlignment="1">
      <alignment horizontal="center" vertical="center"/>
    </xf>
    <xf fontId="6" fillId="2" borderId="1" numFmtId="0" xfId="3" applyFont="1" applyFill="1" applyBorder="1" applyAlignment="1">
      <alignment horizontal="center" vertical="center" wrapText="1"/>
    </xf>
    <xf fontId="8" fillId="2" borderId="13" numFmtId="0" xfId="3" applyFont="1" applyFill="1" applyBorder="1" applyAlignment="1">
      <alignment horizontal="center" vertical="center"/>
    </xf>
    <xf fontId="8" fillId="2" borderId="14" numFmtId="0" xfId="3" applyFont="1" applyFill="1" applyBorder="1" applyAlignment="1">
      <alignment horizontal="center" vertical="center" wrapText="1"/>
    </xf>
    <xf fontId="8" fillId="2" borderId="13" numFmtId="2" xfId="3" applyNumberFormat="1" applyFont="1" applyFill="1" applyBorder="1" applyAlignment="1">
      <alignment horizontal="center" vertical="center" wrapText="1"/>
    </xf>
    <xf fontId="9" fillId="0" borderId="0" numFmtId="0" xfId="0" applyFont="1" applyAlignment="1">
      <alignment horizontal="center" vertical="center" wrapText="1"/>
    </xf>
    <xf fontId="6" fillId="2" borderId="12" numFmtId="0" xfId="3" applyFont="1" applyFill="1" applyBorder="1" applyAlignment="1">
      <alignment horizontal="center" vertical="center"/>
    </xf>
    <xf fontId="6" fillId="2" borderId="12" numFmtId="0" xfId="3" applyFont="1" applyFill="1" applyBorder="1" applyAlignment="1">
      <alignment horizontal="center" vertical="center" wrapText="1"/>
    </xf>
    <xf fontId="8" fillId="2" borderId="15" numFmtId="0" xfId="3" applyFont="1" applyFill="1" applyBorder="1" applyAlignment="1">
      <alignment horizontal="center" vertical="center"/>
    </xf>
    <xf fontId="8" fillId="2" borderId="16" numFmtId="0" xfId="3" applyFont="1" applyFill="1" applyBorder="1" applyAlignment="1">
      <alignment horizontal="center" vertical="center" wrapText="1"/>
    </xf>
    <xf fontId="8" fillId="2" borderId="15" numFmtId="2" xfId="3" applyNumberFormat="1" applyFont="1" applyFill="1" applyBorder="1" applyAlignment="1">
      <alignment horizontal="center" vertical="center" wrapText="1"/>
    </xf>
    <xf fontId="9" fillId="0" borderId="17" numFmtId="0" xfId="0" applyFont="1" applyBorder="1" applyAlignment="1">
      <alignment horizontal="center" vertical="center" wrapText="1"/>
    </xf>
    <xf fontId="10" fillId="0" borderId="1" numFmtId="0" xfId="3" applyFont="1" applyBorder="1" applyAlignment="1">
      <alignment horizontal="center" vertical="center"/>
    </xf>
    <xf fontId="11" fillId="0" borderId="2" numFmtId="0" xfId="3" applyFont="1" applyBorder="1" applyAlignment="1">
      <alignment vertical="center" wrapText="1"/>
    </xf>
    <xf fontId="10" fillId="0" borderId="12" numFmtId="0" xfId="3" applyFont="1" applyBorder="1" applyAlignment="1">
      <alignment horizontal="center" vertical="center"/>
    </xf>
    <xf fontId="10" fillId="0" borderId="3" numFmtId="0" xfId="3" applyFont="1" applyBorder="1" applyAlignment="1">
      <alignment horizontal="center" vertical="center"/>
    </xf>
    <xf fontId="10" fillId="0" borderId="2" numFmtId="2" xfId="3" applyNumberFormat="1" applyFont="1" applyBorder="1" applyAlignment="1">
      <alignment horizontal="right" vertical="center"/>
    </xf>
    <xf fontId="11" fillId="0" borderId="2" numFmtId="0" xfId="3" applyFont="1" applyBorder="1" applyAlignment="1">
      <alignment horizontal="center" vertical="center"/>
    </xf>
    <xf fontId="11" fillId="0" borderId="2" numFmtId="4" xfId="3" applyNumberFormat="1" applyFont="1" applyBorder="1" applyAlignment="1">
      <alignment horizontal="center" vertical="center"/>
    </xf>
    <xf fontId="11" fillId="0" borderId="5" numFmtId="4" xfId="3" applyNumberFormat="1" applyFont="1" applyBorder="1" applyAlignment="1">
      <alignment horizontal="center" vertical="center"/>
    </xf>
    <xf fontId="11" fillId="0" borderId="2" numFmtId="2" xfId="3" applyNumberFormat="1" applyFont="1" applyBorder="1" applyAlignment="1">
      <alignment horizontal="right" vertical="center"/>
    </xf>
    <xf fontId="6" fillId="0" borderId="6" numFmtId="4" xfId="3" applyNumberFormat="1" applyFont="1" applyBorder="1" applyAlignment="1">
      <alignment horizontal="center" vertical="center"/>
    </xf>
    <xf fontId="7" fillId="0" borderId="7" numFmtId="4" xfId="3" applyNumberFormat="1" applyFont="1" applyBorder="1" applyAlignment="1">
      <alignment horizontal="center" vertical="center"/>
    </xf>
    <xf fontId="7" fillId="0" borderId="6" numFmtId="4" xfId="3" applyNumberFormat="1" applyFont="1" applyBorder="1" applyAlignment="1">
      <alignment horizontal="center" vertical="center"/>
    </xf>
    <xf fontId="6" fillId="0" borderId="7" numFmtId="4" xfId="3" applyNumberFormat="1" applyFont="1" applyBorder="1" applyAlignment="1">
      <alignment horizontal="center" vertical="center"/>
    </xf>
    <xf fontId="6" fillId="0" borderId="18" numFmtId="2" xfId="3" applyNumberFormat="1" applyFont="1" applyBorder="1" applyAlignment="1">
      <alignment horizontal="center" vertical="center"/>
    </xf>
    <xf fontId="6" fillId="0" borderId="19" numFmtId="2" xfId="3" applyNumberFormat="1" applyFont="1" applyBorder="1" applyAlignment="1">
      <alignment horizontal="right" vertical="center" wrapText="1"/>
    </xf>
    <xf fontId="6" fillId="0" borderId="19" numFmtId="2" xfId="3" applyNumberFormat="1" applyFont="1" applyBorder="1" applyAlignment="1">
      <alignment horizontal="center" vertical="center"/>
    </xf>
    <xf fontId="6" fillId="0" borderId="20" numFmtId="0" xfId="3" applyFont="1" applyBorder="1" applyAlignment="1">
      <alignment horizontal="center" vertical="center"/>
    </xf>
    <xf fontId="7" fillId="0" borderId="2" numFmtId="0" xfId="0" applyFont="1" applyBorder="1" applyAlignment="1">
      <alignment horizontal="right"/>
    </xf>
    <xf fontId="7" fillId="0" borderId="0" numFmtId="0" xfId="0" applyFont="1" applyAlignment="1">
      <alignment horizontal="right"/>
    </xf>
    <xf fontId="2" fillId="2" borderId="12" numFmtId="0" xfId="3" applyFont="1" applyFill="1" applyBorder="1" applyAlignment="1">
      <alignment horizontal="center" vertical="center"/>
    </xf>
    <xf fontId="2" fillId="2" borderId="12" numFmtId="0" xfId="3" applyFont="1" applyFill="1" applyBorder="1" applyAlignment="1">
      <alignment horizontal="center" vertical="center" wrapText="1"/>
    </xf>
    <xf fontId="3" fillId="2" borderId="2" numFmtId="0" xfId="3" applyFont="1" applyFill="1" applyBorder="1" applyAlignment="1">
      <alignment horizontal="center" vertical="center" wrapText="1"/>
    </xf>
    <xf fontId="2" fillId="0" borderId="2" numFmtId="0" xfId="0" applyFont="1" applyBorder="1" applyAlignment="1">
      <alignment horizontal="center" wrapText="1"/>
    </xf>
    <xf fontId="4" fillId="0" borderId="21" numFmtId="0" xfId="3" applyFont="1" applyBorder="1" applyAlignment="1">
      <alignment horizontal="center" vertical="center"/>
    </xf>
    <xf fontId="12" fillId="0" borderId="2" numFmtId="0" xfId="3" applyFont="1" applyBorder="1" applyAlignment="1">
      <alignment vertical="center" wrapText="1"/>
    </xf>
    <xf fontId="2" fillId="0" borderId="12" numFmtId="0" xfId="3" applyFont="1" applyBorder="1" applyAlignment="1">
      <alignment horizontal="center" vertical="center"/>
    </xf>
    <xf fontId="2" fillId="0" borderId="12" numFmtId="2" xfId="3" applyNumberFormat="1" applyFont="1" applyBorder="1" applyAlignment="1">
      <alignment horizontal="right" vertical="center"/>
    </xf>
    <xf fontId="12" fillId="0" borderId="2" numFmtId="0" xfId="3" applyFont="1" applyBorder="1" applyAlignment="1">
      <alignment horizontal="center" vertical="center"/>
    </xf>
    <xf fontId="12" fillId="0" borderId="2" numFmtId="4" xfId="3" applyNumberFormat="1" applyFont="1" applyBorder="1" applyAlignment="1">
      <alignment horizontal="center" vertical="center"/>
    </xf>
    <xf fontId="12" fillId="0" borderId="2" numFmtId="4" xfId="3" applyNumberFormat="1" applyFont="1" applyBorder="1" applyAlignment="1">
      <alignment horizontal="right" vertical="center"/>
    </xf>
    <xf fontId="2" fillId="0" borderId="6" numFmtId="4" xfId="3" applyNumberFormat="1" applyFont="1" applyBorder="1" applyAlignment="1">
      <alignment horizontal="center" vertical="center"/>
    </xf>
    <xf fontId="2" fillId="0" borderId="6" numFmtId="0" xfId="3" applyFont="1" applyBorder="1" applyAlignment="1">
      <alignment vertical="center" wrapText="1"/>
    </xf>
    <xf fontId="6" fillId="0" borderId="9" numFmtId="0" xfId="1" applyFont="1" applyBorder="1" applyAlignment="1">
      <alignment horizontal="center" vertical="center"/>
    </xf>
    <xf fontId="4" fillId="0" borderId="7" numFmtId="4" xfId="3" applyNumberFormat="1" applyFont="1" applyBorder="1" applyAlignment="1">
      <alignment horizontal="right" vertical="center"/>
    </xf>
    <xf fontId="4" fillId="0" borderId="6" numFmtId="4" xfId="3" applyNumberFormat="1" applyFont="1" applyBorder="1" applyAlignment="1">
      <alignment horizontal="center" vertical="center"/>
    </xf>
    <xf fontId="7" fillId="0" borderId="9" numFmtId="0" xfId="1" applyFont="1" applyBorder="1" applyAlignment="1">
      <alignment horizontal="center" vertical="center"/>
    </xf>
    <xf fontId="4" fillId="0" borderId="2" numFmtId="2" xfId="0" applyNumberFormat="1" applyFont="1" applyBorder="1"/>
    <xf fontId="4" fillId="0" borderId="12" numFmtId="4" xfId="3" applyNumberFormat="1" applyFont="1" applyBorder="1" applyAlignment="1">
      <alignment horizontal="right" vertical="center"/>
    </xf>
    <xf fontId="2" fillId="0" borderId="18" numFmtId="2" xfId="3" applyNumberFormat="1" applyFont="1" applyBorder="1" applyAlignment="1">
      <alignment horizontal="center" vertical="center"/>
    </xf>
    <xf fontId="2" fillId="0" borderId="19" numFmtId="2" xfId="3" applyNumberFormat="1" applyFont="1" applyBorder="1" applyAlignment="1">
      <alignment horizontal="center" vertical="center" wrapText="1"/>
    </xf>
    <xf fontId="2" fillId="0" borderId="19" numFmtId="2" xfId="3" applyNumberFormat="1" applyFont="1" applyBorder="1" applyAlignment="1">
      <alignment horizontal="center" vertical="center"/>
    </xf>
    <xf fontId="2" fillId="0" borderId="20" numFmtId="0" xfId="3" applyFont="1" applyBorder="1" applyAlignment="1">
      <alignment horizontal="center" vertical="center"/>
    </xf>
    <xf fontId="2" fillId="0" borderId="2" numFmtId="4" xfId="3" applyNumberFormat="1" applyFont="1" applyBorder="1" applyAlignment="1">
      <alignment horizontal="right" vertical="center"/>
    </xf>
    <xf fontId="2" fillId="0" borderId="2" numFmtId="2" xfId="0" applyNumberFormat="1" applyFont="1" applyBorder="1"/>
    <xf fontId="2" fillId="0" borderId="2" numFmtId="0" xfId="0" applyFont="1" applyBorder="1" applyAlignment="1">
      <alignment horizontal="right"/>
    </xf>
    <xf fontId="3" fillId="2" borderId="1" numFmtId="2" xfId="3" applyNumberFormat="1" applyFont="1" applyFill="1" applyBorder="1" applyAlignment="1">
      <alignment horizontal="right" vertical="center"/>
    </xf>
    <xf fontId="2" fillId="0" borderId="2" numFmtId="0" xfId="0" applyFont="1" applyBorder="1"/>
    <xf fontId="4" fillId="0" borderId="1" numFmtId="0" xfId="3" applyFont="1" applyBorder="1" applyAlignment="1">
      <alignment horizontal="center" vertical="center"/>
    </xf>
    <xf fontId="12" fillId="0" borderId="1" numFmtId="0" xfId="3" applyFont="1" applyBorder="1" applyAlignment="1">
      <alignment vertical="center" wrapText="1"/>
    </xf>
    <xf fontId="2" fillId="0" borderId="3" numFmtId="0" xfId="3" applyFont="1" applyBorder="1" applyAlignment="1">
      <alignment horizontal="center" vertical="center"/>
    </xf>
    <xf fontId="2" fillId="0" borderId="2" numFmtId="2" xfId="3" applyNumberFormat="1" applyFont="1" applyBorder="1" applyAlignment="1">
      <alignment horizontal="right" vertical="center"/>
    </xf>
    <xf fontId="5" fillId="0" borderId="2" numFmtId="0" xfId="3" applyFont="1" applyBorder="1" applyAlignment="1">
      <alignment horizontal="center" vertical="center"/>
    </xf>
    <xf fontId="13" fillId="0" borderId="2" numFmtId="0" xfId="3" applyFont="1" applyBorder="1" applyAlignment="1">
      <alignment horizontal="center" vertical="center"/>
    </xf>
    <xf fontId="13" fillId="0" borderId="5" numFmtId="0" xfId="3" applyFont="1" applyBorder="1" applyAlignment="1">
      <alignment horizontal="center" vertical="center"/>
    </xf>
    <xf fontId="4" fillId="0" borderId="7" numFmtId="0" xfId="3" applyFont="1" applyBorder="1" applyAlignment="1">
      <alignment horizontal="center" vertical="center"/>
    </xf>
    <xf fontId="4" fillId="0" borderId="8" numFmtId="0" xfId="3" applyFont="1" applyBorder="1" applyAlignment="1">
      <alignment horizontal="center" vertical="center"/>
    </xf>
    <xf fontId="2" fillId="0" borderId="7" numFmtId="0" xfId="3" applyFont="1" applyBorder="1" applyAlignment="1">
      <alignment horizontal="center" vertical="center"/>
    </xf>
    <xf fontId="2" fillId="0" borderId="8" numFmtId="0" xfId="3" applyFont="1" applyBorder="1" applyAlignment="1">
      <alignment horizontal="center" vertical="center"/>
    </xf>
  </cellXfs>
  <cellStyles count="4">
    <cellStyle name="Normal" xfId="0" builtinId="0"/>
    <cellStyle name="Normal 2 2" xfId="1"/>
    <cellStyle name="Normal 2 3 2" xfId="2"/>
    <cellStyle name="Normal 2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6" zoomScale="100" workbookViewId="0">
      <selection activeCell="C31" activeCellId="0" sqref="C31"/>
    </sheetView>
  </sheetViews>
  <sheetFormatPr baseColWidth="10" defaultColWidth="10.7109375" defaultRowHeight="14.25"/>
  <cols>
    <col customWidth="1" min="1" max="1" width="2.7109375"/>
    <col customWidth="1" min="2" max="2" width="7.28515625"/>
    <col customWidth="1" min="3" max="3" style="1" width="57.85546875"/>
    <col min="6" max="6" style="2" width="11.42578125"/>
  </cols>
  <sheetData>
    <row r="2">
      <c r="B2" s="3" t="s">
        <v>0</v>
      </c>
      <c r="C2" s="4" t="s">
        <v>1</v>
      </c>
      <c r="D2" s="5"/>
      <c r="E2" s="6"/>
      <c r="F2" s="7" t="s">
        <v>2</v>
      </c>
      <c r="G2" s="8"/>
    </row>
    <row r="3" ht="22.5">
      <c r="B3" s="9"/>
      <c r="C3" s="10"/>
      <c r="D3" s="5" t="s">
        <v>3</v>
      </c>
      <c r="E3" s="11" t="s">
        <v>4</v>
      </c>
      <c r="F3" s="12" t="s">
        <v>5</v>
      </c>
      <c r="G3" s="13" t="s">
        <v>6</v>
      </c>
    </row>
    <row r="4" ht="11.25" customHeight="1">
      <c r="B4" s="14"/>
      <c r="C4" s="15" t="s">
        <v>7</v>
      </c>
      <c r="D4" s="14"/>
      <c r="E4" s="16"/>
      <c r="F4" s="17"/>
      <c r="G4" s="18"/>
    </row>
    <row r="5">
      <c r="B5" s="14" t="s">
        <v>8</v>
      </c>
      <c r="C5" s="15" t="s">
        <v>9</v>
      </c>
      <c r="D5" s="14"/>
      <c r="E5" s="16"/>
      <c r="F5" s="17"/>
      <c r="G5" s="18"/>
    </row>
    <row r="6">
      <c r="B6" s="19">
        <v>1</v>
      </c>
      <c r="C6" s="20" t="s">
        <v>10</v>
      </c>
      <c r="D6" s="21">
        <v>0</v>
      </c>
      <c r="E6" s="22">
        <v>0</v>
      </c>
      <c r="F6" s="23"/>
      <c r="G6" s="24"/>
    </row>
    <row r="7">
      <c r="B7" s="25">
        <v>2.0099999999999998</v>
      </c>
      <c r="C7" s="26" t="s">
        <v>11</v>
      </c>
      <c r="D7" s="27" t="s">
        <v>12</v>
      </c>
      <c r="E7" s="28">
        <v>4</v>
      </c>
      <c r="F7" s="23">
        <v>1400</v>
      </c>
      <c r="G7" s="29">
        <f t="shared" ref="G7:G46" si="0">F7*E7</f>
        <v>5600</v>
      </c>
    </row>
    <row r="8">
      <c r="B8" s="25">
        <v>2.02</v>
      </c>
      <c r="C8" s="26" t="s">
        <v>13</v>
      </c>
      <c r="D8" s="27" t="s">
        <v>12</v>
      </c>
      <c r="E8" s="28">
        <v>11</v>
      </c>
      <c r="F8" s="23">
        <v>1510</v>
      </c>
      <c r="G8" s="29">
        <f t="shared" si="0"/>
        <v>16610</v>
      </c>
    </row>
    <row r="9">
      <c r="B9" s="19"/>
      <c r="C9" s="30" t="s">
        <v>14</v>
      </c>
      <c r="D9" s="21"/>
      <c r="E9" s="22"/>
      <c r="F9" s="31"/>
      <c r="G9" s="29"/>
    </row>
    <row r="10">
      <c r="B10" s="19">
        <v>2</v>
      </c>
      <c r="C10" s="20" t="s">
        <v>15</v>
      </c>
      <c r="D10" s="21">
        <v>0</v>
      </c>
      <c r="E10" s="22">
        <v>0</v>
      </c>
      <c r="F10" s="23"/>
      <c r="G10" s="29"/>
    </row>
    <row r="11">
      <c r="B11" s="25">
        <v>4.0099999999999998</v>
      </c>
      <c r="C11" s="26" t="s">
        <v>16</v>
      </c>
      <c r="D11" s="27" t="s">
        <v>12</v>
      </c>
      <c r="E11" s="28">
        <v>24</v>
      </c>
      <c r="F11" s="23">
        <v>40</v>
      </c>
      <c r="G11" s="29">
        <f t="shared" si="0"/>
        <v>960</v>
      </c>
    </row>
    <row r="12">
      <c r="B12" s="25">
        <v>4.0199999999999996</v>
      </c>
      <c r="C12" s="26" t="s">
        <v>17</v>
      </c>
      <c r="D12" s="27" t="s">
        <v>12</v>
      </c>
      <c r="E12" s="28">
        <v>24</v>
      </c>
      <c r="F12" s="23">
        <v>30</v>
      </c>
      <c r="G12" s="29">
        <f t="shared" si="0"/>
        <v>720</v>
      </c>
    </row>
    <row r="13" ht="31.5">
      <c r="B13" s="25">
        <v>4.0300000000000002</v>
      </c>
      <c r="C13" s="32" t="s">
        <v>18</v>
      </c>
      <c r="D13" s="27" t="s">
        <v>12</v>
      </c>
      <c r="E13" s="28">
        <v>307</v>
      </c>
      <c r="F13" s="23">
        <v>88</v>
      </c>
      <c r="G13" s="29">
        <f t="shared" si="0"/>
        <v>27016</v>
      </c>
    </row>
    <row r="14">
      <c r="B14" s="19"/>
      <c r="C14" s="30" t="s">
        <v>19</v>
      </c>
      <c r="D14" s="21"/>
      <c r="E14" s="22"/>
      <c r="F14" s="31"/>
      <c r="G14" s="29"/>
    </row>
    <row r="15">
      <c r="B15" s="19">
        <f>+B10+1</f>
        <v>3</v>
      </c>
      <c r="C15" s="20" t="s">
        <v>20</v>
      </c>
      <c r="D15" s="21">
        <v>0</v>
      </c>
      <c r="E15" s="22">
        <v>0</v>
      </c>
      <c r="F15" s="23"/>
      <c r="G15" s="29"/>
    </row>
    <row r="16">
      <c r="B16" s="25">
        <v>5.0099999999999998</v>
      </c>
      <c r="C16" s="26" t="s">
        <v>21</v>
      </c>
      <c r="D16" s="27" t="s">
        <v>12</v>
      </c>
      <c r="E16" s="28">
        <v>283</v>
      </c>
      <c r="F16" s="23">
        <v>6</v>
      </c>
      <c r="G16" s="29">
        <f t="shared" si="0"/>
        <v>1698</v>
      </c>
    </row>
    <row r="17" ht="21">
      <c r="B17" s="25">
        <v>5.0199999999999996</v>
      </c>
      <c r="C17" s="26" t="s">
        <v>22</v>
      </c>
      <c r="D17" s="27" t="s">
        <v>12</v>
      </c>
      <c r="E17" s="28">
        <v>283</v>
      </c>
      <c r="F17" s="23">
        <v>39.600000000000001</v>
      </c>
      <c r="G17" s="29">
        <f t="shared" si="0"/>
        <v>11206.800000000001</v>
      </c>
    </row>
    <row r="18">
      <c r="B18" s="19"/>
      <c r="C18" s="30" t="s">
        <v>23</v>
      </c>
      <c r="D18" s="21"/>
      <c r="E18" s="22"/>
      <c r="F18" s="31"/>
      <c r="G18" s="29"/>
    </row>
    <row r="19">
      <c r="B19" s="19">
        <v>3</v>
      </c>
      <c r="C19" s="20" t="s">
        <v>24</v>
      </c>
      <c r="D19" s="21">
        <v>0</v>
      </c>
      <c r="E19" s="22">
        <v>0</v>
      </c>
      <c r="F19" s="23"/>
      <c r="G19" s="29"/>
    </row>
    <row r="20">
      <c r="B20" s="25">
        <v>7.0099999999999998</v>
      </c>
      <c r="C20" s="26" t="s">
        <v>25</v>
      </c>
      <c r="D20" s="27" t="s">
        <v>12</v>
      </c>
      <c r="E20" s="28">
        <v>275</v>
      </c>
      <c r="F20" s="23">
        <v>6.5</v>
      </c>
      <c r="G20" s="29">
        <f t="shared" si="0"/>
        <v>1787.5</v>
      </c>
    </row>
    <row r="21">
      <c r="B21" s="25">
        <v>7.0199999999999996</v>
      </c>
      <c r="C21" s="26" t="s">
        <v>26</v>
      </c>
      <c r="D21" s="27" t="s">
        <v>12</v>
      </c>
      <c r="E21" s="28">
        <v>2</v>
      </c>
      <c r="F21" s="23">
        <v>10.5</v>
      </c>
      <c r="G21" s="29">
        <f t="shared" si="0"/>
        <v>21</v>
      </c>
    </row>
    <row r="22">
      <c r="B22" s="25">
        <v>7.0300000000000002</v>
      </c>
      <c r="C22" s="26" t="s">
        <v>27</v>
      </c>
      <c r="D22" s="27" t="s">
        <v>12</v>
      </c>
      <c r="E22" s="28">
        <v>190</v>
      </c>
      <c r="F22" s="23">
        <v>4.5</v>
      </c>
      <c r="G22" s="29">
        <f t="shared" si="0"/>
        <v>855</v>
      </c>
    </row>
    <row r="23">
      <c r="B23" s="25">
        <v>7.04</v>
      </c>
      <c r="C23" s="26" t="s">
        <v>28</v>
      </c>
      <c r="D23" s="27" t="s">
        <v>12</v>
      </c>
      <c r="E23" s="28">
        <v>6</v>
      </c>
      <c r="F23" s="23">
        <v>6</v>
      </c>
      <c r="G23" s="29">
        <f t="shared" si="0"/>
        <v>36</v>
      </c>
    </row>
    <row r="24">
      <c r="B24" s="25">
        <v>7.0899999999999999</v>
      </c>
      <c r="C24" s="26" t="s">
        <v>29</v>
      </c>
      <c r="D24" s="27" t="s">
        <v>12</v>
      </c>
      <c r="E24" s="28">
        <v>273</v>
      </c>
      <c r="F24" s="23">
        <v>17</v>
      </c>
      <c r="G24" s="29">
        <f t="shared" si="0"/>
        <v>4641</v>
      </c>
    </row>
    <row r="25">
      <c r="B25" s="25">
        <v>7.0999999999999996</v>
      </c>
      <c r="C25" s="26" t="s">
        <v>30</v>
      </c>
      <c r="D25" s="27" t="s">
        <v>12</v>
      </c>
      <c r="E25" s="28">
        <v>8</v>
      </c>
      <c r="F25" s="23">
        <v>21.5</v>
      </c>
      <c r="G25" s="29">
        <f t="shared" si="0"/>
        <v>172</v>
      </c>
    </row>
    <row r="26">
      <c r="B26" s="25">
        <v>7.1100000000000003</v>
      </c>
      <c r="C26" s="26" t="s">
        <v>31</v>
      </c>
      <c r="D26" s="27" t="s">
        <v>32</v>
      </c>
      <c r="E26" s="28">
        <v>281</v>
      </c>
      <c r="F26" s="23">
        <v>1.7</v>
      </c>
      <c r="G26" s="29">
        <f t="shared" si="0"/>
        <v>477.69999999999999</v>
      </c>
    </row>
    <row r="27">
      <c r="B27" s="19"/>
      <c r="C27" s="30" t="s">
        <v>33</v>
      </c>
      <c r="D27" s="21"/>
      <c r="E27" s="22"/>
      <c r="F27" s="31"/>
      <c r="G27" s="29"/>
    </row>
    <row r="28">
      <c r="B28" s="19">
        <v>4</v>
      </c>
      <c r="C28" s="20" t="s">
        <v>34</v>
      </c>
      <c r="D28" s="21">
        <v>0</v>
      </c>
      <c r="E28" s="22">
        <v>0</v>
      </c>
      <c r="F28" s="23"/>
      <c r="G28" s="29"/>
    </row>
    <row r="29">
      <c r="B29" s="25">
        <v>10.02</v>
      </c>
      <c r="C29" s="26" t="s">
        <v>35</v>
      </c>
      <c r="D29" s="27" t="s">
        <v>12</v>
      </c>
      <c r="E29" s="28">
        <v>166</v>
      </c>
      <c r="F29" s="23">
        <v>7</v>
      </c>
      <c r="G29" s="29">
        <f t="shared" si="0"/>
        <v>1162</v>
      </c>
    </row>
    <row r="30">
      <c r="B30" s="19"/>
      <c r="C30" s="30" t="s">
        <v>36</v>
      </c>
      <c r="D30" s="21"/>
      <c r="E30" s="22"/>
      <c r="F30" s="31"/>
      <c r="G30" s="29"/>
    </row>
    <row r="31">
      <c r="B31" s="19">
        <v>5</v>
      </c>
      <c r="C31" s="20" t="s">
        <v>37</v>
      </c>
      <c r="D31" s="21">
        <v>0</v>
      </c>
      <c r="E31" s="22">
        <v>0</v>
      </c>
      <c r="F31" s="23"/>
      <c r="G31" s="29"/>
    </row>
    <row r="32">
      <c r="B32" s="25">
        <v>11.01</v>
      </c>
      <c r="C32" s="26" t="s">
        <v>38</v>
      </c>
      <c r="D32" s="27" t="s">
        <v>12</v>
      </c>
      <c r="E32" s="28">
        <v>16</v>
      </c>
      <c r="F32" s="23">
        <v>47</v>
      </c>
      <c r="G32" s="29">
        <f t="shared" si="0"/>
        <v>752</v>
      </c>
    </row>
    <row r="33">
      <c r="B33" s="25">
        <v>11.02</v>
      </c>
      <c r="C33" s="26" t="s">
        <v>39</v>
      </c>
      <c r="D33" s="27" t="s">
        <v>12</v>
      </c>
      <c r="E33" s="28">
        <v>450</v>
      </c>
      <c r="F33" s="23">
        <v>7.5</v>
      </c>
      <c r="G33" s="29">
        <f t="shared" si="0"/>
        <v>3375</v>
      </c>
    </row>
    <row r="34" ht="21">
      <c r="B34" s="25">
        <v>11.029999999999999</v>
      </c>
      <c r="C34" s="26" t="s">
        <v>40</v>
      </c>
      <c r="D34" s="27" t="s">
        <v>12</v>
      </c>
      <c r="E34" s="28">
        <v>100</v>
      </c>
      <c r="F34" s="23">
        <v>6</v>
      </c>
      <c r="G34" s="29">
        <f t="shared" si="0"/>
        <v>600</v>
      </c>
    </row>
    <row r="35" ht="21">
      <c r="B35" s="25">
        <v>11.039999999999999</v>
      </c>
      <c r="C35" s="26" t="s">
        <v>41</v>
      </c>
      <c r="D35" s="27" t="s">
        <v>12</v>
      </c>
      <c r="E35" s="28">
        <v>262</v>
      </c>
      <c r="F35" s="23">
        <v>4.5</v>
      </c>
      <c r="G35" s="29">
        <f t="shared" si="0"/>
        <v>1179</v>
      </c>
    </row>
    <row r="36">
      <c r="B36" s="25">
        <v>11.09</v>
      </c>
      <c r="C36" s="26" t="s">
        <v>42</v>
      </c>
      <c r="D36" s="27" t="s">
        <v>12</v>
      </c>
      <c r="E36" s="28">
        <v>48</v>
      </c>
      <c r="F36" s="23">
        <v>13</v>
      </c>
      <c r="G36" s="29">
        <f t="shared" si="0"/>
        <v>624</v>
      </c>
    </row>
    <row r="37">
      <c r="B37" s="19"/>
      <c r="C37" s="30" t="s">
        <v>43</v>
      </c>
      <c r="D37" s="21"/>
      <c r="E37" s="22"/>
      <c r="F37" s="31"/>
      <c r="G37" s="29"/>
    </row>
    <row r="38">
      <c r="B38" s="19">
        <f>+B31+1</f>
        <v>6</v>
      </c>
      <c r="C38" s="20" t="s">
        <v>44</v>
      </c>
      <c r="D38" s="21"/>
      <c r="E38" s="22"/>
      <c r="F38" s="23"/>
      <c r="G38" s="29"/>
    </row>
    <row r="39" ht="21">
      <c r="B39" s="25">
        <v>12.01</v>
      </c>
      <c r="C39" s="26" t="s">
        <v>45</v>
      </c>
      <c r="D39" s="27" t="s">
        <v>12</v>
      </c>
      <c r="E39" s="28">
        <v>13</v>
      </c>
      <c r="F39" s="23">
        <v>181.5</v>
      </c>
      <c r="G39" s="29">
        <f t="shared" si="0"/>
        <v>2359.5</v>
      </c>
    </row>
    <row r="40">
      <c r="B40" s="25">
        <v>12.02</v>
      </c>
      <c r="C40" s="26" t="s">
        <v>46</v>
      </c>
      <c r="D40" s="27" t="s">
        <v>12</v>
      </c>
      <c r="E40" s="28">
        <v>7</v>
      </c>
      <c r="F40" s="23">
        <v>5</v>
      </c>
      <c r="G40" s="29">
        <f t="shared" si="0"/>
        <v>35</v>
      </c>
    </row>
    <row r="41">
      <c r="B41" s="25">
        <v>12.029999999999999</v>
      </c>
      <c r="C41" s="26" t="s">
        <v>47</v>
      </c>
      <c r="D41" s="27" t="s">
        <v>12</v>
      </c>
      <c r="E41" s="28">
        <v>6</v>
      </c>
      <c r="F41" s="23">
        <v>6</v>
      </c>
      <c r="G41" s="29">
        <f t="shared" si="0"/>
        <v>36</v>
      </c>
    </row>
    <row r="42">
      <c r="B42" s="25">
        <v>12.039999999999999</v>
      </c>
      <c r="C42" s="26" t="s">
        <v>48</v>
      </c>
      <c r="D42" s="27" t="s">
        <v>12</v>
      </c>
      <c r="E42" s="28">
        <v>5</v>
      </c>
      <c r="F42" s="23">
        <v>126.5</v>
      </c>
      <c r="G42" s="29">
        <f t="shared" si="0"/>
        <v>632.5</v>
      </c>
    </row>
    <row r="43">
      <c r="B43" s="25">
        <v>12.050000000000001</v>
      </c>
      <c r="C43" s="26" t="s">
        <v>49</v>
      </c>
      <c r="D43" s="27" t="s">
        <v>12</v>
      </c>
      <c r="E43" s="28">
        <v>28</v>
      </c>
      <c r="F43" s="23">
        <v>123.5</v>
      </c>
      <c r="G43" s="29">
        <f t="shared" si="0"/>
        <v>3458</v>
      </c>
    </row>
    <row r="44">
      <c r="B44" s="19"/>
      <c r="C44" s="30" t="s">
        <v>50</v>
      </c>
      <c r="D44" s="21"/>
      <c r="E44" s="22"/>
      <c r="F44" s="31"/>
      <c r="G44" s="29"/>
    </row>
    <row r="45">
      <c r="B45" s="19">
        <f>+B38+1</f>
        <v>7</v>
      </c>
      <c r="C45" s="33" t="s">
        <v>51</v>
      </c>
      <c r="D45" s="21">
        <v>0</v>
      </c>
      <c r="E45" s="22">
        <v>0</v>
      </c>
      <c r="F45" s="23"/>
      <c r="G45" s="29"/>
    </row>
    <row r="46">
      <c r="B46" s="25">
        <v>13.130000000000001</v>
      </c>
      <c r="C46" s="26" t="s">
        <v>52</v>
      </c>
      <c r="D46" s="34" t="s">
        <v>12</v>
      </c>
      <c r="E46" s="35">
        <v>15</v>
      </c>
      <c r="F46" s="23">
        <v>27</v>
      </c>
      <c r="G46" s="29">
        <f t="shared" si="0"/>
        <v>405</v>
      </c>
    </row>
    <row r="47">
      <c r="B47" s="36"/>
      <c r="C47" s="37" t="s">
        <v>53</v>
      </c>
      <c r="D47" s="38"/>
      <c r="E47" s="39"/>
      <c r="F47" s="31"/>
      <c r="G47" s="29"/>
    </row>
    <row r="48">
      <c r="B48" s="40"/>
      <c r="C48" s="41"/>
      <c r="D48" s="40"/>
      <c r="E48" s="40"/>
      <c r="F48" s="42" t="s">
        <v>54</v>
      </c>
      <c r="G48" s="43">
        <f>SUM(G7:G47)</f>
        <v>86419</v>
      </c>
    </row>
    <row r="49">
      <c r="B49" s="40"/>
      <c r="C49" s="41"/>
      <c r="D49" s="40"/>
      <c r="E49" s="40"/>
      <c r="F49" s="42" t="s">
        <v>55</v>
      </c>
      <c r="G49" s="43">
        <f>G48*18%</f>
        <v>15555.42</v>
      </c>
    </row>
    <row r="50">
      <c r="B50" s="40"/>
      <c r="C50" s="41"/>
      <c r="D50" s="40"/>
      <c r="E50" s="40"/>
      <c r="F50" s="42" t="s">
        <v>56</v>
      </c>
      <c r="G50" s="43">
        <f>G48+G49</f>
        <v>101974.42</v>
      </c>
    </row>
  </sheetData>
  <mergeCells count="3">
    <mergeCell ref="B2:B3"/>
    <mergeCell ref="C2:C3"/>
    <mergeCell ref="F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32" activeCellId="0" sqref="F32"/>
    </sheetView>
  </sheetViews>
  <sheetFormatPr baseColWidth="10" defaultColWidth="10.7109375" defaultRowHeight="15"/>
  <cols>
    <col customWidth="1" min="1" max="1" width="3.42578125"/>
    <col customWidth="1" min="2" max="2" width="8.28515625"/>
    <col customWidth="1" min="3" max="3" style="1" width="69.7109375"/>
    <col min="6" max="6" style="2" width="11.42578125"/>
  </cols>
  <sheetData>
    <row r="2">
      <c r="B2" s="44" t="s">
        <v>0</v>
      </c>
      <c r="C2" s="45" t="s">
        <v>1</v>
      </c>
      <c r="D2" s="46" t="s">
        <v>3</v>
      </c>
      <c r="E2" s="47" t="s">
        <v>4</v>
      </c>
      <c r="F2" s="48" t="s">
        <v>5</v>
      </c>
      <c r="G2" s="49" t="s">
        <v>6</v>
      </c>
    </row>
    <row r="3" ht="22.5">
      <c r="B3" s="50"/>
      <c r="C3" s="51"/>
      <c r="D3" s="52"/>
      <c r="E3" s="53"/>
      <c r="F3" s="54"/>
      <c r="G3" s="55"/>
    </row>
    <row r="4">
      <c r="B4" s="56"/>
      <c r="C4" s="57" t="s">
        <v>57</v>
      </c>
      <c r="D4" s="58"/>
      <c r="E4" s="59"/>
      <c r="F4" s="60"/>
      <c r="G4" s="24"/>
    </row>
    <row r="5">
      <c r="B5" s="61" t="s">
        <v>8</v>
      </c>
      <c r="C5" s="57" t="s">
        <v>58</v>
      </c>
      <c r="D5" s="62"/>
      <c r="E5" s="63"/>
      <c r="F5" s="64"/>
      <c r="G5" s="24"/>
    </row>
    <row r="6">
      <c r="B6" s="65">
        <v>2</v>
      </c>
      <c r="C6" s="20" t="s">
        <v>10</v>
      </c>
      <c r="D6" s="66">
        <v>0</v>
      </c>
      <c r="E6" s="28">
        <v>0</v>
      </c>
      <c r="F6" s="23"/>
      <c r="G6" s="24"/>
    </row>
    <row r="7">
      <c r="B7" s="67">
        <v>2.0099999999999998</v>
      </c>
      <c r="C7" s="26" t="s">
        <v>13</v>
      </c>
      <c r="D7" s="66" t="s">
        <v>12</v>
      </c>
      <c r="E7" s="28">
        <v>5</v>
      </c>
      <c r="F7" s="23">
        <v>1510</v>
      </c>
      <c r="G7" s="29">
        <f>F7*E7</f>
        <v>7550</v>
      </c>
    </row>
    <row r="8">
      <c r="B8" s="65"/>
      <c r="C8" s="30" t="s">
        <v>14</v>
      </c>
      <c r="D8" s="68"/>
      <c r="E8" s="22"/>
      <c r="F8" s="31"/>
      <c r="G8" s="29"/>
    </row>
    <row r="9">
      <c r="B9" s="65">
        <v>4</v>
      </c>
      <c r="C9" s="20" t="s">
        <v>15</v>
      </c>
      <c r="D9" s="66">
        <v>0</v>
      </c>
      <c r="E9" s="28">
        <v>0</v>
      </c>
      <c r="F9" s="23"/>
      <c r="G9" s="29"/>
    </row>
    <row r="10">
      <c r="B10" s="67">
        <v>4.0099999999999998</v>
      </c>
      <c r="C10" s="26" t="s">
        <v>16</v>
      </c>
      <c r="D10" s="66" t="s">
        <v>12</v>
      </c>
      <c r="E10" s="28">
        <v>25</v>
      </c>
      <c r="F10" s="23">
        <v>40</v>
      </c>
      <c r="G10" s="29">
        <f t="shared" ref="G8:G41" si="1">F10*E10</f>
        <v>1000</v>
      </c>
    </row>
    <row r="11">
      <c r="B11" s="67">
        <v>4.0199999999999996</v>
      </c>
      <c r="C11" s="26" t="s">
        <v>17</v>
      </c>
      <c r="D11" s="66" t="s">
        <v>12</v>
      </c>
      <c r="E11" s="28">
        <v>17</v>
      </c>
      <c r="F11" s="23">
        <v>30</v>
      </c>
      <c r="G11" s="29">
        <f t="shared" si="1"/>
        <v>510</v>
      </c>
    </row>
    <row r="12" ht="22.5">
      <c r="B12" s="67">
        <v>4.0300000000000002</v>
      </c>
      <c r="C12" s="32" t="s">
        <v>59</v>
      </c>
      <c r="D12" s="66" t="s">
        <v>12</v>
      </c>
      <c r="E12" s="28">
        <v>50</v>
      </c>
      <c r="F12" s="23">
        <v>88</v>
      </c>
      <c r="G12" s="29">
        <f t="shared" si="1"/>
        <v>4400</v>
      </c>
    </row>
    <row r="13">
      <c r="B13" s="65"/>
      <c r="C13" s="30" t="s">
        <v>19</v>
      </c>
      <c r="D13" s="68"/>
      <c r="E13" s="22"/>
      <c r="F13" s="31"/>
      <c r="G13" s="29"/>
    </row>
    <row r="14">
      <c r="B14" s="65">
        <v>5</v>
      </c>
      <c r="C14" s="20" t="s">
        <v>20</v>
      </c>
      <c r="D14" s="66"/>
      <c r="E14" s="28"/>
      <c r="F14" s="23"/>
      <c r="G14" s="29"/>
    </row>
    <row r="15">
      <c r="B15" s="67">
        <v>5.0099999999999998</v>
      </c>
      <c r="C15" s="26" t="s">
        <v>21</v>
      </c>
      <c r="D15" s="66" t="s">
        <v>12</v>
      </c>
      <c r="E15" s="28">
        <v>23</v>
      </c>
      <c r="F15" s="23">
        <v>6</v>
      </c>
      <c r="G15" s="29">
        <f t="shared" si="1"/>
        <v>138</v>
      </c>
    </row>
    <row r="16" ht="22.5">
      <c r="B16" s="67">
        <v>5.0199999999999996</v>
      </c>
      <c r="C16" s="26" t="s">
        <v>22</v>
      </c>
      <c r="D16" s="66" t="s">
        <v>12</v>
      </c>
      <c r="E16" s="28">
        <v>23</v>
      </c>
      <c r="F16" s="23">
        <v>39.600000000000001</v>
      </c>
      <c r="G16" s="29">
        <f t="shared" si="1"/>
        <v>910.80000000000007</v>
      </c>
    </row>
    <row r="17">
      <c r="B17" s="65"/>
      <c r="C17" s="30" t="s">
        <v>60</v>
      </c>
      <c r="D17" s="68"/>
      <c r="E17" s="22"/>
      <c r="F17" s="31"/>
      <c r="G17" s="29"/>
    </row>
    <row r="18">
      <c r="B18" s="65">
        <v>7</v>
      </c>
      <c r="C18" s="20" t="s">
        <v>24</v>
      </c>
      <c r="D18" s="66"/>
      <c r="E18" s="28"/>
      <c r="F18" s="23"/>
      <c r="G18" s="29"/>
    </row>
    <row r="19">
      <c r="B19" s="67">
        <v>7.0099999999999998</v>
      </c>
      <c r="C19" s="26" t="s">
        <v>25</v>
      </c>
      <c r="D19" s="66" t="s">
        <v>12</v>
      </c>
      <c r="E19" s="28">
        <v>47</v>
      </c>
      <c r="F19" s="23">
        <v>6.5</v>
      </c>
      <c r="G19" s="29">
        <f t="shared" si="1"/>
        <v>305.5</v>
      </c>
    </row>
    <row r="20">
      <c r="B20" s="67">
        <v>7.0199999999999996</v>
      </c>
      <c r="C20" s="26" t="s">
        <v>27</v>
      </c>
      <c r="D20" s="66" t="s">
        <v>12</v>
      </c>
      <c r="E20" s="28">
        <v>40</v>
      </c>
      <c r="F20" s="23">
        <v>4.5</v>
      </c>
      <c r="G20" s="29">
        <f t="shared" si="1"/>
        <v>180</v>
      </c>
    </row>
    <row r="21">
      <c r="B21" s="67">
        <v>7.04</v>
      </c>
      <c r="C21" s="26" t="s">
        <v>29</v>
      </c>
      <c r="D21" s="66" t="s">
        <v>12</v>
      </c>
      <c r="E21" s="28">
        <v>22</v>
      </c>
      <c r="F21" s="23">
        <v>17</v>
      </c>
      <c r="G21" s="29">
        <f t="shared" si="1"/>
        <v>374</v>
      </c>
    </row>
    <row r="22">
      <c r="B22" s="67">
        <v>7.0599999999999996</v>
      </c>
      <c r="C22" s="26" t="s">
        <v>31</v>
      </c>
      <c r="D22" s="66" t="s">
        <v>32</v>
      </c>
      <c r="E22" s="28">
        <v>13.799999999999999</v>
      </c>
      <c r="F22" s="23">
        <v>1.7</v>
      </c>
      <c r="G22" s="29">
        <f t="shared" si="1"/>
        <v>23.459999999999997</v>
      </c>
    </row>
    <row r="23">
      <c r="B23" s="65"/>
      <c r="C23" s="30" t="s">
        <v>61</v>
      </c>
      <c r="D23" s="68"/>
      <c r="E23" s="22"/>
      <c r="F23" s="31"/>
      <c r="G23" s="29"/>
    </row>
    <row r="24">
      <c r="B24" s="65">
        <v>10</v>
      </c>
      <c r="C24" s="20" t="s">
        <v>34</v>
      </c>
      <c r="D24" s="66">
        <v>0</v>
      </c>
      <c r="E24" s="28">
        <v>0</v>
      </c>
      <c r="F24" s="23"/>
      <c r="G24" s="29"/>
    </row>
    <row r="25">
      <c r="B25" s="67">
        <v>10.02</v>
      </c>
      <c r="C25" s="26" t="s">
        <v>35</v>
      </c>
      <c r="D25" s="66" t="s">
        <v>12</v>
      </c>
      <c r="E25" s="28">
        <v>72</v>
      </c>
      <c r="F25" s="23">
        <v>7</v>
      </c>
      <c r="G25" s="29">
        <f t="shared" si="1"/>
        <v>504</v>
      </c>
    </row>
    <row r="26" ht="22.5">
      <c r="B26" s="67">
        <v>10.07</v>
      </c>
      <c r="C26" s="26" t="s">
        <v>62</v>
      </c>
      <c r="D26" s="66" t="s">
        <v>12</v>
      </c>
      <c r="E26" s="28">
        <v>14</v>
      </c>
      <c r="F26" s="23">
        <v>39.600000000000001</v>
      </c>
      <c r="G26" s="29">
        <f t="shared" si="1"/>
        <v>554.39999999999998</v>
      </c>
    </row>
    <row r="27">
      <c r="B27" s="65"/>
      <c r="C27" s="30" t="s">
        <v>63</v>
      </c>
      <c r="D27" s="68"/>
      <c r="E27" s="22"/>
      <c r="F27" s="31"/>
      <c r="G27" s="29"/>
    </row>
    <row r="28">
      <c r="B28" s="65">
        <v>11</v>
      </c>
      <c r="C28" s="20" t="s">
        <v>37</v>
      </c>
      <c r="D28" s="66">
        <v>0</v>
      </c>
      <c r="E28" s="28">
        <v>0</v>
      </c>
      <c r="F28" s="23"/>
      <c r="G28" s="29"/>
    </row>
    <row r="29">
      <c r="B29" s="67">
        <v>11.01</v>
      </c>
      <c r="C29" s="26" t="s">
        <v>38</v>
      </c>
      <c r="D29" s="66" t="s">
        <v>12</v>
      </c>
      <c r="E29" s="28">
        <v>45</v>
      </c>
      <c r="F29" s="23">
        <v>47</v>
      </c>
      <c r="G29" s="29">
        <f t="shared" si="1"/>
        <v>2115</v>
      </c>
    </row>
    <row r="30">
      <c r="B30" s="67">
        <v>11.029999999999999</v>
      </c>
      <c r="C30" s="26" t="s">
        <v>39</v>
      </c>
      <c r="D30" s="66" t="s">
        <v>12</v>
      </c>
      <c r="E30" s="28">
        <v>117</v>
      </c>
      <c r="F30" s="23">
        <v>7.2999999999999998</v>
      </c>
      <c r="G30" s="29">
        <f t="shared" si="1"/>
        <v>854.10000000000002</v>
      </c>
    </row>
    <row r="31" ht="22.5">
      <c r="B31" s="67">
        <v>11.039999999999999</v>
      </c>
      <c r="C31" s="26" t="s">
        <v>40</v>
      </c>
      <c r="D31" s="66" t="s">
        <v>12</v>
      </c>
      <c r="E31" s="28">
        <v>45</v>
      </c>
      <c r="F31" s="23">
        <v>6</v>
      </c>
      <c r="G31" s="29">
        <f t="shared" si="1"/>
        <v>270</v>
      </c>
    </row>
    <row r="32" ht="22.5">
      <c r="B32" s="67">
        <v>11.050000000000001</v>
      </c>
      <c r="C32" s="26" t="s">
        <v>41</v>
      </c>
      <c r="D32" s="66" t="s">
        <v>12</v>
      </c>
      <c r="E32" s="28">
        <v>101</v>
      </c>
      <c r="F32" s="23">
        <v>4.5</v>
      </c>
      <c r="G32" s="29">
        <f t="shared" si="1"/>
        <v>454.5</v>
      </c>
    </row>
    <row r="33">
      <c r="B33" s="67">
        <v>11.09</v>
      </c>
      <c r="C33" s="26" t="s">
        <v>42</v>
      </c>
      <c r="D33" s="66" t="s">
        <v>12</v>
      </c>
      <c r="E33" s="28">
        <v>135</v>
      </c>
      <c r="F33" s="23">
        <v>13</v>
      </c>
      <c r="G33" s="29">
        <f t="shared" si="1"/>
        <v>1755</v>
      </c>
    </row>
    <row r="34">
      <c r="B34" s="65"/>
      <c r="C34" s="30" t="s">
        <v>64</v>
      </c>
      <c r="D34" s="68"/>
      <c r="E34" s="22"/>
      <c r="F34" s="31"/>
      <c r="G34" s="29"/>
    </row>
    <row r="35">
      <c r="B35" s="65">
        <v>12</v>
      </c>
      <c r="C35" s="20" t="s">
        <v>44</v>
      </c>
      <c r="D35" s="66"/>
      <c r="E35" s="28"/>
      <c r="F35" s="23"/>
      <c r="G35" s="29"/>
    </row>
    <row r="36">
      <c r="B36" s="67">
        <v>12.01</v>
      </c>
      <c r="C36" s="26" t="s">
        <v>45</v>
      </c>
      <c r="D36" s="66" t="s">
        <v>12</v>
      </c>
      <c r="E36" s="28">
        <v>22</v>
      </c>
      <c r="F36" s="23">
        <v>181.5</v>
      </c>
      <c r="G36" s="29">
        <f t="shared" si="1"/>
        <v>3993</v>
      </c>
    </row>
    <row r="37">
      <c r="B37" s="67">
        <v>12.02</v>
      </c>
      <c r="C37" s="26" t="s">
        <v>65</v>
      </c>
      <c r="D37" s="66" t="s">
        <v>12</v>
      </c>
      <c r="E37" s="28">
        <v>22</v>
      </c>
      <c r="F37" s="23"/>
      <c r="G37" s="29"/>
    </row>
    <row r="38">
      <c r="B38" s="67">
        <v>12.029999999999999</v>
      </c>
      <c r="C38" s="26" t="s">
        <v>48</v>
      </c>
      <c r="D38" s="66" t="s">
        <v>12</v>
      </c>
      <c r="E38" s="28">
        <v>12</v>
      </c>
      <c r="F38" s="23">
        <v>126.5</v>
      </c>
      <c r="G38" s="29">
        <f t="shared" si="1"/>
        <v>1518</v>
      </c>
    </row>
    <row r="39">
      <c r="B39" s="67">
        <v>12.039999999999999</v>
      </c>
      <c r="C39" s="26" t="s">
        <v>49</v>
      </c>
      <c r="D39" s="66" t="s">
        <v>12</v>
      </c>
      <c r="E39" s="28">
        <v>10</v>
      </c>
      <c r="F39" s="23">
        <v>123.5</v>
      </c>
      <c r="G39" s="29">
        <f t="shared" si="1"/>
        <v>1235</v>
      </c>
    </row>
    <row r="40" ht="15.75">
      <c r="B40" s="65"/>
      <c r="C40" s="30" t="s">
        <v>66</v>
      </c>
      <c r="D40" s="68"/>
      <c r="E40" s="22"/>
      <c r="F40" s="31"/>
      <c r="G40" s="29"/>
    </row>
    <row r="41" ht="15.75">
      <c r="B41" s="69"/>
      <c r="C41" s="70" t="s">
        <v>67</v>
      </c>
      <c r="D41" s="71"/>
      <c r="E41" s="72"/>
      <c r="F41" s="31"/>
      <c r="G41" s="29"/>
    </row>
    <row r="42">
      <c r="B42" s="40"/>
      <c r="C42" s="41"/>
      <c r="D42" s="40"/>
      <c r="E42" s="40"/>
      <c r="F42" s="73" t="s">
        <v>68</v>
      </c>
      <c r="G42" s="29">
        <f>SUM(G7:G41)</f>
        <v>28644.759999999998</v>
      </c>
    </row>
    <row r="43">
      <c r="B43" s="40"/>
      <c r="C43" s="41"/>
      <c r="D43" s="40"/>
      <c r="E43" s="40"/>
      <c r="F43" s="73" t="s">
        <v>69</v>
      </c>
      <c r="G43" s="24">
        <f>G42*18%</f>
        <v>5156.0567999999994</v>
      </c>
    </row>
    <row r="44">
      <c r="B44" s="40"/>
      <c r="C44" s="41"/>
      <c r="D44" s="40"/>
      <c r="E44" s="40"/>
      <c r="F44" s="73" t="s">
        <v>70</v>
      </c>
      <c r="G44" s="29">
        <f>G42+G43</f>
        <v>33800.816800000001</v>
      </c>
    </row>
    <row r="45">
      <c r="B45" s="40"/>
      <c r="C45" s="41"/>
      <c r="D45" s="40"/>
      <c r="E45" s="40"/>
      <c r="F45" s="74"/>
      <c r="G45" s="40"/>
    </row>
  </sheetData>
  <mergeCells count="6">
    <mergeCell ref="B2:B3"/>
    <mergeCell ref="C2:C3"/>
    <mergeCell ref="D2:D3"/>
    <mergeCell ref="E2:E3"/>
    <mergeCell ref="F2:F3"/>
    <mergeCell ref="G2:G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9" activeCellId="0" sqref="G19"/>
    </sheetView>
  </sheetViews>
  <sheetFormatPr baseColWidth="10" defaultColWidth="10.7109375" defaultRowHeight="14.25"/>
  <cols>
    <col customWidth="1" min="1" max="1" width="7.7109375"/>
    <col customWidth="1" min="2" max="2" style="1" width="57.42578125"/>
    <col customWidth="1" min="3" max="3" width="8.140625"/>
    <col customWidth="1" min="4" max="4" width="9.42578125"/>
    <col customWidth="1" min="5" max="5" style="2" width="10.5703125"/>
    <col customWidth="1" min="6" max="6" width="7.57421875"/>
  </cols>
  <sheetData>
    <row r="1">
      <c r="A1" s="3" t="s">
        <v>0</v>
      </c>
      <c r="B1" s="4" t="s">
        <v>1</v>
      </c>
      <c r="C1" s="6"/>
      <c r="D1" s="6"/>
      <c r="E1" s="7" t="s">
        <v>71</v>
      </c>
      <c r="F1" s="8"/>
    </row>
    <row r="2" ht="22.5">
      <c r="A2" s="75"/>
      <c r="B2" s="76"/>
      <c r="C2" s="6" t="s">
        <v>3</v>
      </c>
      <c r="D2" s="77" t="s">
        <v>4</v>
      </c>
      <c r="E2" s="12" t="s">
        <v>5</v>
      </c>
      <c r="F2" s="78" t="s">
        <v>6</v>
      </c>
    </row>
    <row r="3">
      <c r="A3" s="79"/>
      <c r="B3" s="80" t="s">
        <v>72</v>
      </c>
      <c r="C3" s="81"/>
      <c r="D3" s="81"/>
      <c r="E3" s="82"/>
      <c r="F3" s="13"/>
    </row>
    <row r="4">
      <c r="A4" s="83" t="s">
        <v>8</v>
      </c>
      <c r="B4" s="80" t="s">
        <v>58</v>
      </c>
      <c r="C4" s="84"/>
      <c r="D4" s="84"/>
      <c r="E4" s="85"/>
      <c r="F4" s="13"/>
    </row>
    <row r="5">
      <c r="A5" s="86">
        <v>2</v>
      </c>
      <c r="B5" s="87" t="s">
        <v>10</v>
      </c>
      <c r="C5" s="88">
        <v>0</v>
      </c>
      <c r="D5" s="88">
        <v>0</v>
      </c>
      <c r="E5" s="89"/>
      <c r="F5" s="13"/>
    </row>
    <row r="6" ht="21">
      <c r="A6" s="90">
        <v>2.0099999999999998</v>
      </c>
      <c r="B6" s="26" t="s">
        <v>73</v>
      </c>
      <c r="C6" s="91" t="s">
        <v>12</v>
      </c>
      <c r="D6" s="91">
        <v>14</v>
      </c>
      <c r="E6" s="89">
        <v>800</v>
      </c>
      <c r="F6" s="92">
        <f t="shared" ref="F6:F7" si="2">E6*D6</f>
        <v>11200</v>
      </c>
    </row>
    <row r="7" ht="21">
      <c r="A7" s="90">
        <v>2.02</v>
      </c>
      <c r="B7" s="26" t="s">
        <v>74</v>
      </c>
      <c r="C7" s="91" t="s">
        <v>12</v>
      </c>
      <c r="D7" s="91">
        <v>16</v>
      </c>
      <c r="E7" s="89">
        <v>915</v>
      </c>
      <c r="F7" s="92">
        <f t="shared" si="2"/>
        <v>14640</v>
      </c>
    </row>
    <row r="8">
      <c r="A8" s="90"/>
      <c r="B8" s="30" t="s">
        <v>14</v>
      </c>
      <c r="C8" s="91"/>
      <c r="D8" s="91"/>
      <c r="E8" s="89"/>
      <c r="F8" s="92"/>
    </row>
    <row r="9">
      <c r="A9" s="86">
        <v>4</v>
      </c>
      <c r="B9" s="87" t="s">
        <v>75</v>
      </c>
      <c r="C9" s="88">
        <v>0</v>
      </c>
      <c r="D9" s="88">
        <v>0</v>
      </c>
      <c r="E9" s="89"/>
      <c r="F9" s="92"/>
    </row>
    <row r="10" ht="22.5">
      <c r="A10" s="90">
        <v>4.0099999999999998</v>
      </c>
      <c r="B10" s="26" t="s">
        <v>76</v>
      </c>
      <c r="C10" s="91" t="s">
        <v>12</v>
      </c>
      <c r="D10" s="91">
        <v>182</v>
      </c>
      <c r="E10" s="89">
        <v>222</v>
      </c>
      <c r="F10" s="92">
        <f t="shared" ref="F10:F38" si="3">E10*D10</f>
        <v>40404</v>
      </c>
    </row>
    <row r="11">
      <c r="A11" s="90">
        <v>4.0199999999999996</v>
      </c>
      <c r="B11" s="26" t="s">
        <v>77</v>
      </c>
      <c r="C11" s="91" t="s">
        <v>12</v>
      </c>
      <c r="D11" s="91">
        <v>287</v>
      </c>
      <c r="E11" s="89">
        <v>10.5</v>
      </c>
      <c r="F11" s="92">
        <f t="shared" si="3"/>
        <v>3013.5</v>
      </c>
    </row>
    <row r="12" ht="21">
      <c r="A12" s="90">
        <v>4.0300000000000002</v>
      </c>
      <c r="B12" s="26" t="s">
        <v>78</v>
      </c>
      <c r="C12" s="91" t="s">
        <v>12</v>
      </c>
      <c r="D12" s="91">
        <v>27</v>
      </c>
      <c r="E12" s="89">
        <v>3.7999999999999998</v>
      </c>
      <c r="F12" s="92">
        <f t="shared" si="3"/>
        <v>102.59999999999999</v>
      </c>
    </row>
    <row r="13">
      <c r="A13" s="90">
        <v>4.04</v>
      </c>
      <c r="B13" s="26" t="s">
        <v>79</v>
      </c>
      <c r="C13" s="91" t="s">
        <v>12</v>
      </c>
      <c r="D13" s="91">
        <v>12</v>
      </c>
      <c r="E13" s="89">
        <v>7</v>
      </c>
      <c r="F13" s="92">
        <f t="shared" si="3"/>
        <v>84</v>
      </c>
    </row>
    <row r="14">
      <c r="A14" s="90">
        <v>4.0499999999999998</v>
      </c>
      <c r="B14" s="26" t="s">
        <v>80</v>
      </c>
      <c r="C14" s="91" t="s">
        <v>12</v>
      </c>
      <c r="D14" s="91">
        <v>232</v>
      </c>
      <c r="E14" s="89">
        <v>7.2000000000000002</v>
      </c>
      <c r="F14" s="92">
        <f t="shared" si="3"/>
        <v>1670.4000000000001</v>
      </c>
    </row>
    <row r="15">
      <c r="A15" s="90">
        <v>4.0599999999999996</v>
      </c>
      <c r="B15" s="26" t="s">
        <v>81</v>
      </c>
      <c r="C15" s="91" t="s">
        <v>12</v>
      </c>
      <c r="D15" s="91">
        <v>2278</v>
      </c>
      <c r="E15" s="89">
        <v>0.12</v>
      </c>
      <c r="F15" s="92">
        <f t="shared" si="3"/>
        <v>273.36000000000001</v>
      </c>
    </row>
    <row r="16">
      <c r="A16" s="90">
        <v>4.0800000000000001</v>
      </c>
      <c r="B16" s="26" t="s">
        <v>82</v>
      </c>
      <c r="C16" s="91" t="s">
        <v>83</v>
      </c>
      <c r="D16" s="91">
        <v>183</v>
      </c>
      <c r="E16" s="89">
        <v>3.5</v>
      </c>
      <c r="F16" s="92">
        <f t="shared" si="3"/>
        <v>640.5</v>
      </c>
    </row>
    <row r="17">
      <c r="A17" s="90">
        <v>4.0899999999999999</v>
      </c>
      <c r="B17" s="26" t="s">
        <v>84</v>
      </c>
      <c r="C17" s="91" t="s">
        <v>12</v>
      </c>
      <c r="D17" s="91">
        <v>9</v>
      </c>
      <c r="E17" s="89">
        <v>17</v>
      </c>
      <c r="F17" s="92">
        <f t="shared" si="3"/>
        <v>153</v>
      </c>
    </row>
    <row r="18">
      <c r="A18" s="90">
        <v>4.0999999999999996</v>
      </c>
      <c r="B18" s="26" t="s">
        <v>85</v>
      </c>
      <c r="C18" s="91" t="s">
        <v>32</v>
      </c>
      <c r="D18" s="91">
        <v>9</v>
      </c>
      <c r="E18" s="89">
        <v>1.7</v>
      </c>
      <c r="F18" s="92">
        <f t="shared" si="3"/>
        <v>15.299999999999999</v>
      </c>
    </row>
    <row r="19">
      <c r="A19" s="86">
        <v>6</v>
      </c>
      <c r="B19" s="87" t="s">
        <v>34</v>
      </c>
      <c r="C19" s="88">
        <v>0</v>
      </c>
      <c r="D19" s="88">
        <v>0</v>
      </c>
      <c r="E19" s="89"/>
      <c r="F19" s="92"/>
    </row>
    <row r="20" ht="21">
      <c r="A20" s="90">
        <v>6.0300000000000002</v>
      </c>
      <c r="B20" s="26" t="s">
        <v>86</v>
      </c>
      <c r="C20" s="91" t="s">
        <v>12</v>
      </c>
      <c r="D20" s="91">
        <v>120</v>
      </c>
      <c r="E20" s="89">
        <v>35</v>
      </c>
      <c r="F20" s="92">
        <f t="shared" si="3"/>
        <v>4200</v>
      </c>
    </row>
    <row r="21">
      <c r="A21" s="90">
        <v>6.04</v>
      </c>
      <c r="B21" s="26" t="s">
        <v>87</v>
      </c>
      <c r="C21" s="91" t="s">
        <v>12</v>
      </c>
      <c r="D21" s="91">
        <v>120</v>
      </c>
      <c r="E21" s="89">
        <v>5</v>
      </c>
      <c r="F21" s="92">
        <f t="shared" si="3"/>
        <v>600</v>
      </c>
    </row>
    <row r="22">
      <c r="A22" s="90">
        <v>6.0499999999999998</v>
      </c>
      <c r="B22" s="26" t="s">
        <v>35</v>
      </c>
      <c r="C22" s="91" t="s">
        <v>12</v>
      </c>
      <c r="D22" s="91">
        <v>240</v>
      </c>
      <c r="E22" s="89">
        <v>7</v>
      </c>
      <c r="F22" s="92">
        <f t="shared" si="3"/>
        <v>1680</v>
      </c>
    </row>
    <row r="23">
      <c r="A23" s="90">
        <v>6.0599999999999996</v>
      </c>
      <c r="B23" s="26" t="s">
        <v>88</v>
      </c>
      <c r="C23" s="91" t="s">
        <v>12</v>
      </c>
      <c r="D23" s="91">
        <v>240</v>
      </c>
      <c r="E23" s="89">
        <v>1.7</v>
      </c>
      <c r="F23" s="92">
        <f t="shared" si="3"/>
        <v>408</v>
      </c>
    </row>
    <row r="24">
      <c r="A24" s="90">
        <v>6.0899999999999999</v>
      </c>
      <c r="B24" s="26" t="s">
        <v>89</v>
      </c>
      <c r="C24" s="91" t="s">
        <v>12</v>
      </c>
      <c r="D24" s="91">
        <v>120</v>
      </c>
      <c r="E24" s="89">
        <v>32</v>
      </c>
      <c r="F24" s="92">
        <f t="shared" si="3"/>
        <v>3840</v>
      </c>
    </row>
    <row r="25">
      <c r="A25" s="90"/>
      <c r="B25" s="30" t="s">
        <v>90</v>
      </c>
      <c r="C25" s="91"/>
      <c r="D25" s="91"/>
      <c r="E25" s="89"/>
      <c r="F25" s="92"/>
    </row>
    <row r="26">
      <c r="A26" s="86">
        <v>7</v>
      </c>
      <c r="B26" s="87" t="s">
        <v>91</v>
      </c>
      <c r="C26" s="88"/>
      <c r="D26" s="88"/>
      <c r="E26" s="89"/>
      <c r="F26" s="92"/>
    </row>
    <row r="27" ht="21">
      <c r="A27" s="90">
        <v>7.0300000000000002</v>
      </c>
      <c r="B27" s="26" t="s">
        <v>78</v>
      </c>
      <c r="C27" s="91" t="s">
        <v>12</v>
      </c>
      <c r="D27" s="91">
        <v>143</v>
      </c>
      <c r="E27" s="89">
        <v>7.5</v>
      </c>
      <c r="F27" s="92">
        <f t="shared" si="3"/>
        <v>1072.5</v>
      </c>
    </row>
    <row r="28" ht="21">
      <c r="A28" s="90">
        <v>7.0499999999999998</v>
      </c>
      <c r="B28" s="26" t="s">
        <v>92</v>
      </c>
      <c r="C28" s="91" t="s">
        <v>12</v>
      </c>
      <c r="D28" s="91">
        <v>80</v>
      </c>
      <c r="E28" s="89">
        <v>270</v>
      </c>
      <c r="F28" s="92">
        <f t="shared" si="3"/>
        <v>21600</v>
      </c>
    </row>
    <row r="29">
      <c r="A29" s="90"/>
      <c r="B29" s="30" t="s">
        <v>33</v>
      </c>
      <c r="C29" s="91"/>
      <c r="D29" s="91"/>
      <c r="E29" s="89"/>
      <c r="F29" s="92"/>
    </row>
    <row r="30">
      <c r="A30" s="86">
        <v>9</v>
      </c>
      <c r="B30" s="87" t="s">
        <v>93</v>
      </c>
      <c r="C30" s="88">
        <v>0</v>
      </c>
      <c r="D30" s="88">
        <v>0</v>
      </c>
      <c r="E30" s="89"/>
      <c r="F30" s="92"/>
    </row>
    <row r="31">
      <c r="A31" s="90">
        <v>9.0099999999999998</v>
      </c>
      <c r="B31" s="26" t="s">
        <v>38</v>
      </c>
      <c r="C31" s="91" t="s">
        <v>12</v>
      </c>
      <c r="D31" s="91">
        <v>76</v>
      </c>
      <c r="E31" s="89">
        <v>47</v>
      </c>
      <c r="F31" s="92">
        <f t="shared" si="3"/>
        <v>3572</v>
      </c>
    </row>
    <row r="32" ht="21">
      <c r="A32" s="90">
        <v>9.0299999999999994</v>
      </c>
      <c r="B32" s="26" t="s">
        <v>94</v>
      </c>
      <c r="C32" s="91" t="s">
        <v>12</v>
      </c>
      <c r="D32" s="91">
        <v>76</v>
      </c>
      <c r="E32" s="89">
        <v>6</v>
      </c>
      <c r="F32" s="92">
        <f t="shared" si="3"/>
        <v>456</v>
      </c>
    </row>
    <row r="33">
      <c r="A33" s="90">
        <v>9.0600000000000005</v>
      </c>
      <c r="B33" s="26" t="s">
        <v>42</v>
      </c>
      <c r="C33" s="91" t="s">
        <v>12</v>
      </c>
      <c r="D33" s="91">
        <v>228</v>
      </c>
      <c r="E33" s="89">
        <v>13</v>
      </c>
      <c r="F33" s="92">
        <f t="shared" si="3"/>
        <v>2964</v>
      </c>
    </row>
    <row r="34">
      <c r="A34" s="90"/>
      <c r="B34" s="30" t="s">
        <v>95</v>
      </c>
      <c r="C34" s="91"/>
      <c r="D34" s="91"/>
      <c r="E34" s="89"/>
      <c r="F34" s="92"/>
    </row>
    <row r="35">
      <c r="A35" s="86">
        <v>10</v>
      </c>
      <c r="B35" s="87" t="s">
        <v>96</v>
      </c>
      <c r="C35" s="88">
        <v>0</v>
      </c>
      <c r="D35" s="88">
        <v>0</v>
      </c>
      <c r="E35" s="89"/>
      <c r="F35" s="92"/>
    </row>
    <row r="36" ht="21">
      <c r="A36" s="90">
        <v>10.07</v>
      </c>
      <c r="B36" s="26" t="s">
        <v>78</v>
      </c>
      <c r="C36" s="91" t="s">
        <v>12</v>
      </c>
      <c r="D36" s="91">
        <v>340</v>
      </c>
      <c r="E36" s="89">
        <v>7.5</v>
      </c>
      <c r="F36" s="92">
        <f t="shared" si="3"/>
        <v>2550</v>
      </c>
    </row>
    <row r="37">
      <c r="A37" s="90">
        <v>10.08</v>
      </c>
      <c r="B37" s="26" t="s">
        <v>97</v>
      </c>
      <c r="C37" s="91" t="s">
        <v>12</v>
      </c>
      <c r="D37" s="91">
        <v>488</v>
      </c>
      <c r="E37" s="89"/>
      <c r="F37" s="92"/>
    </row>
    <row r="38">
      <c r="A38" s="90">
        <v>10.09</v>
      </c>
      <c r="B38" s="26" t="s">
        <v>81</v>
      </c>
      <c r="C38" s="91" t="s">
        <v>12</v>
      </c>
      <c r="D38" s="91">
        <v>1708</v>
      </c>
      <c r="E38" s="89">
        <v>0.13</v>
      </c>
      <c r="F38" s="92">
        <f t="shared" si="3"/>
        <v>222.04000000000002</v>
      </c>
    </row>
    <row r="39" ht="15.75">
      <c r="A39" s="90"/>
      <c r="B39" s="30" t="s">
        <v>36</v>
      </c>
      <c r="C39" s="91"/>
      <c r="D39" s="91"/>
      <c r="E39" s="93"/>
      <c r="F39" s="13"/>
    </row>
    <row r="40" ht="15.75">
      <c r="A40" s="94"/>
      <c r="B40" s="95" t="s">
        <v>67</v>
      </c>
      <c r="C40" s="96"/>
      <c r="D40" s="97"/>
      <c r="E40" s="98" t="s">
        <v>68</v>
      </c>
      <c r="F40" s="99">
        <f>SUM(F6:F39)</f>
        <v>115361.2</v>
      </c>
    </row>
    <row r="41">
      <c r="E41" s="100" t="s">
        <v>69</v>
      </c>
      <c r="F41" s="99">
        <f>F40*18%</f>
        <v>20765.016</v>
      </c>
    </row>
    <row r="42">
      <c r="E42" s="100" t="s">
        <v>70</v>
      </c>
      <c r="F42" s="99">
        <f>F40+F41</f>
        <v>136126.21599999999</v>
      </c>
    </row>
  </sheetData>
  <mergeCells count="3">
    <mergeCell ref="A1:A2"/>
    <mergeCell ref="B1:B2"/>
    <mergeCell ref="E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5" activeCellId="0" sqref="H15"/>
    </sheetView>
  </sheetViews>
  <sheetFormatPr baseColWidth="10" defaultColWidth="10.7109375" defaultRowHeight="15"/>
  <cols>
    <col customWidth="1" min="1" max="1" width="3.28515625"/>
    <col customWidth="1" min="3" max="3" style="1" width="56.85546875"/>
    <col customWidth="1" min="4" max="4" width="7.7109375"/>
    <col customWidth="1" min="5" max="5" width="10"/>
    <col min="6" max="6" style="2" width="11.42578125"/>
  </cols>
  <sheetData>
    <row r="2">
      <c r="B2" s="3" t="s">
        <v>0</v>
      </c>
      <c r="C2" s="4" t="s">
        <v>1</v>
      </c>
      <c r="D2" s="6"/>
      <c r="E2" s="6"/>
      <c r="F2" s="101"/>
    </row>
    <row r="3" ht="22.5">
      <c r="B3" s="75"/>
      <c r="C3" s="76"/>
      <c r="D3" s="6" t="s">
        <v>3</v>
      </c>
      <c r="E3" s="11" t="s">
        <v>4</v>
      </c>
      <c r="F3" s="12" t="s">
        <v>5</v>
      </c>
      <c r="G3" s="102"/>
    </row>
    <row r="4">
      <c r="B4" s="103"/>
      <c r="C4" s="104" t="s">
        <v>98</v>
      </c>
      <c r="D4" s="81"/>
      <c r="E4" s="105"/>
      <c r="F4" s="106"/>
      <c r="G4" s="102"/>
    </row>
    <row r="5">
      <c r="B5" s="107" t="s">
        <v>8</v>
      </c>
      <c r="C5" s="15" t="s">
        <v>58</v>
      </c>
      <c r="D5" s="108"/>
      <c r="E5" s="109"/>
      <c r="F5" s="17"/>
      <c r="G5" s="102"/>
    </row>
    <row r="6">
      <c r="B6" s="90">
        <v>6.1299999999999999</v>
      </c>
      <c r="C6" s="26" t="s">
        <v>99</v>
      </c>
      <c r="D6" s="110" t="s">
        <v>12</v>
      </c>
      <c r="E6" s="111">
        <v>370</v>
      </c>
      <c r="F6" s="106"/>
      <c r="G6" s="102"/>
    </row>
    <row r="7">
      <c r="B7" s="90">
        <v>6.1399999999999997</v>
      </c>
      <c r="C7" s="26" t="s">
        <v>100</v>
      </c>
      <c r="D7" s="110" t="s">
        <v>12</v>
      </c>
      <c r="E7" s="111">
        <v>555</v>
      </c>
      <c r="F7" s="106"/>
      <c r="G7" s="102"/>
    </row>
    <row r="8" ht="22.5">
      <c r="B8" s="90">
        <v>6.1500000000000004</v>
      </c>
      <c r="C8" s="26" t="s">
        <v>101</v>
      </c>
      <c r="D8" s="110" t="s">
        <v>32</v>
      </c>
      <c r="E8" s="111">
        <v>962</v>
      </c>
      <c r="F8" s="106"/>
      <c r="G8" s="102"/>
    </row>
    <row r="9" ht="22.5">
      <c r="B9" s="90">
        <v>6.1600000000000001</v>
      </c>
      <c r="C9" s="26" t="s">
        <v>102</v>
      </c>
      <c r="D9" s="110" t="s">
        <v>32</v>
      </c>
      <c r="E9" s="111">
        <v>1665</v>
      </c>
      <c r="F9" s="106"/>
      <c r="G9" s="102"/>
    </row>
    <row r="10">
      <c r="B10" s="90">
        <v>6.1699999999999999</v>
      </c>
      <c r="C10" s="26" t="s">
        <v>103</v>
      </c>
      <c r="D10" s="110" t="s">
        <v>32</v>
      </c>
      <c r="E10" s="111">
        <v>185</v>
      </c>
      <c r="F10" s="106"/>
      <c r="G10" s="102"/>
    </row>
    <row r="11">
      <c r="B11" s="90"/>
      <c r="C11" s="30" t="s">
        <v>90</v>
      </c>
      <c r="D11" s="88"/>
      <c r="E11" s="88"/>
      <c r="F11" s="98"/>
      <c r="G11" s="102"/>
    </row>
    <row r="12">
      <c r="B12" s="86">
        <v>8</v>
      </c>
      <c r="C12" s="87" t="s">
        <v>93</v>
      </c>
      <c r="D12" s="112">
        <v>0</v>
      </c>
      <c r="E12" s="113">
        <v>0</v>
      </c>
      <c r="F12" s="106"/>
      <c r="G12" s="102"/>
    </row>
    <row r="13">
      <c r="B13" s="90">
        <v>8.0099999999999998</v>
      </c>
      <c r="C13" s="26" t="s">
        <v>38</v>
      </c>
      <c r="D13" s="110" t="s">
        <v>32</v>
      </c>
      <c r="E13" s="111">
        <v>37</v>
      </c>
      <c r="F13" s="106">
        <v>47</v>
      </c>
      <c r="G13" s="99">
        <f t="shared" ref="G13:G18" si="4">F13*E13</f>
        <v>1739</v>
      </c>
    </row>
    <row r="14" ht="22.5">
      <c r="B14" s="90">
        <v>8.0299999999999994</v>
      </c>
      <c r="C14" s="26" t="s">
        <v>104</v>
      </c>
      <c r="D14" s="110" t="s">
        <v>12</v>
      </c>
      <c r="E14" s="111">
        <v>74</v>
      </c>
      <c r="F14" s="106">
        <v>6</v>
      </c>
      <c r="G14" s="99">
        <f t="shared" si="4"/>
        <v>444</v>
      </c>
    </row>
    <row r="15">
      <c r="B15" s="90">
        <v>8.0500000000000007</v>
      </c>
      <c r="C15" s="26" t="s">
        <v>105</v>
      </c>
      <c r="D15" s="110" t="s">
        <v>12</v>
      </c>
      <c r="E15" s="111">
        <v>37</v>
      </c>
      <c r="F15" s="106">
        <v>30</v>
      </c>
      <c r="G15" s="99">
        <f t="shared" si="4"/>
        <v>1110</v>
      </c>
    </row>
    <row r="16">
      <c r="B16" s="90">
        <v>8.0600000000000005</v>
      </c>
      <c r="C16" s="26" t="s">
        <v>106</v>
      </c>
      <c r="D16" s="110" t="s">
        <v>12</v>
      </c>
      <c r="E16" s="111">
        <v>37</v>
      </c>
      <c r="F16" s="106">
        <v>9</v>
      </c>
      <c r="G16" s="99">
        <f t="shared" si="4"/>
        <v>333</v>
      </c>
    </row>
    <row r="17">
      <c r="B17" s="90">
        <v>8.0700000000000003</v>
      </c>
      <c r="C17" s="26" t="s">
        <v>107</v>
      </c>
      <c r="D17" s="110" t="s">
        <v>12</v>
      </c>
      <c r="E17" s="111">
        <v>111</v>
      </c>
      <c r="F17" s="106">
        <v>1</v>
      </c>
      <c r="G17" s="99">
        <f t="shared" si="4"/>
        <v>111</v>
      </c>
    </row>
    <row r="18">
      <c r="B18" s="90">
        <v>8.0800000000000001</v>
      </c>
      <c r="C18" s="26" t="s">
        <v>42</v>
      </c>
      <c r="D18" s="110" t="s">
        <v>12</v>
      </c>
      <c r="E18" s="111">
        <v>148</v>
      </c>
      <c r="F18" s="106">
        <v>13</v>
      </c>
      <c r="G18" s="99">
        <f t="shared" si="4"/>
        <v>1924</v>
      </c>
    </row>
    <row r="19" ht="15.75">
      <c r="B19" s="90"/>
      <c r="C19" s="30" t="s">
        <v>108</v>
      </c>
      <c r="D19" s="88"/>
      <c r="E19" s="88"/>
      <c r="F19" s="98"/>
      <c r="G19" s="99"/>
    </row>
    <row r="20" ht="15.75">
      <c r="B20" s="94"/>
      <c r="C20" s="95" t="s">
        <v>67</v>
      </c>
      <c r="D20" s="96"/>
      <c r="E20" s="97"/>
      <c r="F20" s="98" t="s">
        <v>109</v>
      </c>
      <c r="G20" s="99">
        <v>5661</v>
      </c>
    </row>
    <row r="21">
      <c r="F21" s="100" t="s">
        <v>69</v>
      </c>
      <c r="G21" s="99">
        <f>G20*18%</f>
        <v>1018.98</v>
      </c>
    </row>
    <row r="22">
      <c r="F22" s="100" t="s">
        <v>70</v>
      </c>
      <c r="G22" s="99">
        <f>G20+G21</f>
        <v>6679.9799999999996</v>
      </c>
    </row>
  </sheetData>
  <mergeCells count="2">
    <mergeCell ref="B2:B3"/>
    <mergeCell ref="C2:C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Guerra Torres</dc:creator>
  <cp:revision>4</cp:revision>
  <dcterms:created xsi:type="dcterms:W3CDTF">2025-11-09T20:51:55Z</dcterms:created>
  <dcterms:modified xsi:type="dcterms:W3CDTF">2025-11-12T19:39:24Z</dcterms:modified>
</cp:coreProperties>
</file>